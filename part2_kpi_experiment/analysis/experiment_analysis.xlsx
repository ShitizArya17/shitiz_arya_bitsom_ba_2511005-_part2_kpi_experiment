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_note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data_quality_checks" sheetId="3" state="visible" r:id="rId3"/>
    <sheet xmlns:r="http://schemas.openxmlformats.org/officeDocument/2006/relationships" name="cleaned_data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0.0%"/>
    <numFmt numFmtId="166" formatCode="DD/MM/YYYY"/>
  </numFmts>
  <fonts count="12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sz val="13"/>
    </font>
    <font>
      <name val="Cambria"/>
      <charset val="1"/>
      <family val="0"/>
      <b val="1"/>
      <sz val="11"/>
    </font>
    <font>
      <name val="Cambria"/>
      <charset val="1"/>
      <family val="0"/>
      <b val="1"/>
      <i val="1"/>
      <sz val="11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FF155E75"/>
        <bgColor rgb="FF305496"/>
      </patternFill>
    </fill>
    <fill>
      <patternFill patternType="solid">
        <fgColor rgb="FF305496"/>
        <bgColor rgb="FF155E75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4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4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4" borderId="0" pivotButton="0" quotePrefix="0" xfId="0"/>
    <xf numFmtId="166" fontId="0" fillId="0" borderId="0" pivotButton="0" quotePrefix="0" xfId="0"/>
    <xf numFmtId="0" fontId="11" fillId="0" borderId="0" pivotButton="0" quotePrefix="0" xfId="0"/>
    <xf numFmtId="166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5E7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style="11" min="1" max="1"/>
  </cols>
  <sheetData>
    <row r="1">
      <c r="A1" s="22" t="inlineStr">
        <is>
          <t>Experiment Data Cleaning &amp; Preparation Notes</t>
        </is>
      </c>
    </row>
    <row r="2">
      <c r="A2" t="inlineStr"/>
    </row>
    <row r="3">
      <c r="A3" t="inlineStr">
        <is>
          <t>Sheet order: raw_data -&gt; data_quality_checks -&gt; cleaned_data</t>
        </is>
      </c>
    </row>
    <row r="4">
      <c r="A4" t="inlineStr"/>
    </row>
    <row r="5">
      <c r="A5" t="inlineStr">
        <is>
          <t>1. raw_data: original dataset as downloaded (1408 rows), with two helper columns added:</t>
        </is>
      </c>
    </row>
    <row r="6">
      <c r="A6" t="inlineStr">
        <is>
          <t xml:space="preserve">   - row_fingerprint: concatenation of all 16 fields, used to detect exact duplicate rows</t>
        </is>
      </c>
    </row>
    <row r="7">
      <c r="A7" t="inlineStr">
        <is>
          <t xml:space="preserve">   - duplicate_flag: identifies 'Exact Duplicate - Keep First' / 'Exact Duplicate - Remove' / 'Unique'</t>
        </is>
      </c>
    </row>
    <row r="8">
      <c r="A8" t="inlineStr"/>
    </row>
    <row r="9">
      <c r="A9" t="inlineStr">
        <is>
          <t>2. data_quality_checks: summarizes missing values, duplicate counts, invalid binary values,</t>
        </is>
      </c>
    </row>
    <row r="10">
      <c r="A10" t="inlineStr">
        <is>
          <t xml:space="preserve">   group counts, revenue outliers (IQR method), and segment distribution across Control/Treatment.</t>
        </is>
      </c>
    </row>
    <row r="11">
      <c r="A11" t="inlineStr"/>
    </row>
    <row r="12">
      <c r="A12" t="inlineStr">
        <is>
          <t>3. cleaned_data: final analysis-ready dataset (1400 rows) after:</t>
        </is>
      </c>
    </row>
    <row r="13">
      <c r="A13" t="inlineStr">
        <is>
          <t xml:space="preserve">   - Removing 8 exact duplicate rows (kept first occurrence)</t>
        </is>
      </c>
    </row>
    <row r="14">
      <c r="A14" t="inlineStr">
        <is>
          <t xml:space="preserve">   - Filling missing device_type (18 rows) and traffic_source (24 rows) with 'Unknown'</t>
        </is>
      </c>
    </row>
    <row r="15">
      <c r="A15" t="inlineStr">
        <is>
          <t xml:space="preserve">   - No invalid binary values were found (all 0/1 fields were clean)</t>
        </is>
      </c>
    </row>
    <row r="16">
      <c r="A16" t="inlineStr">
        <is>
          <t xml:space="preserve">   - 4 revenue values among converted users were flagged as statistical outliers (IQR method)</t>
        </is>
      </c>
    </row>
    <row r="17">
      <c r="A17" t="inlineStr">
        <is>
          <t xml:space="preserve">     but were RETAINED, since high-revenue converters are valid business outcomes, not data errors</t>
        </is>
      </c>
    </row>
    <row r="18">
      <c r="A18" t="inlineStr"/>
    </row>
    <row r="19">
      <c r="A19" t="inlineStr">
        <is>
          <t>Group sizes after cleaning: Control = 690, Treatment = 710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40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0" min="1" max="16"/>
    <col width="14" customWidth="1" style="10" min="17" max="17"/>
    <col width="24" customWidth="1" style="10" min="18" max="18"/>
  </cols>
  <sheetData>
    <row r="1" ht="27.75" customHeight="1" s="11">
      <c r="A1" s="12" t="inlineStr">
        <is>
          <t>user_id</t>
        </is>
      </c>
      <c r="B1" s="12" t="inlineStr">
        <is>
          <t>signup_date</t>
        </is>
      </c>
      <c r="C1" s="12" t="inlineStr">
        <is>
          <t>experiment_group</t>
        </is>
      </c>
      <c r="D1" s="12" t="inlineStr">
        <is>
          <t>region</t>
        </is>
      </c>
      <c r="E1" s="12" t="inlineStr">
        <is>
          <t>device_type</t>
        </is>
      </c>
      <c r="F1" s="12" t="inlineStr">
        <is>
          <t>traffic_source</t>
        </is>
      </c>
      <c r="G1" s="12" t="inlineStr">
        <is>
          <t>plan_type</t>
        </is>
      </c>
      <c r="H1" s="12" t="inlineStr">
        <is>
          <t>visited_landing_page</t>
        </is>
      </c>
      <c r="I1" s="12" t="inlineStr">
        <is>
          <t>started_trial</t>
        </is>
      </c>
      <c r="J1" s="12" t="inlineStr">
        <is>
          <t>completed_onboarding</t>
        </is>
      </c>
      <c r="K1" s="12" t="inlineStr">
        <is>
          <t>converted_to_paid</t>
        </is>
      </c>
      <c r="L1" s="12" t="inlineStr">
        <is>
          <t>revenue_30d</t>
        </is>
      </c>
      <c r="M1" s="12" t="inlineStr">
        <is>
          <t>support_tickets_30d</t>
        </is>
      </c>
      <c r="N1" s="12" t="inlineStr">
        <is>
          <t>refund_requested</t>
        </is>
      </c>
      <c r="O1" s="12" t="inlineStr">
        <is>
          <t>days_to_convert</t>
        </is>
      </c>
      <c r="P1" s="12" t="inlineStr">
        <is>
          <t>engagement_score</t>
        </is>
      </c>
      <c r="Q1" s="13" t="inlineStr">
        <is>
          <t>row_fingerprint</t>
        </is>
      </c>
      <c r="R1" s="13" t="inlineStr">
        <is>
          <t>duplicate_flag</t>
        </is>
      </c>
    </row>
    <row r="2" ht="15" customHeight="1" s="11">
      <c r="A2" s="10" t="inlineStr">
        <is>
          <t>USR-100001</t>
        </is>
      </c>
      <c r="B2" s="14" t="n">
        <v>45732</v>
      </c>
      <c r="C2" s="10" t="inlineStr">
        <is>
          <t>Control</t>
        </is>
      </c>
      <c r="D2" s="10" t="inlineStr">
        <is>
          <t>North</t>
        </is>
      </c>
      <c r="E2" s="10" t="inlineStr">
        <is>
          <t>Desktop</t>
        </is>
      </c>
      <c r="F2" s="10" t="inlineStr">
        <is>
          <t>Email</t>
        </is>
      </c>
      <c r="G2" s="10" t="inlineStr">
        <is>
          <t>Basic</t>
        </is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  <c r="N2" s="10" t="n">
        <v>0</v>
      </c>
      <c r="P2" s="10" t="n">
        <v>45.7</v>
      </c>
      <c r="Q2" s="10">
        <f>A2&amp;"|"&amp;B2&amp;"|"&amp;C2&amp;"|"&amp;D2&amp;"|"&amp;E2&amp;"|"&amp;F2&amp;"|"&amp;G2&amp;"|"&amp;H2&amp;"|"&amp;I2&amp;"|"&amp;J2&amp;"|"&amp;K2&amp;"|"&amp;L2&amp;"|"&amp;M2&amp;"|"&amp;N2&amp;"|"&amp;O2&amp;"|"&amp;P2</f>
        <v/>
      </c>
      <c r="R2" s="10">
        <f>IF(COUNTIF($Q$2:$Q$1409,Q2)&gt;1,IF(COUNTIF($Q$2:Q2,Q2)=1,"Exact Duplicate - Keep First","Exact Duplicate - Remove"),"Unique")</f>
        <v/>
      </c>
    </row>
    <row r="3" ht="15" customHeight="1" s="11">
      <c r="A3" s="10" t="inlineStr">
        <is>
          <t>USR-100002</t>
        </is>
      </c>
      <c r="B3" s="14" t="n">
        <v>45724</v>
      </c>
      <c r="C3" s="10" t="inlineStr">
        <is>
          <t>Control</t>
        </is>
      </c>
      <c r="D3" s="10" t="inlineStr">
        <is>
          <t>West</t>
        </is>
      </c>
      <c r="E3" s="10" t="inlineStr">
        <is>
          <t>Mobile</t>
        </is>
      </c>
      <c r="F3" s="10" t="inlineStr">
        <is>
          <t>Organic</t>
        </is>
      </c>
      <c r="G3" s="10" t="inlineStr">
        <is>
          <t>Free</t>
        </is>
      </c>
      <c r="H3" s="10" t="n">
        <v>1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  <c r="N3" s="10" t="n">
        <v>0</v>
      </c>
      <c r="P3" s="10" t="n">
        <v>48.6</v>
      </c>
      <c r="Q3" s="10">
        <f>A3&amp;"|"&amp;B3&amp;"|"&amp;C3&amp;"|"&amp;D3&amp;"|"&amp;E3&amp;"|"&amp;F3&amp;"|"&amp;G3&amp;"|"&amp;H3&amp;"|"&amp;I3&amp;"|"&amp;J3&amp;"|"&amp;K3&amp;"|"&amp;L3&amp;"|"&amp;M3&amp;"|"&amp;N3&amp;"|"&amp;O3&amp;"|"&amp;P3</f>
        <v/>
      </c>
      <c r="R3" s="10">
        <f>IF(COUNTIF($Q$2:$Q$1409,Q3)&gt;1,IF(COUNTIF($Q$2:Q3,Q3)=1,"Exact Duplicate - Keep First","Exact Duplicate - Remove"),"Unique")</f>
        <v/>
      </c>
    </row>
    <row r="4" ht="15" customHeight="1" s="11">
      <c r="A4" s="10" t="inlineStr">
        <is>
          <t>USR-100003</t>
        </is>
      </c>
      <c r="B4" s="14" t="n">
        <v>45771</v>
      </c>
      <c r="C4" s="10" t="inlineStr">
        <is>
          <t>Control</t>
        </is>
      </c>
      <c r="D4" s="10" t="inlineStr">
        <is>
          <t>East</t>
        </is>
      </c>
      <c r="E4" s="10" t="inlineStr">
        <is>
          <t>Mobile</t>
        </is>
      </c>
      <c r="F4" s="10" t="inlineStr">
        <is>
          <t>Paid Search</t>
        </is>
      </c>
      <c r="G4" s="10" t="inlineStr">
        <is>
          <t>Premium</t>
        </is>
      </c>
      <c r="H4" s="10" t="n">
        <v>1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1</v>
      </c>
      <c r="N4" s="10" t="n">
        <v>0</v>
      </c>
      <c r="P4" s="10" t="n">
        <v>35.4</v>
      </c>
      <c r="Q4" s="10">
        <f>A4&amp;"|"&amp;B4&amp;"|"&amp;C4&amp;"|"&amp;D4&amp;"|"&amp;E4&amp;"|"&amp;F4&amp;"|"&amp;G4&amp;"|"&amp;H4&amp;"|"&amp;I4&amp;"|"&amp;J4&amp;"|"&amp;K4&amp;"|"&amp;L4&amp;"|"&amp;M4&amp;"|"&amp;N4&amp;"|"&amp;O4&amp;"|"&amp;P4</f>
        <v/>
      </c>
      <c r="R4" s="10">
        <f>IF(COUNTIF($Q$2:$Q$1409,Q4)&gt;1,IF(COUNTIF($Q$2:Q4,Q4)=1,"Exact Duplicate - Keep First","Exact Duplicate - Remove"),"Unique")</f>
        <v/>
      </c>
    </row>
    <row r="5" ht="15" customHeight="1" s="11">
      <c r="A5" s="10" t="inlineStr">
        <is>
          <t>USR-100004</t>
        </is>
      </c>
      <c r="B5" s="14" t="n">
        <v>45781</v>
      </c>
      <c r="C5" s="10" t="inlineStr">
        <is>
          <t>Control</t>
        </is>
      </c>
      <c r="D5" s="10" t="inlineStr">
        <is>
          <t>South</t>
        </is>
      </c>
      <c r="E5" s="10" t="inlineStr">
        <is>
          <t>Mobile</t>
        </is>
      </c>
      <c r="F5" s="10" t="inlineStr">
        <is>
          <t>Email</t>
        </is>
      </c>
      <c r="G5" s="10" t="inlineStr">
        <is>
          <t>Basic</t>
        </is>
      </c>
      <c r="H5" s="10" t="n">
        <v>1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P5" s="10" t="n">
        <v>64.59999999999999</v>
      </c>
      <c r="Q5" s="10">
        <f>A5&amp;"|"&amp;B5&amp;"|"&amp;C5&amp;"|"&amp;D5&amp;"|"&amp;E5&amp;"|"&amp;F5&amp;"|"&amp;G5&amp;"|"&amp;H5&amp;"|"&amp;I5&amp;"|"&amp;J5&amp;"|"&amp;K5&amp;"|"&amp;L5&amp;"|"&amp;M5&amp;"|"&amp;N5&amp;"|"&amp;O5&amp;"|"&amp;P5</f>
        <v/>
      </c>
      <c r="R5" s="10">
        <f>IF(COUNTIF($Q$2:$Q$1409,Q5)&gt;1,IF(COUNTIF($Q$2:Q5,Q5)=1,"Exact Duplicate - Keep First","Exact Duplicate - Remove"),"Unique")</f>
        <v/>
      </c>
    </row>
    <row r="6" ht="15" customHeight="1" s="11">
      <c r="A6" s="10" t="inlineStr">
        <is>
          <t>USR-100005</t>
        </is>
      </c>
      <c r="B6" s="14" t="n">
        <v>45700</v>
      </c>
      <c r="C6" s="10" t="inlineStr">
        <is>
          <t>Control</t>
        </is>
      </c>
      <c r="D6" s="10" t="inlineStr">
        <is>
          <t>North</t>
        </is>
      </c>
      <c r="E6" s="10" t="inlineStr">
        <is>
          <t>Tablet</t>
        </is>
      </c>
      <c r="F6" s="10" t="inlineStr">
        <is>
          <t>Organic</t>
        </is>
      </c>
      <c r="G6" s="10" t="inlineStr">
        <is>
          <t>Free</t>
        </is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P6" s="10" t="n">
        <v>66.59999999999999</v>
      </c>
      <c r="Q6" s="10">
        <f>A6&amp;"|"&amp;B6&amp;"|"&amp;C6&amp;"|"&amp;D6&amp;"|"&amp;E6&amp;"|"&amp;F6&amp;"|"&amp;G6&amp;"|"&amp;H6&amp;"|"&amp;I6&amp;"|"&amp;J6&amp;"|"&amp;K6&amp;"|"&amp;L6&amp;"|"&amp;M6&amp;"|"&amp;N6&amp;"|"&amp;O6&amp;"|"&amp;P6</f>
        <v/>
      </c>
      <c r="R6" s="10">
        <f>IF(COUNTIF($Q$2:$Q$1409,Q6)&gt;1,IF(COUNTIF($Q$2:Q6,Q6)=1,"Exact Duplicate - Keep First","Exact Duplicate - Remove"),"Unique")</f>
        <v/>
      </c>
    </row>
    <row r="7" ht="15" customHeight="1" s="11">
      <c r="A7" s="10" t="inlineStr">
        <is>
          <t>USR-100006</t>
        </is>
      </c>
      <c r="B7" s="14" t="n">
        <v>45685</v>
      </c>
      <c r="C7" s="10" t="inlineStr">
        <is>
          <t>Control</t>
        </is>
      </c>
      <c r="D7" s="10" t="inlineStr">
        <is>
          <t>East</t>
        </is>
      </c>
      <c r="E7" s="10" t="inlineStr">
        <is>
          <t>Mobile</t>
        </is>
      </c>
      <c r="F7" s="10" t="inlineStr">
        <is>
          <t>Organic</t>
        </is>
      </c>
      <c r="G7" s="10" t="inlineStr">
        <is>
          <t>Premium</t>
        </is>
      </c>
      <c r="H7" s="10" t="n">
        <v>1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P7" s="10" t="n">
        <v>40.8</v>
      </c>
      <c r="Q7" s="10">
        <f>A7&amp;"|"&amp;B7&amp;"|"&amp;C7&amp;"|"&amp;D7&amp;"|"&amp;E7&amp;"|"&amp;F7&amp;"|"&amp;G7&amp;"|"&amp;H7&amp;"|"&amp;I7&amp;"|"&amp;J7&amp;"|"&amp;K7&amp;"|"&amp;L7&amp;"|"&amp;M7&amp;"|"&amp;N7&amp;"|"&amp;O7&amp;"|"&amp;P7</f>
        <v/>
      </c>
      <c r="R7" s="10">
        <f>IF(COUNTIF($Q$2:$Q$1409,Q7)&gt;1,IF(COUNTIF($Q$2:Q7,Q7)=1,"Exact Duplicate - Keep First","Exact Duplicate - Remove"),"Unique")</f>
        <v/>
      </c>
    </row>
    <row r="8" ht="15" customHeight="1" s="11">
      <c r="A8" s="10" t="inlineStr">
        <is>
          <t>USR-100007</t>
        </is>
      </c>
      <c r="B8" s="14" t="n">
        <v>45755</v>
      </c>
      <c r="C8" s="10" t="inlineStr">
        <is>
          <t>Control</t>
        </is>
      </c>
      <c r="D8" s="10" t="inlineStr">
        <is>
          <t>East</t>
        </is>
      </c>
      <c r="E8" s="10" t="inlineStr">
        <is>
          <t>Mobile</t>
        </is>
      </c>
      <c r="F8" s="10" t="inlineStr">
        <is>
          <t>Paid Search</t>
        </is>
      </c>
      <c r="G8" s="10" t="inlineStr">
        <is>
          <t>Basic</t>
        </is>
      </c>
      <c r="H8" s="10" t="n">
        <v>1</v>
      </c>
      <c r="I8" s="10" t="n">
        <v>1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P8" s="10" t="n">
        <v>57.1</v>
      </c>
      <c r="Q8" s="10">
        <f>A8&amp;"|"&amp;B8&amp;"|"&amp;C8&amp;"|"&amp;D8&amp;"|"&amp;E8&amp;"|"&amp;F8&amp;"|"&amp;G8&amp;"|"&amp;H8&amp;"|"&amp;I8&amp;"|"&amp;J8&amp;"|"&amp;K8&amp;"|"&amp;L8&amp;"|"&amp;M8&amp;"|"&amp;N8&amp;"|"&amp;O8&amp;"|"&amp;P8</f>
        <v/>
      </c>
      <c r="R8" s="10">
        <f>IF(COUNTIF($Q$2:$Q$1409,Q8)&gt;1,IF(COUNTIF($Q$2:Q8,Q8)=1,"Exact Duplicate - Keep First","Exact Duplicate - Remove"),"Unique")</f>
        <v/>
      </c>
    </row>
    <row r="9" ht="15" customHeight="1" s="11">
      <c r="A9" s="10" t="inlineStr">
        <is>
          <t>USR-100008</t>
        </is>
      </c>
      <c r="B9" s="14" t="n">
        <v>45794</v>
      </c>
      <c r="C9" s="10" t="inlineStr">
        <is>
          <t>Control</t>
        </is>
      </c>
      <c r="D9" s="10" t="inlineStr">
        <is>
          <t>South</t>
        </is>
      </c>
      <c r="E9" s="10" t="inlineStr">
        <is>
          <t>Mobile</t>
        </is>
      </c>
      <c r="F9" s="10" t="inlineStr">
        <is>
          <t>Paid Search</t>
        </is>
      </c>
      <c r="G9" s="10" t="inlineStr">
        <is>
          <t>Free</t>
        </is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P9" s="10" t="n">
        <v>36.4</v>
      </c>
      <c r="Q9" s="10">
        <f>A9&amp;"|"&amp;B9&amp;"|"&amp;C9&amp;"|"&amp;D9&amp;"|"&amp;E9&amp;"|"&amp;F9&amp;"|"&amp;G9&amp;"|"&amp;H9&amp;"|"&amp;I9&amp;"|"&amp;J9&amp;"|"&amp;K9&amp;"|"&amp;L9&amp;"|"&amp;M9&amp;"|"&amp;N9&amp;"|"&amp;O9&amp;"|"&amp;P9</f>
        <v/>
      </c>
      <c r="R9" s="10">
        <f>IF(COUNTIF($Q$2:$Q$1409,Q9)&gt;1,IF(COUNTIF($Q$2:Q9,Q9)=1,"Exact Duplicate - Keep First","Exact Duplicate - Remove"),"Unique")</f>
        <v/>
      </c>
    </row>
    <row r="10" ht="15" customHeight="1" s="11">
      <c r="A10" s="10" t="inlineStr">
        <is>
          <t>USR-100009</t>
        </is>
      </c>
      <c r="B10" s="14" t="n">
        <v>45711</v>
      </c>
      <c r="C10" s="10" t="inlineStr">
        <is>
          <t>Control</t>
        </is>
      </c>
      <c r="D10" s="10" t="inlineStr">
        <is>
          <t>South</t>
        </is>
      </c>
      <c r="E10" s="10" t="inlineStr">
        <is>
          <t>Tablet</t>
        </is>
      </c>
      <c r="F10" s="10" t="inlineStr">
        <is>
          <t>Referral</t>
        </is>
      </c>
      <c r="G10" s="10" t="inlineStr">
        <is>
          <t>Basic</t>
        </is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P10" s="10" t="n">
        <v>55.4</v>
      </c>
      <c r="Q10" s="10">
        <f>A10&amp;"|"&amp;B10&amp;"|"&amp;C10&amp;"|"&amp;D10&amp;"|"&amp;E10&amp;"|"&amp;F10&amp;"|"&amp;G10&amp;"|"&amp;H10&amp;"|"&amp;I10&amp;"|"&amp;J10&amp;"|"&amp;K10&amp;"|"&amp;L10&amp;"|"&amp;M10&amp;"|"&amp;N10&amp;"|"&amp;O10&amp;"|"&amp;P10</f>
        <v/>
      </c>
      <c r="R10" s="10">
        <f>IF(COUNTIF($Q$2:$Q$1409,Q10)&gt;1,IF(COUNTIF($Q$2:Q10,Q10)=1,"Exact Duplicate - Keep First","Exact Duplicate - Remove"),"Unique")</f>
        <v/>
      </c>
    </row>
    <row r="11" ht="15" customHeight="1" s="11">
      <c r="A11" s="10" t="inlineStr">
        <is>
          <t>USR-100010</t>
        </is>
      </c>
      <c r="B11" s="14" t="n">
        <v>45806</v>
      </c>
      <c r="C11" s="10" t="inlineStr">
        <is>
          <t>Control</t>
        </is>
      </c>
      <c r="D11" s="10" t="inlineStr">
        <is>
          <t>West</t>
        </is>
      </c>
      <c r="E11" s="10" t="inlineStr">
        <is>
          <t>Desktop</t>
        </is>
      </c>
      <c r="F11" s="10" t="inlineStr">
        <is>
          <t>Social</t>
        </is>
      </c>
      <c r="G11" s="10" t="inlineStr">
        <is>
          <t>Free</t>
        </is>
      </c>
      <c r="H11" s="10" t="n">
        <v>1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P11" s="10" t="n">
        <v>57.3</v>
      </c>
      <c r="Q11" s="10">
        <f>A11&amp;"|"&amp;B11&amp;"|"&amp;C11&amp;"|"&amp;D11&amp;"|"&amp;E11&amp;"|"&amp;F11&amp;"|"&amp;G11&amp;"|"&amp;H11&amp;"|"&amp;I11&amp;"|"&amp;J11&amp;"|"&amp;K11&amp;"|"&amp;L11&amp;"|"&amp;M11&amp;"|"&amp;N11&amp;"|"&amp;O11&amp;"|"&amp;P11</f>
        <v/>
      </c>
      <c r="R11" s="10">
        <f>IF(COUNTIF($Q$2:$Q$1409,Q11)&gt;1,IF(COUNTIF($Q$2:Q11,Q11)=1,"Exact Duplicate - Keep First","Exact Duplicate - Remove"),"Unique")</f>
        <v/>
      </c>
    </row>
    <row r="12" ht="15" customHeight="1" s="11">
      <c r="A12" s="10" t="inlineStr">
        <is>
          <t>USR-100011</t>
        </is>
      </c>
      <c r="B12" s="14" t="n">
        <v>45777</v>
      </c>
      <c r="C12" s="10" t="inlineStr">
        <is>
          <t>Control</t>
        </is>
      </c>
      <c r="D12" s="10" t="inlineStr">
        <is>
          <t>East</t>
        </is>
      </c>
      <c r="E12" s="10" t="inlineStr">
        <is>
          <t>Mobile</t>
        </is>
      </c>
      <c r="F12" s="10" t="inlineStr">
        <is>
          <t>Paid Search</t>
        </is>
      </c>
      <c r="G12" s="10" t="inlineStr">
        <is>
          <t>Basic</t>
        </is>
      </c>
      <c r="H12" s="10" t="n">
        <v>1</v>
      </c>
      <c r="I12" s="10" t="n">
        <v>1</v>
      </c>
      <c r="J12" s="10" t="n">
        <v>1</v>
      </c>
      <c r="K12" s="10" t="n">
        <v>0</v>
      </c>
      <c r="L12" s="10" t="n">
        <v>0</v>
      </c>
      <c r="M12" s="10" t="n">
        <v>0</v>
      </c>
      <c r="N12" s="10" t="n">
        <v>0</v>
      </c>
      <c r="P12" s="10" t="n">
        <v>63.6</v>
      </c>
      <c r="Q12" s="10">
        <f>A12&amp;"|"&amp;B12&amp;"|"&amp;C12&amp;"|"&amp;D12&amp;"|"&amp;E12&amp;"|"&amp;F12&amp;"|"&amp;G12&amp;"|"&amp;H12&amp;"|"&amp;I12&amp;"|"&amp;J12&amp;"|"&amp;K12&amp;"|"&amp;L12&amp;"|"&amp;M12&amp;"|"&amp;N12&amp;"|"&amp;O12&amp;"|"&amp;P12</f>
        <v/>
      </c>
      <c r="R12" s="10">
        <f>IF(COUNTIF($Q$2:$Q$1409,Q12)&gt;1,IF(COUNTIF($Q$2:Q12,Q12)=1,"Exact Duplicate - Keep First","Exact Duplicate - Remove"),"Unique")</f>
        <v/>
      </c>
    </row>
    <row r="13" ht="15" customHeight="1" s="11">
      <c r="A13" s="10" t="inlineStr">
        <is>
          <t>USR-100012</t>
        </is>
      </c>
      <c r="B13" s="14" t="n">
        <v>45732</v>
      </c>
      <c r="C13" s="10" t="inlineStr">
        <is>
          <t>Control</t>
        </is>
      </c>
      <c r="D13" s="10" t="inlineStr">
        <is>
          <t>East</t>
        </is>
      </c>
      <c r="E13" s="10" t="inlineStr">
        <is>
          <t>Mobile</t>
        </is>
      </c>
      <c r="F13" s="10" t="inlineStr">
        <is>
          <t>Social</t>
        </is>
      </c>
      <c r="G13" s="10" t="inlineStr">
        <is>
          <t>Premium</t>
        </is>
      </c>
      <c r="H13" s="10" t="n">
        <v>1</v>
      </c>
      <c r="I13" s="10" t="n">
        <v>1</v>
      </c>
      <c r="J13" s="10" t="n">
        <v>1</v>
      </c>
      <c r="K13" s="10" t="n">
        <v>0</v>
      </c>
      <c r="L13" s="10" t="n">
        <v>0</v>
      </c>
      <c r="M13" s="10" t="n">
        <v>1</v>
      </c>
      <c r="N13" s="10" t="n">
        <v>0</v>
      </c>
      <c r="P13" s="10" t="n">
        <v>80.40000000000001</v>
      </c>
      <c r="Q13" s="10">
        <f>A13&amp;"|"&amp;B13&amp;"|"&amp;C13&amp;"|"&amp;D13&amp;"|"&amp;E13&amp;"|"&amp;F13&amp;"|"&amp;G13&amp;"|"&amp;H13&amp;"|"&amp;I13&amp;"|"&amp;J13&amp;"|"&amp;K13&amp;"|"&amp;L13&amp;"|"&amp;M13&amp;"|"&amp;N13&amp;"|"&amp;O13&amp;"|"&amp;P13</f>
        <v/>
      </c>
      <c r="R13" s="10">
        <f>IF(COUNTIF($Q$2:$Q$1409,Q13)&gt;1,IF(COUNTIF($Q$2:Q13,Q13)=1,"Exact Duplicate - Keep First","Exact Duplicate - Remove"),"Unique")</f>
        <v/>
      </c>
    </row>
    <row r="14" ht="15" customHeight="1" s="11">
      <c r="A14" s="10" t="inlineStr">
        <is>
          <t>USR-100013</t>
        </is>
      </c>
      <c r="B14" s="14" t="n">
        <v>45695</v>
      </c>
      <c r="C14" s="10" t="inlineStr">
        <is>
          <t>Control</t>
        </is>
      </c>
      <c r="D14" s="10" t="inlineStr">
        <is>
          <t>South</t>
        </is>
      </c>
      <c r="E14" s="10" t="inlineStr">
        <is>
          <t>Desktop</t>
        </is>
      </c>
      <c r="F14" s="10" t="inlineStr">
        <is>
          <t>Email</t>
        </is>
      </c>
      <c r="G14" s="10" t="inlineStr">
        <is>
          <t>Basic</t>
        </is>
      </c>
      <c r="H14" s="10" t="n">
        <v>1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P14" s="10" t="n">
        <v>62.4</v>
      </c>
      <c r="Q14" s="10">
        <f>A14&amp;"|"&amp;B14&amp;"|"&amp;C14&amp;"|"&amp;D14&amp;"|"&amp;E14&amp;"|"&amp;F14&amp;"|"&amp;G14&amp;"|"&amp;H14&amp;"|"&amp;I14&amp;"|"&amp;J14&amp;"|"&amp;K14&amp;"|"&amp;L14&amp;"|"&amp;M14&amp;"|"&amp;N14&amp;"|"&amp;O14&amp;"|"&amp;P14</f>
        <v/>
      </c>
      <c r="R14" s="10">
        <f>IF(COUNTIF($Q$2:$Q$1409,Q14)&gt;1,IF(COUNTIF($Q$2:Q14,Q14)=1,"Exact Duplicate - Keep First","Exact Duplicate - Remove"),"Unique")</f>
        <v/>
      </c>
    </row>
    <row r="15" ht="15" customHeight="1" s="11">
      <c r="A15" s="10" t="inlineStr">
        <is>
          <t>USR-100014</t>
        </is>
      </c>
      <c r="B15" s="14" t="n">
        <v>45718</v>
      </c>
      <c r="C15" s="10" t="inlineStr">
        <is>
          <t>Control</t>
        </is>
      </c>
      <c r="D15" s="10" t="inlineStr">
        <is>
          <t>West</t>
        </is>
      </c>
      <c r="E15" s="10" t="inlineStr">
        <is>
          <t>Mobile</t>
        </is>
      </c>
      <c r="F15" s="10" t="inlineStr">
        <is>
          <t>Social</t>
        </is>
      </c>
      <c r="G15" s="10" t="inlineStr">
        <is>
          <t>Basic</t>
        </is>
      </c>
      <c r="H15" s="10" t="n">
        <v>1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P15" s="10" t="n">
        <v>82.40000000000001</v>
      </c>
      <c r="Q15" s="10">
        <f>A15&amp;"|"&amp;B15&amp;"|"&amp;C15&amp;"|"&amp;D15&amp;"|"&amp;E15&amp;"|"&amp;F15&amp;"|"&amp;G15&amp;"|"&amp;H15&amp;"|"&amp;I15&amp;"|"&amp;J15&amp;"|"&amp;K15&amp;"|"&amp;L15&amp;"|"&amp;M15&amp;"|"&amp;N15&amp;"|"&amp;O15&amp;"|"&amp;P15</f>
        <v/>
      </c>
      <c r="R15" s="10">
        <f>IF(COUNTIF($Q$2:$Q$1409,Q15)&gt;1,IF(COUNTIF($Q$2:Q15,Q15)=1,"Exact Duplicate - Keep First","Exact Duplicate - Remove"),"Unique")</f>
        <v/>
      </c>
    </row>
    <row r="16" ht="15" customHeight="1" s="11">
      <c r="A16" s="10" t="inlineStr">
        <is>
          <t>USR-100015</t>
        </is>
      </c>
      <c r="B16" s="14" t="n">
        <v>45807</v>
      </c>
      <c r="C16" s="10" t="inlineStr">
        <is>
          <t>Control</t>
        </is>
      </c>
      <c r="D16" s="10" t="inlineStr">
        <is>
          <t>South</t>
        </is>
      </c>
      <c r="E16" s="10" t="inlineStr">
        <is>
          <t>Mobile</t>
        </is>
      </c>
      <c r="F16" s="10" t="inlineStr">
        <is>
          <t>Organic</t>
        </is>
      </c>
      <c r="G16" s="10" t="inlineStr">
        <is>
          <t>Basic</t>
        </is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P16" s="10" t="n">
        <v>61.2</v>
      </c>
      <c r="Q16" s="10">
        <f>A16&amp;"|"&amp;B16&amp;"|"&amp;C16&amp;"|"&amp;D16&amp;"|"&amp;E16&amp;"|"&amp;F16&amp;"|"&amp;G16&amp;"|"&amp;H16&amp;"|"&amp;I16&amp;"|"&amp;J16&amp;"|"&amp;K16&amp;"|"&amp;L16&amp;"|"&amp;M16&amp;"|"&amp;N16&amp;"|"&amp;O16&amp;"|"&amp;P16</f>
        <v/>
      </c>
      <c r="R16" s="10">
        <f>IF(COUNTIF($Q$2:$Q$1409,Q16)&gt;1,IF(COUNTIF($Q$2:Q16,Q16)=1,"Exact Duplicate - Keep First","Exact Duplicate - Remove"),"Unique")</f>
        <v/>
      </c>
    </row>
    <row r="17" ht="15" customHeight="1" s="11">
      <c r="A17" s="10" t="inlineStr">
        <is>
          <t>USR-100016</t>
        </is>
      </c>
      <c r="B17" s="14" t="n">
        <v>45741</v>
      </c>
      <c r="C17" s="10" t="inlineStr">
        <is>
          <t>Control</t>
        </is>
      </c>
      <c r="D17" s="10" t="inlineStr">
        <is>
          <t>South</t>
        </is>
      </c>
      <c r="E17" s="10" t="inlineStr">
        <is>
          <t>Mobile</t>
        </is>
      </c>
      <c r="F17" s="10" t="inlineStr">
        <is>
          <t>Social</t>
        </is>
      </c>
      <c r="G17" s="10" t="inlineStr">
        <is>
          <t>Basic</t>
        </is>
      </c>
      <c r="H17" s="10" t="n">
        <v>1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P17" s="10" t="n">
        <v>68.90000000000001</v>
      </c>
      <c r="Q17" s="10">
        <f>A17&amp;"|"&amp;B17&amp;"|"&amp;C17&amp;"|"&amp;D17&amp;"|"&amp;E17&amp;"|"&amp;F17&amp;"|"&amp;G17&amp;"|"&amp;H17&amp;"|"&amp;I17&amp;"|"&amp;J17&amp;"|"&amp;K17&amp;"|"&amp;L17&amp;"|"&amp;M17&amp;"|"&amp;N17&amp;"|"&amp;O17&amp;"|"&amp;P17</f>
        <v/>
      </c>
      <c r="R17" s="10">
        <f>IF(COUNTIF($Q$2:$Q$1409,Q17)&gt;1,IF(COUNTIF($Q$2:Q17,Q17)=1,"Exact Duplicate - Keep First","Exact Duplicate - Remove"),"Unique")</f>
        <v/>
      </c>
    </row>
    <row r="18" ht="15" customHeight="1" s="11">
      <c r="A18" s="10" t="inlineStr">
        <is>
          <t>USR-100017</t>
        </is>
      </c>
      <c r="B18" s="14" t="n">
        <v>45743</v>
      </c>
      <c r="C18" s="10" t="inlineStr">
        <is>
          <t>Control</t>
        </is>
      </c>
      <c r="D18" s="10" t="inlineStr">
        <is>
          <t>East</t>
        </is>
      </c>
      <c r="E18" s="10" t="inlineStr">
        <is>
          <t>Desktop</t>
        </is>
      </c>
      <c r="F18" s="10" t="inlineStr">
        <is>
          <t>Paid Search</t>
        </is>
      </c>
      <c r="G18" s="10" t="inlineStr">
        <is>
          <t>Free</t>
        </is>
      </c>
      <c r="H18" s="10" t="n">
        <v>1</v>
      </c>
      <c r="I18" s="10" t="n">
        <v>1</v>
      </c>
      <c r="J18" s="10" t="n">
        <v>1</v>
      </c>
      <c r="K18" s="10" t="n">
        <v>0</v>
      </c>
      <c r="L18" s="10" t="n">
        <v>0</v>
      </c>
      <c r="M18" s="10" t="n">
        <v>0</v>
      </c>
      <c r="N18" s="10" t="n">
        <v>0</v>
      </c>
      <c r="P18" s="10" t="n">
        <v>71.90000000000001</v>
      </c>
      <c r="Q18" s="10">
        <f>A18&amp;"|"&amp;B18&amp;"|"&amp;C18&amp;"|"&amp;D18&amp;"|"&amp;E18&amp;"|"&amp;F18&amp;"|"&amp;G18&amp;"|"&amp;H18&amp;"|"&amp;I18&amp;"|"&amp;J18&amp;"|"&amp;K18&amp;"|"&amp;L18&amp;"|"&amp;M18&amp;"|"&amp;N18&amp;"|"&amp;O18&amp;"|"&amp;P18</f>
        <v/>
      </c>
      <c r="R18" s="10">
        <f>IF(COUNTIF($Q$2:$Q$1409,Q18)&gt;1,IF(COUNTIF($Q$2:Q18,Q18)=1,"Exact Duplicate - Keep First","Exact Duplicate - Remove"),"Unique")</f>
        <v/>
      </c>
    </row>
    <row r="19" ht="15" customHeight="1" s="11">
      <c r="A19" s="10" t="inlineStr">
        <is>
          <t>USR-100018</t>
        </is>
      </c>
      <c r="B19" s="14" t="n">
        <v>45805</v>
      </c>
      <c r="C19" s="10" t="inlineStr">
        <is>
          <t>Control</t>
        </is>
      </c>
      <c r="D19" s="10" t="inlineStr">
        <is>
          <t>South</t>
        </is>
      </c>
      <c r="E19" s="10" t="inlineStr">
        <is>
          <t>Desktop</t>
        </is>
      </c>
      <c r="F19" s="10" t="inlineStr">
        <is>
          <t>Paid Search</t>
        </is>
      </c>
      <c r="G19" s="10" t="inlineStr">
        <is>
          <t>Free</t>
        </is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P19" s="10" t="n">
        <v>50.5</v>
      </c>
      <c r="Q19" s="10">
        <f>A19&amp;"|"&amp;B19&amp;"|"&amp;C19&amp;"|"&amp;D19&amp;"|"&amp;E19&amp;"|"&amp;F19&amp;"|"&amp;G19&amp;"|"&amp;H19&amp;"|"&amp;I19&amp;"|"&amp;J19&amp;"|"&amp;K19&amp;"|"&amp;L19&amp;"|"&amp;M19&amp;"|"&amp;N19&amp;"|"&amp;O19&amp;"|"&amp;P19</f>
        <v/>
      </c>
      <c r="R19" s="10">
        <f>IF(COUNTIF($Q$2:$Q$1409,Q19)&gt;1,IF(COUNTIF($Q$2:Q19,Q19)=1,"Exact Duplicate - Keep First","Exact Duplicate - Remove"),"Unique")</f>
        <v/>
      </c>
    </row>
    <row r="20" ht="15" customHeight="1" s="11">
      <c r="A20" s="10" t="inlineStr">
        <is>
          <t>USR-100019</t>
        </is>
      </c>
      <c r="B20" s="14" t="n">
        <v>45703</v>
      </c>
      <c r="C20" s="10" t="inlineStr">
        <is>
          <t>Control</t>
        </is>
      </c>
      <c r="D20" s="10" t="inlineStr">
        <is>
          <t>North</t>
        </is>
      </c>
      <c r="E20" s="10" t="inlineStr">
        <is>
          <t>Desktop</t>
        </is>
      </c>
      <c r="F20" s="10" t="inlineStr">
        <is>
          <t>Paid Search</t>
        </is>
      </c>
      <c r="G20" s="10" t="inlineStr">
        <is>
          <t>Basic</t>
        </is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P20" s="10" t="n">
        <v>49.3</v>
      </c>
      <c r="Q20" s="10">
        <f>A20&amp;"|"&amp;B20&amp;"|"&amp;C20&amp;"|"&amp;D20&amp;"|"&amp;E20&amp;"|"&amp;F20&amp;"|"&amp;G20&amp;"|"&amp;H20&amp;"|"&amp;I20&amp;"|"&amp;J20&amp;"|"&amp;K20&amp;"|"&amp;L20&amp;"|"&amp;M20&amp;"|"&amp;N20&amp;"|"&amp;O20&amp;"|"&amp;P20</f>
        <v/>
      </c>
      <c r="R20" s="10">
        <f>IF(COUNTIF($Q$2:$Q$1409,Q20)&gt;1,IF(COUNTIF($Q$2:Q20,Q20)=1,"Exact Duplicate - Keep First","Exact Duplicate - Remove"),"Unique")</f>
        <v/>
      </c>
    </row>
    <row r="21" ht="15" customHeight="1" s="11">
      <c r="A21" s="10" t="inlineStr">
        <is>
          <t>USR-100020</t>
        </is>
      </c>
      <c r="B21" s="14" t="n">
        <v>45782</v>
      </c>
      <c r="C21" s="10" t="inlineStr">
        <is>
          <t>Control</t>
        </is>
      </c>
      <c r="D21" s="10" t="inlineStr">
        <is>
          <t>West</t>
        </is>
      </c>
      <c r="E21" s="10" t="inlineStr">
        <is>
          <t>Desktop</t>
        </is>
      </c>
      <c r="F21" s="10" t="inlineStr">
        <is>
          <t>Organic</t>
        </is>
      </c>
      <c r="G21" s="10" t="inlineStr">
        <is>
          <t>Basic</t>
        </is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2</v>
      </c>
      <c r="N21" s="10" t="n">
        <v>0</v>
      </c>
      <c r="P21" s="10" t="n">
        <v>60.9</v>
      </c>
      <c r="Q21" s="10">
        <f>A21&amp;"|"&amp;B21&amp;"|"&amp;C21&amp;"|"&amp;D21&amp;"|"&amp;E21&amp;"|"&amp;F21&amp;"|"&amp;G21&amp;"|"&amp;H21&amp;"|"&amp;I21&amp;"|"&amp;J21&amp;"|"&amp;K21&amp;"|"&amp;L21&amp;"|"&amp;M21&amp;"|"&amp;N21&amp;"|"&amp;O21&amp;"|"&amp;P21</f>
        <v/>
      </c>
      <c r="R21" s="10">
        <f>IF(COUNTIF($Q$2:$Q$1409,Q21)&gt;1,IF(COUNTIF($Q$2:Q21,Q21)=1,"Exact Duplicate - Keep First","Exact Duplicate - Remove"),"Unique")</f>
        <v/>
      </c>
    </row>
    <row r="22" ht="15" customHeight="1" s="11">
      <c r="A22" s="10" t="inlineStr">
        <is>
          <t>USR-100021</t>
        </is>
      </c>
      <c r="B22" s="14" t="n">
        <v>45760</v>
      </c>
      <c r="C22" s="10" t="inlineStr">
        <is>
          <t>Control</t>
        </is>
      </c>
      <c r="D22" s="10" t="inlineStr">
        <is>
          <t>East</t>
        </is>
      </c>
      <c r="E22" s="10" t="inlineStr">
        <is>
          <t>Mobile</t>
        </is>
      </c>
      <c r="F22" s="10" t="inlineStr">
        <is>
          <t>Social</t>
        </is>
      </c>
      <c r="G22" s="10" t="inlineStr">
        <is>
          <t>Free</t>
        </is>
      </c>
      <c r="H22" s="10" t="n">
        <v>1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P22" s="10" t="n">
        <v>62.7</v>
      </c>
      <c r="Q22" s="10">
        <f>A22&amp;"|"&amp;B22&amp;"|"&amp;C22&amp;"|"&amp;D22&amp;"|"&amp;E22&amp;"|"&amp;F22&amp;"|"&amp;G22&amp;"|"&amp;H22&amp;"|"&amp;I22&amp;"|"&amp;J22&amp;"|"&amp;K22&amp;"|"&amp;L22&amp;"|"&amp;M22&amp;"|"&amp;N22&amp;"|"&amp;O22&amp;"|"&amp;P22</f>
        <v/>
      </c>
      <c r="R22" s="10">
        <f>IF(COUNTIF($Q$2:$Q$1409,Q22)&gt;1,IF(COUNTIF($Q$2:Q22,Q22)=1,"Exact Duplicate - Keep First","Exact Duplicate - Remove"),"Unique")</f>
        <v/>
      </c>
    </row>
    <row r="23" ht="15" customHeight="1" s="11">
      <c r="A23" s="10" t="inlineStr">
        <is>
          <t>USR-100022</t>
        </is>
      </c>
      <c r="B23" s="14" t="n">
        <v>45784</v>
      </c>
      <c r="C23" s="10" t="inlineStr">
        <is>
          <t>Control</t>
        </is>
      </c>
      <c r="D23" s="10" t="inlineStr">
        <is>
          <t>North</t>
        </is>
      </c>
      <c r="E23" s="10" t="inlineStr">
        <is>
          <t>Desktop</t>
        </is>
      </c>
      <c r="F23" s="10" t="inlineStr">
        <is>
          <t>Paid Search</t>
        </is>
      </c>
      <c r="G23" s="10" t="inlineStr">
        <is>
          <t>Free</t>
        </is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0</v>
      </c>
      <c r="M23" s="10" t="n">
        <v>0</v>
      </c>
      <c r="N23" s="10" t="n">
        <v>0</v>
      </c>
      <c r="P23" s="10" t="n">
        <v>52.7</v>
      </c>
      <c r="Q23" s="10">
        <f>A23&amp;"|"&amp;B23&amp;"|"&amp;C23&amp;"|"&amp;D23&amp;"|"&amp;E23&amp;"|"&amp;F23&amp;"|"&amp;G23&amp;"|"&amp;H23&amp;"|"&amp;I23&amp;"|"&amp;J23&amp;"|"&amp;K23&amp;"|"&amp;L23&amp;"|"&amp;M23&amp;"|"&amp;N23&amp;"|"&amp;O23&amp;"|"&amp;P23</f>
        <v/>
      </c>
      <c r="R23" s="10">
        <f>IF(COUNTIF($Q$2:$Q$1409,Q23)&gt;1,IF(COUNTIF($Q$2:Q23,Q23)=1,"Exact Duplicate - Keep First","Exact Duplicate - Remove"),"Unique")</f>
        <v/>
      </c>
    </row>
    <row r="24" ht="15" customHeight="1" s="11">
      <c r="A24" s="10" t="inlineStr">
        <is>
          <t>USR-100023</t>
        </is>
      </c>
      <c r="B24" s="14" t="n">
        <v>45802</v>
      </c>
      <c r="C24" s="10" t="inlineStr">
        <is>
          <t>Control</t>
        </is>
      </c>
      <c r="D24" s="10" t="inlineStr">
        <is>
          <t>North</t>
        </is>
      </c>
      <c r="E24" s="10" t="inlineStr">
        <is>
          <t>Desktop</t>
        </is>
      </c>
      <c r="F24" s="10" t="inlineStr">
        <is>
          <t>Organic</t>
        </is>
      </c>
      <c r="G24" s="10" t="inlineStr">
        <is>
          <t>Free</t>
        </is>
      </c>
      <c r="H24" s="10" t="n">
        <v>0</v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P24" s="10" t="n">
        <v>54</v>
      </c>
      <c r="Q24" s="10">
        <f>A24&amp;"|"&amp;B24&amp;"|"&amp;C24&amp;"|"&amp;D24&amp;"|"&amp;E24&amp;"|"&amp;F24&amp;"|"&amp;G24&amp;"|"&amp;H24&amp;"|"&amp;I24&amp;"|"&amp;J24&amp;"|"&amp;K24&amp;"|"&amp;L24&amp;"|"&amp;M24&amp;"|"&amp;N24&amp;"|"&amp;O24&amp;"|"&amp;P24</f>
        <v/>
      </c>
      <c r="R24" s="10">
        <f>IF(COUNTIF($Q$2:$Q$1409,Q24)&gt;1,IF(COUNTIF($Q$2:Q24,Q24)=1,"Exact Duplicate - Keep First","Exact Duplicate - Remove"),"Unique")</f>
        <v/>
      </c>
    </row>
    <row r="25" ht="15" customHeight="1" s="11">
      <c r="A25" s="10" t="inlineStr">
        <is>
          <t>USR-100024</t>
        </is>
      </c>
      <c r="B25" s="14" t="n">
        <v>45748</v>
      </c>
      <c r="C25" s="10" t="inlineStr">
        <is>
          <t>Control</t>
        </is>
      </c>
      <c r="D25" s="10" t="inlineStr">
        <is>
          <t>East</t>
        </is>
      </c>
      <c r="E25" s="10" t="inlineStr">
        <is>
          <t>Mobile</t>
        </is>
      </c>
      <c r="F25" s="10" t="inlineStr">
        <is>
          <t>Paid Search</t>
        </is>
      </c>
      <c r="G25" s="10" t="inlineStr">
        <is>
          <t>Premium</t>
        </is>
      </c>
      <c r="H25" s="10" t="n">
        <v>1</v>
      </c>
      <c r="I25" s="10" t="n">
        <v>1</v>
      </c>
      <c r="J25" s="10" t="n">
        <v>0</v>
      </c>
      <c r="K25" s="10" t="n">
        <v>0</v>
      </c>
      <c r="L25" s="10" t="n">
        <v>0</v>
      </c>
      <c r="M25" s="10" t="n">
        <v>0</v>
      </c>
      <c r="N25" s="10" t="n">
        <v>0</v>
      </c>
      <c r="P25" s="10" t="n">
        <v>51.6</v>
      </c>
      <c r="Q25" s="10">
        <f>A25&amp;"|"&amp;B25&amp;"|"&amp;C25&amp;"|"&amp;D25&amp;"|"&amp;E25&amp;"|"&amp;F25&amp;"|"&amp;G25&amp;"|"&amp;H25&amp;"|"&amp;I25&amp;"|"&amp;J25&amp;"|"&amp;K25&amp;"|"&amp;L25&amp;"|"&amp;M25&amp;"|"&amp;N25&amp;"|"&amp;O25&amp;"|"&amp;P25</f>
        <v/>
      </c>
      <c r="R25" s="10">
        <f>IF(COUNTIF($Q$2:$Q$1409,Q25)&gt;1,IF(COUNTIF($Q$2:Q25,Q25)=1,"Exact Duplicate - Keep First","Exact Duplicate - Remove"),"Unique")</f>
        <v/>
      </c>
    </row>
    <row r="26" ht="15" customHeight="1" s="11">
      <c r="A26" s="10" t="inlineStr">
        <is>
          <t>USR-100025</t>
        </is>
      </c>
      <c r="B26" s="14" t="n">
        <v>45710</v>
      </c>
      <c r="C26" s="10" t="inlineStr">
        <is>
          <t>Control</t>
        </is>
      </c>
      <c r="D26" s="10" t="inlineStr">
        <is>
          <t>North</t>
        </is>
      </c>
      <c r="E26" s="10" t="inlineStr">
        <is>
          <t>Mobile</t>
        </is>
      </c>
      <c r="F26" s="10" t="inlineStr">
        <is>
          <t>Paid Search</t>
        </is>
      </c>
      <c r="G26" s="10" t="inlineStr">
        <is>
          <t>Premium</t>
        </is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0" t="n">
        <v>0</v>
      </c>
      <c r="P26" s="10" t="n">
        <v>66.90000000000001</v>
      </c>
      <c r="Q26" s="10">
        <f>A26&amp;"|"&amp;B26&amp;"|"&amp;C26&amp;"|"&amp;D26&amp;"|"&amp;E26&amp;"|"&amp;F26&amp;"|"&amp;G26&amp;"|"&amp;H26&amp;"|"&amp;I26&amp;"|"&amp;J26&amp;"|"&amp;K26&amp;"|"&amp;L26&amp;"|"&amp;M26&amp;"|"&amp;N26&amp;"|"&amp;O26&amp;"|"&amp;P26</f>
        <v/>
      </c>
      <c r="R26" s="10">
        <f>IF(COUNTIF($Q$2:$Q$1409,Q26)&gt;1,IF(COUNTIF($Q$2:Q26,Q26)=1,"Exact Duplicate - Keep First","Exact Duplicate - Remove"),"Unique")</f>
        <v/>
      </c>
    </row>
    <row r="27" ht="15" customHeight="1" s="11">
      <c r="A27" s="10" t="inlineStr">
        <is>
          <t>USR-100026</t>
        </is>
      </c>
      <c r="B27" s="14" t="n">
        <v>45740</v>
      </c>
      <c r="C27" s="10" t="inlineStr">
        <is>
          <t>Control</t>
        </is>
      </c>
      <c r="D27" s="10" t="inlineStr">
        <is>
          <t>East</t>
        </is>
      </c>
      <c r="E27" s="10" t="inlineStr">
        <is>
          <t>Mobile</t>
        </is>
      </c>
      <c r="F27" s="10" t="inlineStr">
        <is>
          <t>Organic</t>
        </is>
      </c>
      <c r="G27" s="10" t="inlineStr">
        <is>
          <t>Basic</t>
        </is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P27" s="10" t="n">
        <v>67.40000000000001</v>
      </c>
      <c r="Q27" s="10">
        <f>A27&amp;"|"&amp;B27&amp;"|"&amp;C27&amp;"|"&amp;D27&amp;"|"&amp;E27&amp;"|"&amp;F27&amp;"|"&amp;G27&amp;"|"&amp;H27&amp;"|"&amp;I27&amp;"|"&amp;J27&amp;"|"&amp;K27&amp;"|"&amp;L27&amp;"|"&amp;M27&amp;"|"&amp;N27&amp;"|"&amp;O27&amp;"|"&amp;P27</f>
        <v/>
      </c>
      <c r="R27" s="10">
        <f>IF(COUNTIF($Q$2:$Q$1409,Q27)&gt;1,IF(COUNTIF($Q$2:Q27,Q27)=1,"Exact Duplicate - Keep First","Exact Duplicate - Remove"),"Unique")</f>
        <v/>
      </c>
    </row>
    <row r="28" ht="15" customHeight="1" s="11">
      <c r="A28" s="10" t="inlineStr">
        <is>
          <t>USR-100027</t>
        </is>
      </c>
      <c r="B28" s="14" t="n">
        <v>45701</v>
      </c>
      <c r="C28" s="10" t="inlineStr">
        <is>
          <t>Control</t>
        </is>
      </c>
      <c r="D28" s="10" t="inlineStr">
        <is>
          <t>North</t>
        </is>
      </c>
      <c r="E28" s="10" t="inlineStr">
        <is>
          <t>Mobile</t>
        </is>
      </c>
      <c r="F28" s="10" t="inlineStr">
        <is>
          <t>Organic</t>
        </is>
      </c>
      <c r="G28" s="10" t="inlineStr">
        <is>
          <t>Free</t>
        </is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P28" s="10" t="n">
        <v>58.8</v>
      </c>
      <c r="Q28" s="10">
        <f>A28&amp;"|"&amp;B28&amp;"|"&amp;C28&amp;"|"&amp;D28&amp;"|"&amp;E28&amp;"|"&amp;F28&amp;"|"&amp;G28&amp;"|"&amp;H28&amp;"|"&amp;I28&amp;"|"&amp;J28&amp;"|"&amp;K28&amp;"|"&amp;L28&amp;"|"&amp;M28&amp;"|"&amp;N28&amp;"|"&amp;O28&amp;"|"&amp;P28</f>
        <v/>
      </c>
      <c r="R28" s="10">
        <f>IF(COUNTIF($Q$2:$Q$1409,Q28)&gt;1,IF(COUNTIF($Q$2:Q28,Q28)=1,"Exact Duplicate - Keep First","Exact Duplicate - Remove"),"Unique")</f>
        <v/>
      </c>
    </row>
    <row r="29" ht="15" customHeight="1" s="11">
      <c r="A29" s="10" t="inlineStr">
        <is>
          <t>USR-100028</t>
        </is>
      </c>
      <c r="B29" s="14" t="n">
        <v>45807</v>
      </c>
      <c r="C29" s="10" t="inlineStr">
        <is>
          <t>Control</t>
        </is>
      </c>
      <c r="D29" s="10" t="inlineStr">
        <is>
          <t>South</t>
        </is>
      </c>
      <c r="E29" s="10" t="inlineStr">
        <is>
          <t>Mobile</t>
        </is>
      </c>
      <c r="F29" s="10" t="inlineStr">
        <is>
          <t>Organic</t>
        </is>
      </c>
      <c r="G29" s="10" t="inlineStr">
        <is>
          <t>Free</t>
        </is>
      </c>
      <c r="H29" s="10" t="n">
        <v>1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  <c r="N29" s="10" t="n">
        <v>0</v>
      </c>
      <c r="P29" s="10" t="n">
        <v>73.8</v>
      </c>
      <c r="Q29" s="10">
        <f>A29&amp;"|"&amp;B29&amp;"|"&amp;C29&amp;"|"&amp;D29&amp;"|"&amp;E29&amp;"|"&amp;F29&amp;"|"&amp;G29&amp;"|"&amp;H29&amp;"|"&amp;I29&amp;"|"&amp;J29&amp;"|"&amp;K29&amp;"|"&amp;L29&amp;"|"&amp;M29&amp;"|"&amp;N29&amp;"|"&amp;O29&amp;"|"&amp;P29</f>
        <v/>
      </c>
      <c r="R29" s="10">
        <f>IF(COUNTIF($Q$2:$Q$1409,Q29)&gt;1,IF(COUNTIF($Q$2:Q29,Q29)=1,"Exact Duplicate - Keep First","Exact Duplicate - Remove"),"Unique")</f>
        <v/>
      </c>
    </row>
    <row r="30" ht="15" customHeight="1" s="11">
      <c r="A30" s="10" t="inlineStr">
        <is>
          <t>USR-100029</t>
        </is>
      </c>
      <c r="B30" s="14" t="n">
        <v>45677</v>
      </c>
      <c r="C30" s="10" t="inlineStr">
        <is>
          <t>Control</t>
        </is>
      </c>
      <c r="D30" s="10" t="inlineStr">
        <is>
          <t>East</t>
        </is>
      </c>
      <c r="E30" s="10" t="inlineStr">
        <is>
          <t>Tablet</t>
        </is>
      </c>
      <c r="F30" s="10" t="inlineStr">
        <is>
          <t>Organic</t>
        </is>
      </c>
      <c r="G30" s="10" t="inlineStr">
        <is>
          <t>Basic</t>
        </is>
      </c>
      <c r="H30" s="10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P30" s="10" t="n">
        <v>60.1</v>
      </c>
      <c r="Q30" s="10">
        <f>A30&amp;"|"&amp;B30&amp;"|"&amp;C30&amp;"|"&amp;D30&amp;"|"&amp;E30&amp;"|"&amp;F30&amp;"|"&amp;G30&amp;"|"&amp;H30&amp;"|"&amp;I30&amp;"|"&amp;J30&amp;"|"&amp;K30&amp;"|"&amp;L30&amp;"|"&amp;M30&amp;"|"&amp;N30&amp;"|"&amp;O30&amp;"|"&amp;P30</f>
        <v/>
      </c>
      <c r="R30" s="10">
        <f>IF(COUNTIF($Q$2:$Q$1409,Q30)&gt;1,IF(COUNTIF($Q$2:Q30,Q30)=1,"Exact Duplicate - Keep First","Exact Duplicate - Remove"),"Unique")</f>
        <v/>
      </c>
    </row>
    <row r="31" ht="15" customHeight="1" s="11">
      <c r="A31" s="10" t="inlineStr">
        <is>
          <t>USR-100030</t>
        </is>
      </c>
      <c r="B31" s="14" t="n">
        <v>45796</v>
      </c>
      <c r="C31" s="10" t="inlineStr">
        <is>
          <t>Control</t>
        </is>
      </c>
      <c r="D31" s="10" t="inlineStr">
        <is>
          <t>East</t>
        </is>
      </c>
      <c r="E31" s="10" t="inlineStr">
        <is>
          <t>Mobile</t>
        </is>
      </c>
      <c r="F31" s="10" t="inlineStr">
        <is>
          <t>Social</t>
        </is>
      </c>
      <c r="G31" s="10" t="inlineStr">
        <is>
          <t>Basic</t>
        </is>
      </c>
      <c r="H31" s="10" t="n">
        <v>1</v>
      </c>
      <c r="I31" s="10" t="n">
        <v>1</v>
      </c>
      <c r="J31" s="10" t="n">
        <v>1</v>
      </c>
      <c r="K31" s="10" t="n">
        <v>0</v>
      </c>
      <c r="L31" s="10" t="n">
        <v>0</v>
      </c>
      <c r="M31" s="10" t="n">
        <v>0</v>
      </c>
      <c r="N31" s="10" t="n">
        <v>0</v>
      </c>
      <c r="P31" s="10" t="n">
        <v>41</v>
      </c>
      <c r="Q31" s="10">
        <f>A31&amp;"|"&amp;B31&amp;"|"&amp;C31&amp;"|"&amp;D31&amp;"|"&amp;E31&amp;"|"&amp;F31&amp;"|"&amp;G31&amp;"|"&amp;H31&amp;"|"&amp;I31&amp;"|"&amp;J31&amp;"|"&amp;K31&amp;"|"&amp;L31&amp;"|"&amp;M31&amp;"|"&amp;N31&amp;"|"&amp;O31&amp;"|"&amp;P31</f>
        <v/>
      </c>
      <c r="R31" s="10">
        <f>IF(COUNTIF($Q$2:$Q$1409,Q31)&gt;1,IF(COUNTIF($Q$2:Q31,Q31)=1,"Exact Duplicate - Keep First","Exact Duplicate - Remove"),"Unique")</f>
        <v/>
      </c>
    </row>
    <row r="32" ht="15" customHeight="1" s="11">
      <c r="A32" s="10" t="inlineStr">
        <is>
          <t>USR-100031</t>
        </is>
      </c>
      <c r="B32" s="14" t="n">
        <v>45706</v>
      </c>
      <c r="C32" s="10" t="inlineStr">
        <is>
          <t>Control</t>
        </is>
      </c>
      <c r="D32" s="10" t="inlineStr">
        <is>
          <t>South</t>
        </is>
      </c>
      <c r="E32" s="10" t="inlineStr">
        <is>
          <t>Mobile</t>
        </is>
      </c>
      <c r="F32" s="10" t="inlineStr">
        <is>
          <t>Organic</t>
        </is>
      </c>
      <c r="G32" s="10" t="inlineStr">
        <is>
          <t>Basic</t>
        </is>
      </c>
      <c r="H32" s="10" t="n">
        <v>1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P32" s="10" t="n">
        <v>80.3</v>
      </c>
      <c r="Q32" s="10">
        <f>A32&amp;"|"&amp;B32&amp;"|"&amp;C32&amp;"|"&amp;D32&amp;"|"&amp;E32&amp;"|"&amp;F32&amp;"|"&amp;G32&amp;"|"&amp;H32&amp;"|"&amp;I32&amp;"|"&amp;J32&amp;"|"&amp;K32&amp;"|"&amp;L32&amp;"|"&amp;M32&amp;"|"&amp;N32&amp;"|"&amp;O32&amp;"|"&amp;P32</f>
        <v/>
      </c>
      <c r="R32" s="10">
        <f>IF(COUNTIF($Q$2:$Q$1409,Q32)&gt;1,IF(COUNTIF($Q$2:Q32,Q32)=1,"Exact Duplicate - Keep First","Exact Duplicate - Remove"),"Unique")</f>
        <v/>
      </c>
    </row>
    <row r="33" ht="15" customHeight="1" s="11">
      <c r="A33" s="10" t="inlineStr">
        <is>
          <t>USR-100032</t>
        </is>
      </c>
      <c r="B33" s="14" t="n">
        <v>45701</v>
      </c>
      <c r="C33" s="10" t="inlineStr">
        <is>
          <t>Control</t>
        </is>
      </c>
      <c r="D33" s="10" t="inlineStr">
        <is>
          <t>East</t>
        </is>
      </c>
      <c r="E33" s="10" t="inlineStr">
        <is>
          <t>Mobile</t>
        </is>
      </c>
      <c r="F33" s="10" t="inlineStr">
        <is>
          <t>Organic</t>
        </is>
      </c>
      <c r="G33" s="10" t="inlineStr">
        <is>
          <t>Free</t>
        </is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  <c r="N33" s="10" t="n">
        <v>0</v>
      </c>
      <c r="P33" s="10" t="n">
        <v>67.59999999999999</v>
      </c>
      <c r="Q33" s="10">
        <f>A33&amp;"|"&amp;B33&amp;"|"&amp;C33&amp;"|"&amp;D33&amp;"|"&amp;E33&amp;"|"&amp;F33&amp;"|"&amp;G33&amp;"|"&amp;H33&amp;"|"&amp;I33&amp;"|"&amp;J33&amp;"|"&amp;K33&amp;"|"&amp;L33&amp;"|"&amp;M33&amp;"|"&amp;N33&amp;"|"&amp;O33&amp;"|"&amp;P33</f>
        <v/>
      </c>
      <c r="R33" s="10">
        <f>IF(COUNTIF($Q$2:$Q$1409,Q33)&gt;1,IF(COUNTIF($Q$2:Q33,Q33)=1,"Exact Duplicate - Keep First","Exact Duplicate - Remove"),"Unique")</f>
        <v/>
      </c>
    </row>
    <row r="34" ht="15" customHeight="1" s="11">
      <c r="A34" s="10" t="inlineStr">
        <is>
          <t>USR-100033</t>
        </is>
      </c>
      <c r="B34" s="14" t="n">
        <v>45724</v>
      </c>
      <c r="C34" s="10" t="inlineStr">
        <is>
          <t>Control</t>
        </is>
      </c>
      <c r="D34" s="10" t="inlineStr">
        <is>
          <t>East</t>
        </is>
      </c>
      <c r="E34" s="10" t="inlineStr">
        <is>
          <t>Desktop</t>
        </is>
      </c>
      <c r="F34" s="10" t="inlineStr">
        <is>
          <t>Referral</t>
        </is>
      </c>
      <c r="G34" s="10" t="inlineStr">
        <is>
          <t>Premium</t>
        </is>
      </c>
      <c r="H34" s="10" t="n">
        <v>0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P34" s="10" t="n">
        <v>64</v>
      </c>
      <c r="Q34" s="10">
        <f>A34&amp;"|"&amp;B34&amp;"|"&amp;C34&amp;"|"&amp;D34&amp;"|"&amp;E34&amp;"|"&amp;F34&amp;"|"&amp;G34&amp;"|"&amp;H34&amp;"|"&amp;I34&amp;"|"&amp;J34&amp;"|"&amp;K34&amp;"|"&amp;L34&amp;"|"&amp;M34&amp;"|"&amp;N34&amp;"|"&amp;O34&amp;"|"&amp;P34</f>
        <v/>
      </c>
      <c r="R34" s="10">
        <f>IF(COUNTIF($Q$2:$Q$1409,Q34)&gt;1,IF(COUNTIF($Q$2:Q34,Q34)=1,"Exact Duplicate - Keep First","Exact Duplicate - Remove"),"Unique")</f>
        <v/>
      </c>
    </row>
    <row r="35" ht="15" customHeight="1" s="11">
      <c r="A35" s="10" t="inlineStr">
        <is>
          <t>USR-100034</t>
        </is>
      </c>
      <c r="B35" s="14" t="n">
        <v>45668</v>
      </c>
      <c r="C35" s="10" t="inlineStr">
        <is>
          <t>Control</t>
        </is>
      </c>
      <c r="D35" s="10" t="inlineStr">
        <is>
          <t>North</t>
        </is>
      </c>
      <c r="E35" s="10" t="inlineStr">
        <is>
          <t>Mobile</t>
        </is>
      </c>
      <c r="F35" s="10" t="inlineStr">
        <is>
          <t>Paid Search</t>
        </is>
      </c>
      <c r="G35" s="10" t="inlineStr">
        <is>
          <t>Free</t>
        </is>
      </c>
      <c r="H35" s="10" t="n">
        <v>1</v>
      </c>
      <c r="I35" s="10" t="n">
        <v>1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P35" s="10" t="n">
        <v>27.2</v>
      </c>
      <c r="Q35" s="10">
        <f>A35&amp;"|"&amp;B35&amp;"|"&amp;C35&amp;"|"&amp;D35&amp;"|"&amp;E35&amp;"|"&amp;F35&amp;"|"&amp;G35&amp;"|"&amp;H35&amp;"|"&amp;I35&amp;"|"&amp;J35&amp;"|"&amp;K35&amp;"|"&amp;L35&amp;"|"&amp;M35&amp;"|"&amp;N35&amp;"|"&amp;O35&amp;"|"&amp;P35</f>
        <v/>
      </c>
      <c r="R35" s="10">
        <f>IF(COUNTIF($Q$2:$Q$1409,Q35)&gt;1,IF(COUNTIF($Q$2:Q35,Q35)=1,"Exact Duplicate - Keep First","Exact Duplicate - Remove"),"Unique")</f>
        <v/>
      </c>
    </row>
    <row r="36" ht="15" customHeight="1" s="11">
      <c r="A36" s="10" t="inlineStr">
        <is>
          <t>USR-100035</t>
        </is>
      </c>
      <c r="B36" s="14" t="n">
        <v>45700</v>
      </c>
      <c r="C36" s="10" t="inlineStr">
        <is>
          <t>Control</t>
        </is>
      </c>
      <c r="D36" s="10" t="inlineStr">
        <is>
          <t>North</t>
        </is>
      </c>
      <c r="E36" s="10" t="inlineStr">
        <is>
          <t>Desktop</t>
        </is>
      </c>
      <c r="F36" s="10" t="inlineStr">
        <is>
          <t>Organic</t>
        </is>
      </c>
      <c r="G36" s="10" t="inlineStr">
        <is>
          <t>Free</t>
        </is>
      </c>
      <c r="H36" s="10" t="n">
        <v>1</v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P36" s="10" t="n">
        <v>85.40000000000001</v>
      </c>
      <c r="Q36" s="10">
        <f>A36&amp;"|"&amp;B36&amp;"|"&amp;C36&amp;"|"&amp;D36&amp;"|"&amp;E36&amp;"|"&amp;F36&amp;"|"&amp;G36&amp;"|"&amp;H36&amp;"|"&amp;I36&amp;"|"&amp;J36&amp;"|"&amp;K36&amp;"|"&amp;L36&amp;"|"&amp;M36&amp;"|"&amp;N36&amp;"|"&amp;O36&amp;"|"&amp;P36</f>
        <v/>
      </c>
      <c r="R36" s="10">
        <f>IF(COUNTIF($Q$2:$Q$1409,Q36)&gt;1,IF(COUNTIF($Q$2:Q36,Q36)=1,"Exact Duplicate - Keep First","Exact Duplicate - Remove"),"Unique")</f>
        <v/>
      </c>
    </row>
    <row r="37" ht="15" customHeight="1" s="11">
      <c r="A37" s="10" t="inlineStr">
        <is>
          <t>USR-100036</t>
        </is>
      </c>
      <c r="B37" s="14" t="n">
        <v>45760</v>
      </c>
      <c r="C37" s="10" t="inlineStr">
        <is>
          <t>Control</t>
        </is>
      </c>
      <c r="D37" s="10" t="inlineStr">
        <is>
          <t>East</t>
        </is>
      </c>
      <c r="E37" s="10" t="inlineStr">
        <is>
          <t>Desktop</t>
        </is>
      </c>
      <c r="F37" s="10" t="inlineStr">
        <is>
          <t>Organic</t>
        </is>
      </c>
      <c r="G37" s="10" t="inlineStr">
        <is>
          <t>Basic</t>
        </is>
      </c>
      <c r="H37" s="10" t="n">
        <v>1</v>
      </c>
      <c r="I37" s="10" t="n">
        <v>0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P37" s="10" t="n">
        <v>75.90000000000001</v>
      </c>
      <c r="Q37" s="10">
        <f>A37&amp;"|"&amp;B37&amp;"|"&amp;C37&amp;"|"&amp;D37&amp;"|"&amp;E37&amp;"|"&amp;F37&amp;"|"&amp;G37&amp;"|"&amp;H37&amp;"|"&amp;I37&amp;"|"&amp;J37&amp;"|"&amp;K37&amp;"|"&amp;L37&amp;"|"&amp;M37&amp;"|"&amp;N37&amp;"|"&amp;O37&amp;"|"&amp;P37</f>
        <v/>
      </c>
      <c r="R37" s="10">
        <f>IF(COUNTIF($Q$2:$Q$1409,Q37)&gt;1,IF(COUNTIF($Q$2:Q37,Q37)=1,"Exact Duplicate - Keep First","Exact Duplicate - Remove"),"Unique")</f>
        <v/>
      </c>
    </row>
    <row r="38" ht="15" customHeight="1" s="11">
      <c r="A38" s="10" t="inlineStr">
        <is>
          <t>USR-100037</t>
        </is>
      </c>
      <c r="B38" s="14" t="n">
        <v>45786</v>
      </c>
      <c r="C38" s="10" t="inlineStr">
        <is>
          <t>Control</t>
        </is>
      </c>
      <c r="D38" s="10" t="inlineStr">
        <is>
          <t>East</t>
        </is>
      </c>
      <c r="E38" s="10" t="inlineStr">
        <is>
          <t>Mobile</t>
        </is>
      </c>
      <c r="F38" s="10" t="inlineStr">
        <is>
          <t>Organic</t>
        </is>
      </c>
      <c r="G38" s="10" t="inlineStr">
        <is>
          <t>Premium</t>
        </is>
      </c>
      <c r="H38" s="10" t="n">
        <v>1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1</v>
      </c>
      <c r="N38" s="10" t="n">
        <v>0</v>
      </c>
      <c r="P38" s="10" t="n">
        <v>34.8</v>
      </c>
      <c r="Q38" s="10">
        <f>A38&amp;"|"&amp;B38&amp;"|"&amp;C38&amp;"|"&amp;D38&amp;"|"&amp;E38&amp;"|"&amp;F38&amp;"|"&amp;G38&amp;"|"&amp;H38&amp;"|"&amp;I38&amp;"|"&amp;J38&amp;"|"&amp;K38&amp;"|"&amp;L38&amp;"|"&amp;M38&amp;"|"&amp;N38&amp;"|"&amp;O38&amp;"|"&amp;P38</f>
        <v/>
      </c>
      <c r="R38" s="10">
        <f>IF(COUNTIF($Q$2:$Q$1409,Q38)&gt;1,IF(COUNTIF($Q$2:Q38,Q38)=1,"Exact Duplicate - Keep First","Exact Duplicate - Remove"),"Unique")</f>
        <v/>
      </c>
    </row>
    <row r="39" ht="15" customHeight="1" s="11">
      <c r="A39" s="10" t="inlineStr">
        <is>
          <t>USR-100038</t>
        </is>
      </c>
      <c r="B39" s="14" t="n">
        <v>45677</v>
      </c>
      <c r="C39" s="10" t="inlineStr">
        <is>
          <t>Control</t>
        </is>
      </c>
      <c r="D39" s="10" t="inlineStr">
        <is>
          <t>East</t>
        </is>
      </c>
      <c r="E39" s="10" t="inlineStr">
        <is>
          <t>Mobile</t>
        </is>
      </c>
      <c r="F39" s="10" t="inlineStr">
        <is>
          <t>Organic</t>
        </is>
      </c>
      <c r="G39" s="10" t="inlineStr">
        <is>
          <t>Free</t>
        </is>
      </c>
      <c r="H39" s="10" t="n">
        <v>1</v>
      </c>
      <c r="I39" s="10" t="n">
        <v>1</v>
      </c>
      <c r="J39" s="10" t="n">
        <v>1</v>
      </c>
      <c r="K39" s="10" t="n">
        <v>0</v>
      </c>
      <c r="L39" s="10" t="n">
        <v>0</v>
      </c>
      <c r="M39" s="10" t="n">
        <v>3</v>
      </c>
      <c r="N39" s="10" t="n">
        <v>0</v>
      </c>
      <c r="P39" s="10" t="n">
        <v>48.9</v>
      </c>
      <c r="Q39" s="10">
        <f>A39&amp;"|"&amp;B39&amp;"|"&amp;C39&amp;"|"&amp;D39&amp;"|"&amp;E39&amp;"|"&amp;F39&amp;"|"&amp;G39&amp;"|"&amp;H39&amp;"|"&amp;I39&amp;"|"&amp;J39&amp;"|"&amp;K39&amp;"|"&amp;L39&amp;"|"&amp;M39&amp;"|"&amp;N39&amp;"|"&amp;O39&amp;"|"&amp;P39</f>
        <v/>
      </c>
      <c r="R39" s="10">
        <f>IF(COUNTIF($Q$2:$Q$1409,Q39)&gt;1,IF(COUNTIF($Q$2:Q39,Q39)=1,"Exact Duplicate - Keep First","Exact Duplicate - Remove"),"Unique")</f>
        <v/>
      </c>
    </row>
    <row r="40" ht="15" customHeight="1" s="11">
      <c r="A40" s="10" t="inlineStr">
        <is>
          <t>USR-100039</t>
        </is>
      </c>
      <c r="B40" s="14" t="n">
        <v>45790</v>
      </c>
      <c r="C40" s="10" t="inlineStr">
        <is>
          <t>Control</t>
        </is>
      </c>
      <c r="D40" s="10" t="inlineStr">
        <is>
          <t>East</t>
        </is>
      </c>
      <c r="E40" s="10" t="inlineStr">
        <is>
          <t>Mobile</t>
        </is>
      </c>
      <c r="F40" s="10" t="inlineStr">
        <is>
          <t>Email</t>
        </is>
      </c>
      <c r="G40" s="10" t="inlineStr">
        <is>
          <t>Premium</t>
        </is>
      </c>
      <c r="H40" s="10" t="n">
        <v>1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  <c r="N40" s="10" t="n">
        <v>0</v>
      </c>
      <c r="P40" s="10" t="n">
        <v>41.5</v>
      </c>
      <c r="Q40" s="10">
        <f>A40&amp;"|"&amp;B40&amp;"|"&amp;C40&amp;"|"&amp;D40&amp;"|"&amp;E40&amp;"|"&amp;F40&amp;"|"&amp;G40&amp;"|"&amp;H40&amp;"|"&amp;I40&amp;"|"&amp;J40&amp;"|"&amp;K40&amp;"|"&amp;L40&amp;"|"&amp;M40&amp;"|"&amp;N40&amp;"|"&amp;O40&amp;"|"&amp;P40</f>
        <v/>
      </c>
      <c r="R40" s="10">
        <f>IF(COUNTIF($Q$2:$Q$1409,Q40)&gt;1,IF(COUNTIF($Q$2:Q40,Q40)=1,"Exact Duplicate - Keep First","Exact Duplicate - Remove"),"Unique")</f>
        <v/>
      </c>
    </row>
    <row r="41" ht="15" customHeight="1" s="11">
      <c r="A41" s="10" t="inlineStr">
        <is>
          <t>USR-100040</t>
        </is>
      </c>
      <c r="B41" s="14" t="n">
        <v>45754</v>
      </c>
      <c r="C41" s="10" t="inlineStr">
        <is>
          <t>Control</t>
        </is>
      </c>
      <c r="D41" s="10" t="inlineStr">
        <is>
          <t>North</t>
        </is>
      </c>
      <c r="E41" s="10" t="inlineStr">
        <is>
          <t>Desktop</t>
        </is>
      </c>
      <c r="F41" s="10" t="inlineStr">
        <is>
          <t>Organic</t>
        </is>
      </c>
      <c r="G41" s="10" t="inlineStr">
        <is>
          <t>Basic</t>
        </is>
      </c>
      <c r="H41" s="10" t="n">
        <v>1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0</v>
      </c>
      <c r="N41" s="10" t="n">
        <v>0</v>
      </c>
      <c r="P41" s="10" t="n">
        <v>51.5</v>
      </c>
      <c r="Q41" s="10">
        <f>A41&amp;"|"&amp;B41&amp;"|"&amp;C41&amp;"|"&amp;D41&amp;"|"&amp;E41&amp;"|"&amp;F41&amp;"|"&amp;G41&amp;"|"&amp;H41&amp;"|"&amp;I41&amp;"|"&amp;J41&amp;"|"&amp;K41&amp;"|"&amp;L41&amp;"|"&amp;M41&amp;"|"&amp;N41&amp;"|"&amp;O41&amp;"|"&amp;P41</f>
        <v/>
      </c>
      <c r="R41" s="10">
        <f>IF(COUNTIF($Q$2:$Q$1409,Q41)&gt;1,IF(COUNTIF($Q$2:Q41,Q41)=1,"Exact Duplicate - Keep First","Exact Duplicate - Remove"),"Unique")</f>
        <v/>
      </c>
    </row>
    <row r="42" ht="15" customHeight="1" s="11">
      <c r="A42" s="10" t="inlineStr">
        <is>
          <t>USR-100041</t>
        </is>
      </c>
      <c r="B42" s="14" t="n">
        <v>45747</v>
      </c>
      <c r="C42" s="10" t="inlineStr">
        <is>
          <t>Control</t>
        </is>
      </c>
      <c r="D42" s="10" t="inlineStr">
        <is>
          <t>North</t>
        </is>
      </c>
      <c r="E42" s="10" t="inlineStr">
        <is>
          <t>Desktop</t>
        </is>
      </c>
      <c r="F42" s="10" t="inlineStr">
        <is>
          <t>Organic</t>
        </is>
      </c>
      <c r="G42" s="10" t="inlineStr">
        <is>
          <t>Free</t>
        </is>
      </c>
      <c r="H42" s="10" t="n">
        <v>0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P42" s="10" t="n">
        <v>53.2</v>
      </c>
      <c r="Q42" s="10">
        <f>A42&amp;"|"&amp;B42&amp;"|"&amp;C42&amp;"|"&amp;D42&amp;"|"&amp;E42&amp;"|"&amp;F42&amp;"|"&amp;G42&amp;"|"&amp;H42&amp;"|"&amp;I42&amp;"|"&amp;J42&amp;"|"&amp;K42&amp;"|"&amp;L42&amp;"|"&amp;M42&amp;"|"&amp;N42&amp;"|"&amp;O42&amp;"|"&amp;P42</f>
        <v/>
      </c>
      <c r="R42" s="10">
        <f>IF(COUNTIF($Q$2:$Q$1409,Q42)&gt;1,IF(COUNTIF($Q$2:Q42,Q42)=1,"Exact Duplicate - Keep First","Exact Duplicate - Remove"),"Unique")</f>
        <v/>
      </c>
    </row>
    <row r="43" ht="15" customHeight="1" s="11">
      <c r="A43" s="10" t="inlineStr">
        <is>
          <t>USR-100042</t>
        </is>
      </c>
      <c r="B43" s="14" t="n">
        <v>45682</v>
      </c>
      <c r="C43" s="10" t="inlineStr">
        <is>
          <t>Control</t>
        </is>
      </c>
      <c r="D43" s="10" t="inlineStr">
        <is>
          <t>East</t>
        </is>
      </c>
      <c r="E43" s="10" t="inlineStr">
        <is>
          <t>Mobile</t>
        </is>
      </c>
      <c r="F43" s="10" t="inlineStr">
        <is>
          <t>Email</t>
        </is>
      </c>
      <c r="G43" s="10" t="inlineStr">
        <is>
          <t>Premium</t>
        </is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</v>
      </c>
      <c r="N43" s="10" t="n">
        <v>0</v>
      </c>
      <c r="P43" s="10" t="n">
        <v>55.6</v>
      </c>
      <c r="Q43" s="10">
        <f>A43&amp;"|"&amp;B43&amp;"|"&amp;C43&amp;"|"&amp;D43&amp;"|"&amp;E43&amp;"|"&amp;F43&amp;"|"&amp;G43&amp;"|"&amp;H43&amp;"|"&amp;I43&amp;"|"&amp;J43&amp;"|"&amp;K43&amp;"|"&amp;L43&amp;"|"&amp;M43&amp;"|"&amp;N43&amp;"|"&amp;O43&amp;"|"&amp;P43</f>
        <v/>
      </c>
      <c r="R43" s="10">
        <f>IF(COUNTIF($Q$2:$Q$1409,Q43)&gt;1,IF(COUNTIF($Q$2:Q43,Q43)=1,"Exact Duplicate - Keep First","Exact Duplicate - Remove"),"Unique")</f>
        <v/>
      </c>
    </row>
    <row r="44" ht="15" customHeight="1" s="11">
      <c r="A44" s="10" t="inlineStr">
        <is>
          <t>USR-100043</t>
        </is>
      </c>
      <c r="B44" s="14" t="n">
        <v>45702</v>
      </c>
      <c r="C44" s="10" t="inlineStr">
        <is>
          <t>Control</t>
        </is>
      </c>
      <c r="D44" s="10" t="inlineStr">
        <is>
          <t>South</t>
        </is>
      </c>
      <c r="E44" s="10" t="inlineStr">
        <is>
          <t>Desktop</t>
        </is>
      </c>
      <c r="F44" s="10" t="inlineStr">
        <is>
          <t>Organic</t>
        </is>
      </c>
      <c r="G44" s="10" t="inlineStr">
        <is>
          <t>Free</t>
        </is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P44" s="10" t="n">
        <v>73</v>
      </c>
      <c r="Q44" s="10">
        <f>A44&amp;"|"&amp;B44&amp;"|"&amp;C44&amp;"|"&amp;D44&amp;"|"&amp;E44&amp;"|"&amp;F44&amp;"|"&amp;G44&amp;"|"&amp;H44&amp;"|"&amp;I44&amp;"|"&amp;J44&amp;"|"&amp;K44&amp;"|"&amp;L44&amp;"|"&amp;M44&amp;"|"&amp;N44&amp;"|"&amp;O44&amp;"|"&amp;P44</f>
        <v/>
      </c>
      <c r="R44" s="10">
        <f>IF(COUNTIF($Q$2:$Q$1409,Q44)&gt;1,IF(COUNTIF($Q$2:Q44,Q44)=1,"Exact Duplicate - Keep First","Exact Duplicate - Remove"),"Unique")</f>
        <v/>
      </c>
    </row>
    <row r="45" ht="15" customHeight="1" s="11">
      <c r="A45" s="10" t="inlineStr">
        <is>
          <t>USR-100044</t>
        </is>
      </c>
      <c r="B45" s="14" t="n">
        <v>45715</v>
      </c>
      <c r="C45" s="10" t="inlineStr">
        <is>
          <t>Control</t>
        </is>
      </c>
      <c r="D45" s="10" t="inlineStr">
        <is>
          <t>East</t>
        </is>
      </c>
      <c r="E45" s="10" t="inlineStr">
        <is>
          <t>Mobile</t>
        </is>
      </c>
      <c r="F45" s="10" t="inlineStr">
        <is>
          <t>Email</t>
        </is>
      </c>
      <c r="G45" s="10" t="inlineStr">
        <is>
          <t>Free</t>
        </is>
      </c>
      <c r="H45" s="10" t="n">
        <v>1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  <c r="N45" s="10" t="n">
        <v>0</v>
      </c>
      <c r="P45" s="10" t="n">
        <v>65</v>
      </c>
      <c r="Q45" s="10">
        <f>A45&amp;"|"&amp;B45&amp;"|"&amp;C45&amp;"|"&amp;D45&amp;"|"&amp;E45&amp;"|"&amp;F45&amp;"|"&amp;G45&amp;"|"&amp;H45&amp;"|"&amp;I45&amp;"|"&amp;J45&amp;"|"&amp;K45&amp;"|"&amp;L45&amp;"|"&amp;M45&amp;"|"&amp;N45&amp;"|"&amp;O45&amp;"|"&amp;P45</f>
        <v/>
      </c>
      <c r="R45" s="10">
        <f>IF(COUNTIF($Q$2:$Q$1409,Q45)&gt;1,IF(COUNTIF($Q$2:Q45,Q45)=1,"Exact Duplicate - Keep First","Exact Duplicate - Remove"),"Unique")</f>
        <v/>
      </c>
    </row>
    <row r="46" ht="15" customHeight="1" s="11">
      <c r="A46" s="10" t="inlineStr">
        <is>
          <t>USR-100045</t>
        </is>
      </c>
      <c r="B46" s="14" t="n">
        <v>45744</v>
      </c>
      <c r="C46" s="10" t="inlineStr">
        <is>
          <t>Control</t>
        </is>
      </c>
      <c r="D46" s="10" t="inlineStr">
        <is>
          <t>East</t>
        </is>
      </c>
      <c r="E46" s="10" t="inlineStr">
        <is>
          <t>Mobile</t>
        </is>
      </c>
      <c r="F46" s="10" t="inlineStr">
        <is>
          <t>Social</t>
        </is>
      </c>
      <c r="G46" s="10" t="inlineStr">
        <is>
          <t>Free</t>
        </is>
      </c>
      <c r="H46" s="10" t="n">
        <v>1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4</v>
      </c>
      <c r="N46" s="10" t="n">
        <v>0</v>
      </c>
      <c r="P46" s="10" t="n">
        <v>56.3</v>
      </c>
      <c r="Q46" s="10">
        <f>A46&amp;"|"&amp;B46&amp;"|"&amp;C46&amp;"|"&amp;D46&amp;"|"&amp;E46&amp;"|"&amp;F46&amp;"|"&amp;G46&amp;"|"&amp;H46&amp;"|"&amp;I46&amp;"|"&amp;J46&amp;"|"&amp;K46&amp;"|"&amp;L46&amp;"|"&amp;M46&amp;"|"&amp;N46&amp;"|"&amp;O46&amp;"|"&amp;P46</f>
        <v/>
      </c>
      <c r="R46" s="10">
        <f>IF(COUNTIF($Q$2:$Q$1409,Q46)&gt;1,IF(COUNTIF($Q$2:Q46,Q46)=1,"Exact Duplicate - Keep First","Exact Duplicate - Remove"),"Unique")</f>
        <v/>
      </c>
    </row>
    <row r="47" ht="15" customHeight="1" s="11">
      <c r="A47" s="10" t="inlineStr">
        <is>
          <t>USR-100046</t>
        </is>
      </c>
      <c r="B47" s="14" t="n">
        <v>45802</v>
      </c>
      <c r="C47" s="10" t="inlineStr">
        <is>
          <t>Control</t>
        </is>
      </c>
      <c r="D47" s="10" t="inlineStr">
        <is>
          <t>East</t>
        </is>
      </c>
      <c r="E47" s="10" t="inlineStr">
        <is>
          <t>Mobile</t>
        </is>
      </c>
      <c r="F47" s="10" t="inlineStr">
        <is>
          <t>Referral</t>
        </is>
      </c>
      <c r="G47" s="10" t="inlineStr">
        <is>
          <t>Premium</t>
        </is>
      </c>
      <c r="H47" s="10" t="n">
        <v>1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P47" s="10" t="n">
        <v>62.4</v>
      </c>
      <c r="Q47" s="10">
        <f>A47&amp;"|"&amp;B47&amp;"|"&amp;C47&amp;"|"&amp;D47&amp;"|"&amp;E47&amp;"|"&amp;F47&amp;"|"&amp;G47&amp;"|"&amp;H47&amp;"|"&amp;I47&amp;"|"&amp;J47&amp;"|"&amp;K47&amp;"|"&amp;L47&amp;"|"&amp;M47&amp;"|"&amp;N47&amp;"|"&amp;O47&amp;"|"&amp;P47</f>
        <v/>
      </c>
      <c r="R47" s="10">
        <f>IF(COUNTIF($Q$2:$Q$1409,Q47)&gt;1,IF(COUNTIF($Q$2:Q47,Q47)=1,"Exact Duplicate - Keep First","Exact Duplicate - Remove"),"Unique")</f>
        <v/>
      </c>
    </row>
    <row r="48" ht="15" customHeight="1" s="11">
      <c r="A48" s="10" t="inlineStr">
        <is>
          <t>USR-100047</t>
        </is>
      </c>
      <c r="B48" s="14" t="n">
        <v>45782</v>
      </c>
      <c r="C48" s="10" t="inlineStr">
        <is>
          <t>Control</t>
        </is>
      </c>
      <c r="D48" s="10" t="inlineStr">
        <is>
          <t>West</t>
        </is>
      </c>
      <c r="E48" s="10" t="inlineStr">
        <is>
          <t>Desktop</t>
        </is>
      </c>
      <c r="F48" s="10" t="inlineStr">
        <is>
          <t>Organic</t>
        </is>
      </c>
      <c r="G48" s="10" t="inlineStr">
        <is>
          <t>Free</t>
        </is>
      </c>
      <c r="H48" s="10" t="n">
        <v>1</v>
      </c>
      <c r="I48" s="10" t="n">
        <v>1</v>
      </c>
      <c r="J48" s="10" t="n">
        <v>1</v>
      </c>
      <c r="K48" s="10" t="n">
        <v>0</v>
      </c>
      <c r="L48" s="10" t="n">
        <v>0</v>
      </c>
      <c r="M48" s="10" t="n">
        <v>0</v>
      </c>
      <c r="N48" s="10" t="n">
        <v>0</v>
      </c>
      <c r="P48" s="10" t="n">
        <v>58.1</v>
      </c>
      <c r="Q48" s="10">
        <f>A48&amp;"|"&amp;B48&amp;"|"&amp;C48&amp;"|"&amp;D48&amp;"|"&amp;E48&amp;"|"&amp;F48&amp;"|"&amp;G48&amp;"|"&amp;H48&amp;"|"&amp;I48&amp;"|"&amp;J48&amp;"|"&amp;K48&amp;"|"&amp;L48&amp;"|"&amp;M48&amp;"|"&amp;N48&amp;"|"&amp;O48&amp;"|"&amp;P48</f>
        <v/>
      </c>
      <c r="R48" s="10">
        <f>IF(COUNTIF($Q$2:$Q$1409,Q48)&gt;1,IF(COUNTIF($Q$2:Q48,Q48)=1,"Exact Duplicate - Keep First","Exact Duplicate - Remove"),"Unique")</f>
        <v/>
      </c>
    </row>
    <row r="49" ht="15" customHeight="1" s="11">
      <c r="A49" s="10" t="inlineStr">
        <is>
          <t>USR-100048</t>
        </is>
      </c>
      <c r="B49" s="14" t="n">
        <v>45793</v>
      </c>
      <c r="C49" s="10" t="inlineStr">
        <is>
          <t>Control</t>
        </is>
      </c>
      <c r="D49" s="10" t="inlineStr">
        <is>
          <t>North</t>
        </is>
      </c>
      <c r="E49" s="10" t="inlineStr">
        <is>
          <t>Mobile</t>
        </is>
      </c>
      <c r="F49" s="10" t="inlineStr">
        <is>
          <t>Organic</t>
        </is>
      </c>
      <c r="G49" s="10" t="inlineStr">
        <is>
          <t>Free</t>
        </is>
      </c>
      <c r="H49" s="10" t="n">
        <v>1</v>
      </c>
      <c r="I49" s="10" t="n">
        <v>1</v>
      </c>
      <c r="J49" s="10" t="n">
        <v>1</v>
      </c>
      <c r="K49" s="10" t="n">
        <v>0</v>
      </c>
      <c r="L49" s="10" t="n">
        <v>0</v>
      </c>
      <c r="M49" s="10" t="n">
        <v>0</v>
      </c>
      <c r="N49" s="10" t="n">
        <v>0</v>
      </c>
      <c r="P49" s="10" t="n">
        <v>80.8</v>
      </c>
      <c r="Q49" s="10">
        <f>A49&amp;"|"&amp;B49&amp;"|"&amp;C49&amp;"|"&amp;D49&amp;"|"&amp;E49&amp;"|"&amp;F49&amp;"|"&amp;G49&amp;"|"&amp;H49&amp;"|"&amp;I49&amp;"|"&amp;J49&amp;"|"&amp;K49&amp;"|"&amp;L49&amp;"|"&amp;M49&amp;"|"&amp;N49&amp;"|"&amp;O49&amp;"|"&amp;P49</f>
        <v/>
      </c>
      <c r="R49" s="10">
        <f>IF(COUNTIF($Q$2:$Q$1409,Q49)&gt;1,IF(COUNTIF($Q$2:Q49,Q49)=1,"Exact Duplicate - Keep First","Exact Duplicate - Remove"),"Unique")</f>
        <v/>
      </c>
    </row>
    <row r="50" ht="15" customHeight="1" s="11">
      <c r="A50" s="10" t="inlineStr">
        <is>
          <t>USR-100049</t>
        </is>
      </c>
      <c r="B50" s="14" t="n">
        <v>45665</v>
      </c>
      <c r="C50" s="10" t="inlineStr">
        <is>
          <t>Control</t>
        </is>
      </c>
      <c r="D50" s="10" t="inlineStr">
        <is>
          <t>North</t>
        </is>
      </c>
      <c r="E50" s="10" t="inlineStr">
        <is>
          <t>Mobile</t>
        </is>
      </c>
      <c r="F50" s="10" t="inlineStr">
        <is>
          <t>Social</t>
        </is>
      </c>
      <c r="G50" s="10" t="inlineStr">
        <is>
          <t>Free</t>
        </is>
      </c>
      <c r="H50" s="10" t="n">
        <v>1</v>
      </c>
      <c r="I50" s="10" t="n">
        <v>1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P50" s="10" t="n">
        <v>42.9</v>
      </c>
      <c r="Q50" s="10">
        <f>A50&amp;"|"&amp;B50&amp;"|"&amp;C50&amp;"|"&amp;D50&amp;"|"&amp;E50&amp;"|"&amp;F50&amp;"|"&amp;G50&amp;"|"&amp;H50&amp;"|"&amp;I50&amp;"|"&amp;J50&amp;"|"&amp;K50&amp;"|"&amp;L50&amp;"|"&amp;M50&amp;"|"&amp;N50&amp;"|"&amp;O50&amp;"|"&amp;P50</f>
        <v/>
      </c>
      <c r="R50" s="10">
        <f>IF(COUNTIF($Q$2:$Q$1409,Q50)&gt;1,IF(COUNTIF($Q$2:Q50,Q50)=1,"Exact Duplicate - Keep First","Exact Duplicate - Remove"),"Unique")</f>
        <v/>
      </c>
    </row>
    <row r="51" ht="15" customHeight="1" s="11">
      <c r="A51" s="10" t="inlineStr">
        <is>
          <t>USR-100050</t>
        </is>
      </c>
      <c r="B51" s="14" t="n">
        <v>45663</v>
      </c>
      <c r="C51" s="10" t="inlineStr">
        <is>
          <t>Control</t>
        </is>
      </c>
      <c r="D51" s="10" t="inlineStr">
        <is>
          <t>West</t>
        </is>
      </c>
      <c r="E51" s="10" t="inlineStr">
        <is>
          <t>Desktop</t>
        </is>
      </c>
      <c r="F51" s="10" t="inlineStr">
        <is>
          <t>Paid Search</t>
        </is>
      </c>
      <c r="G51" s="10" t="inlineStr">
        <is>
          <t>Free</t>
        </is>
      </c>
      <c r="H51" s="10" t="n">
        <v>1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P51" s="10" t="n">
        <v>52.7</v>
      </c>
      <c r="Q51" s="10">
        <f>A51&amp;"|"&amp;B51&amp;"|"&amp;C51&amp;"|"&amp;D51&amp;"|"&amp;E51&amp;"|"&amp;F51&amp;"|"&amp;G51&amp;"|"&amp;H51&amp;"|"&amp;I51&amp;"|"&amp;J51&amp;"|"&amp;K51&amp;"|"&amp;L51&amp;"|"&amp;M51&amp;"|"&amp;N51&amp;"|"&amp;O51&amp;"|"&amp;P51</f>
        <v/>
      </c>
      <c r="R51" s="10">
        <f>IF(COUNTIF($Q$2:$Q$1409,Q51)&gt;1,IF(COUNTIF($Q$2:Q51,Q51)=1,"Exact Duplicate - Keep First","Exact Duplicate - Remove"),"Unique")</f>
        <v/>
      </c>
    </row>
    <row r="52" ht="15" customHeight="1" s="11">
      <c r="A52" s="10" t="inlineStr">
        <is>
          <t>USR-100051</t>
        </is>
      </c>
      <c r="B52" s="14" t="n">
        <v>45669</v>
      </c>
      <c r="C52" s="10" t="inlineStr">
        <is>
          <t>Control</t>
        </is>
      </c>
      <c r="D52" s="10" t="inlineStr">
        <is>
          <t>North</t>
        </is>
      </c>
      <c r="E52" s="10" t="inlineStr">
        <is>
          <t>Mobile</t>
        </is>
      </c>
      <c r="F52" s="10" t="inlineStr">
        <is>
          <t>Social</t>
        </is>
      </c>
      <c r="G52" s="10" t="inlineStr">
        <is>
          <t>Basic</t>
        </is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P52" s="10" t="n">
        <v>46.9</v>
      </c>
      <c r="Q52" s="10">
        <f>A52&amp;"|"&amp;B52&amp;"|"&amp;C52&amp;"|"&amp;D52&amp;"|"&amp;E52&amp;"|"&amp;F52&amp;"|"&amp;G52&amp;"|"&amp;H52&amp;"|"&amp;I52&amp;"|"&amp;J52&amp;"|"&amp;K52&amp;"|"&amp;L52&amp;"|"&amp;M52&amp;"|"&amp;N52&amp;"|"&amp;O52&amp;"|"&amp;P52</f>
        <v/>
      </c>
      <c r="R52" s="10">
        <f>IF(COUNTIF($Q$2:$Q$1409,Q52)&gt;1,IF(COUNTIF($Q$2:Q52,Q52)=1,"Exact Duplicate - Keep First","Exact Duplicate - Remove"),"Unique")</f>
        <v/>
      </c>
    </row>
    <row r="53" ht="15" customHeight="1" s="11">
      <c r="A53" s="10" t="inlineStr">
        <is>
          <t>USR-100052</t>
        </is>
      </c>
      <c r="B53" s="14" t="n">
        <v>45702</v>
      </c>
      <c r="C53" s="10" t="inlineStr">
        <is>
          <t>Control</t>
        </is>
      </c>
      <c r="D53" s="10" t="inlineStr">
        <is>
          <t>East</t>
        </is>
      </c>
      <c r="E53" s="10" t="inlineStr">
        <is>
          <t>Desktop</t>
        </is>
      </c>
      <c r="F53" s="10" t="inlineStr">
        <is>
          <t>Email</t>
        </is>
      </c>
      <c r="G53" s="10" t="inlineStr">
        <is>
          <t>Premium</t>
        </is>
      </c>
      <c r="H53" s="10" t="n">
        <v>1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10" t="n">
        <v>0</v>
      </c>
      <c r="P53" s="10" t="n">
        <v>63</v>
      </c>
      <c r="Q53" s="10">
        <f>A53&amp;"|"&amp;B53&amp;"|"&amp;C53&amp;"|"&amp;D53&amp;"|"&amp;E53&amp;"|"&amp;F53&amp;"|"&amp;G53&amp;"|"&amp;H53&amp;"|"&amp;I53&amp;"|"&amp;J53&amp;"|"&amp;K53&amp;"|"&amp;L53&amp;"|"&amp;M53&amp;"|"&amp;N53&amp;"|"&amp;O53&amp;"|"&amp;P53</f>
        <v/>
      </c>
      <c r="R53" s="10">
        <f>IF(COUNTIF($Q$2:$Q$1409,Q53)&gt;1,IF(COUNTIF($Q$2:Q53,Q53)=1,"Exact Duplicate - Keep First","Exact Duplicate - Remove"),"Unique")</f>
        <v/>
      </c>
    </row>
    <row r="54" ht="15" customHeight="1" s="11">
      <c r="A54" s="10" t="inlineStr">
        <is>
          <t>USR-100053</t>
        </is>
      </c>
      <c r="B54" s="14" t="n">
        <v>45726</v>
      </c>
      <c r="C54" s="10" t="inlineStr">
        <is>
          <t>Control</t>
        </is>
      </c>
      <c r="D54" s="10" t="inlineStr">
        <is>
          <t>South</t>
        </is>
      </c>
      <c r="E54" s="10" t="inlineStr">
        <is>
          <t>Tablet</t>
        </is>
      </c>
      <c r="F54" s="10" t="inlineStr">
        <is>
          <t>Organic</t>
        </is>
      </c>
      <c r="G54" s="10" t="inlineStr">
        <is>
          <t>Free</t>
        </is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P54" s="10" t="n">
        <v>53.6</v>
      </c>
      <c r="Q54" s="10">
        <f>A54&amp;"|"&amp;B54&amp;"|"&amp;C54&amp;"|"&amp;D54&amp;"|"&amp;E54&amp;"|"&amp;F54&amp;"|"&amp;G54&amp;"|"&amp;H54&amp;"|"&amp;I54&amp;"|"&amp;J54&amp;"|"&amp;K54&amp;"|"&amp;L54&amp;"|"&amp;M54&amp;"|"&amp;N54&amp;"|"&amp;O54&amp;"|"&amp;P54</f>
        <v/>
      </c>
      <c r="R54" s="10">
        <f>IF(COUNTIF($Q$2:$Q$1409,Q54)&gt;1,IF(COUNTIF($Q$2:Q54,Q54)=1,"Exact Duplicate - Keep First","Exact Duplicate - Remove"),"Unique")</f>
        <v/>
      </c>
    </row>
    <row r="55" ht="15" customHeight="1" s="11">
      <c r="A55" s="10" t="inlineStr">
        <is>
          <t>USR-100054</t>
        </is>
      </c>
      <c r="B55" s="14" t="n">
        <v>45767</v>
      </c>
      <c r="C55" s="10" t="inlineStr">
        <is>
          <t>Control</t>
        </is>
      </c>
      <c r="D55" s="10" t="inlineStr">
        <is>
          <t>West</t>
        </is>
      </c>
      <c r="E55" s="10" t="inlineStr">
        <is>
          <t>Desktop</t>
        </is>
      </c>
      <c r="F55" s="10" t="inlineStr">
        <is>
          <t>Organic</t>
        </is>
      </c>
      <c r="G55" s="10" t="inlineStr">
        <is>
          <t>Basic</t>
        </is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P55" s="10" t="n">
        <v>49.6</v>
      </c>
      <c r="Q55" s="10">
        <f>A55&amp;"|"&amp;B55&amp;"|"&amp;C55&amp;"|"&amp;D55&amp;"|"&amp;E55&amp;"|"&amp;F55&amp;"|"&amp;G55&amp;"|"&amp;H55&amp;"|"&amp;I55&amp;"|"&amp;J55&amp;"|"&amp;K55&amp;"|"&amp;L55&amp;"|"&amp;M55&amp;"|"&amp;N55&amp;"|"&amp;O55&amp;"|"&amp;P55</f>
        <v/>
      </c>
      <c r="R55" s="10">
        <f>IF(COUNTIF($Q$2:$Q$1409,Q55)&gt;1,IF(COUNTIF($Q$2:Q55,Q55)=1,"Exact Duplicate - Keep First","Exact Duplicate - Remove"),"Unique")</f>
        <v/>
      </c>
    </row>
    <row r="56" ht="15" customHeight="1" s="11">
      <c r="A56" s="10" t="inlineStr">
        <is>
          <t>USR-100055</t>
        </is>
      </c>
      <c r="B56" s="14" t="n">
        <v>45707</v>
      </c>
      <c r="C56" s="10" t="inlineStr">
        <is>
          <t>Control</t>
        </is>
      </c>
      <c r="D56" s="10" t="inlineStr">
        <is>
          <t>South</t>
        </is>
      </c>
      <c r="E56" s="10" t="inlineStr">
        <is>
          <t>Mobile</t>
        </is>
      </c>
      <c r="F56" s="10" t="inlineStr">
        <is>
          <t>Organic</t>
        </is>
      </c>
      <c r="G56" s="10" t="inlineStr">
        <is>
          <t>Free</t>
        </is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P56" s="10" t="n">
        <v>54</v>
      </c>
      <c r="Q56" s="10">
        <f>A56&amp;"|"&amp;B56&amp;"|"&amp;C56&amp;"|"&amp;D56&amp;"|"&amp;E56&amp;"|"&amp;F56&amp;"|"&amp;G56&amp;"|"&amp;H56&amp;"|"&amp;I56&amp;"|"&amp;J56&amp;"|"&amp;K56&amp;"|"&amp;L56&amp;"|"&amp;M56&amp;"|"&amp;N56&amp;"|"&amp;O56&amp;"|"&amp;P56</f>
        <v/>
      </c>
      <c r="R56" s="10">
        <f>IF(COUNTIF($Q$2:$Q$1409,Q56)&gt;1,IF(COUNTIF($Q$2:Q56,Q56)=1,"Exact Duplicate - Keep First","Exact Duplicate - Remove"),"Unique")</f>
        <v/>
      </c>
    </row>
    <row r="57" ht="15" customHeight="1" s="11">
      <c r="A57" s="10" t="inlineStr">
        <is>
          <t>USR-100056</t>
        </is>
      </c>
      <c r="B57" s="14" t="n">
        <v>45794</v>
      </c>
      <c r="C57" s="10" t="inlineStr">
        <is>
          <t>Control</t>
        </is>
      </c>
      <c r="D57" s="10" t="inlineStr">
        <is>
          <t>South</t>
        </is>
      </c>
      <c r="E57" s="10" t="inlineStr">
        <is>
          <t>Mobile</t>
        </is>
      </c>
      <c r="F57" s="10" t="inlineStr">
        <is>
          <t>Social</t>
        </is>
      </c>
      <c r="G57" s="10" t="inlineStr">
        <is>
          <t>Basic</t>
        </is>
      </c>
      <c r="H57" s="10" t="n">
        <v>1</v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2</v>
      </c>
      <c r="N57" s="10" t="n">
        <v>0</v>
      </c>
      <c r="P57" s="10" t="n">
        <v>50</v>
      </c>
      <c r="Q57" s="10">
        <f>A57&amp;"|"&amp;B57&amp;"|"&amp;C57&amp;"|"&amp;D57&amp;"|"&amp;E57&amp;"|"&amp;F57&amp;"|"&amp;G57&amp;"|"&amp;H57&amp;"|"&amp;I57&amp;"|"&amp;J57&amp;"|"&amp;K57&amp;"|"&amp;L57&amp;"|"&amp;M57&amp;"|"&amp;N57&amp;"|"&amp;O57&amp;"|"&amp;P57</f>
        <v/>
      </c>
      <c r="R57" s="10">
        <f>IF(COUNTIF($Q$2:$Q$1409,Q57)&gt;1,IF(COUNTIF($Q$2:Q57,Q57)=1,"Exact Duplicate - Keep First","Exact Duplicate - Remove"),"Unique")</f>
        <v/>
      </c>
    </row>
    <row r="58" ht="15" customHeight="1" s="11">
      <c r="A58" s="10" t="inlineStr">
        <is>
          <t>USR-100057</t>
        </is>
      </c>
      <c r="B58" s="14" t="n">
        <v>45748</v>
      </c>
      <c r="C58" s="10" t="inlineStr">
        <is>
          <t>Control</t>
        </is>
      </c>
      <c r="D58" s="10" t="inlineStr">
        <is>
          <t>East</t>
        </is>
      </c>
      <c r="E58" s="10" t="inlineStr">
        <is>
          <t>Mobile</t>
        </is>
      </c>
      <c r="F58" s="10" t="inlineStr">
        <is>
          <t>Social</t>
        </is>
      </c>
      <c r="G58" s="10" t="inlineStr">
        <is>
          <t>Basic</t>
        </is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P58" s="10" t="n">
        <v>48.1</v>
      </c>
      <c r="Q58" s="10">
        <f>A58&amp;"|"&amp;B58&amp;"|"&amp;C58&amp;"|"&amp;D58&amp;"|"&amp;E58&amp;"|"&amp;F58&amp;"|"&amp;G58&amp;"|"&amp;H58&amp;"|"&amp;I58&amp;"|"&amp;J58&amp;"|"&amp;K58&amp;"|"&amp;L58&amp;"|"&amp;M58&amp;"|"&amp;N58&amp;"|"&amp;O58&amp;"|"&amp;P58</f>
        <v/>
      </c>
      <c r="R58" s="10">
        <f>IF(COUNTIF($Q$2:$Q$1409,Q58)&gt;1,IF(COUNTIF($Q$2:Q58,Q58)=1,"Exact Duplicate - Keep First","Exact Duplicate - Remove"),"Unique")</f>
        <v/>
      </c>
    </row>
    <row r="59" ht="15" customHeight="1" s="11">
      <c r="A59" s="10" t="inlineStr">
        <is>
          <t>USR-100058</t>
        </is>
      </c>
      <c r="B59" s="14" t="n">
        <v>45692</v>
      </c>
      <c r="C59" s="10" t="inlineStr">
        <is>
          <t>Control</t>
        </is>
      </c>
      <c r="D59" s="10" t="inlineStr">
        <is>
          <t>North</t>
        </is>
      </c>
      <c r="E59" s="10" t="inlineStr">
        <is>
          <t>Desktop</t>
        </is>
      </c>
      <c r="F59" s="10" t="inlineStr">
        <is>
          <t>Organic</t>
        </is>
      </c>
      <c r="G59" s="10" t="inlineStr">
        <is>
          <t>Free</t>
        </is>
      </c>
      <c r="H59" s="10" t="n">
        <v>1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P59" s="10" t="n">
        <v>49.6</v>
      </c>
      <c r="Q59" s="10">
        <f>A59&amp;"|"&amp;B59&amp;"|"&amp;C59&amp;"|"&amp;D59&amp;"|"&amp;E59&amp;"|"&amp;F59&amp;"|"&amp;G59&amp;"|"&amp;H59&amp;"|"&amp;I59&amp;"|"&amp;J59&amp;"|"&amp;K59&amp;"|"&amp;L59&amp;"|"&amp;M59&amp;"|"&amp;N59&amp;"|"&amp;O59&amp;"|"&amp;P59</f>
        <v/>
      </c>
      <c r="R59" s="10">
        <f>IF(COUNTIF($Q$2:$Q$1409,Q59)&gt;1,IF(COUNTIF($Q$2:Q59,Q59)=1,"Exact Duplicate - Keep First","Exact Duplicate - Remove"),"Unique")</f>
        <v/>
      </c>
    </row>
    <row r="60" ht="15" customHeight="1" s="11">
      <c r="A60" s="10" t="inlineStr">
        <is>
          <t>USR-100059</t>
        </is>
      </c>
      <c r="B60" s="14" t="n">
        <v>45761</v>
      </c>
      <c r="C60" s="10" t="inlineStr">
        <is>
          <t>Control</t>
        </is>
      </c>
      <c r="D60" s="10" t="inlineStr">
        <is>
          <t>North</t>
        </is>
      </c>
      <c r="E60" s="10" t="inlineStr">
        <is>
          <t>Mobile</t>
        </is>
      </c>
      <c r="F60" s="10" t="inlineStr">
        <is>
          <t>Social</t>
        </is>
      </c>
      <c r="G60" s="10" t="inlineStr">
        <is>
          <t>Free</t>
        </is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2</v>
      </c>
      <c r="N60" s="10" t="n">
        <v>0</v>
      </c>
      <c r="P60" s="10" t="n">
        <v>48.9</v>
      </c>
      <c r="Q60" s="10">
        <f>A60&amp;"|"&amp;B60&amp;"|"&amp;C60&amp;"|"&amp;D60&amp;"|"&amp;E60&amp;"|"&amp;F60&amp;"|"&amp;G60&amp;"|"&amp;H60&amp;"|"&amp;I60&amp;"|"&amp;J60&amp;"|"&amp;K60&amp;"|"&amp;L60&amp;"|"&amp;M60&amp;"|"&amp;N60&amp;"|"&amp;O60&amp;"|"&amp;P60</f>
        <v/>
      </c>
      <c r="R60" s="10">
        <f>IF(COUNTIF($Q$2:$Q$1409,Q60)&gt;1,IF(COUNTIF($Q$2:Q60,Q60)=1,"Exact Duplicate - Keep First","Exact Duplicate - Remove"),"Unique")</f>
        <v/>
      </c>
    </row>
    <row r="61" ht="15" customHeight="1" s="11">
      <c r="A61" s="10" t="inlineStr">
        <is>
          <t>USR-100060</t>
        </is>
      </c>
      <c r="B61" s="14" t="n">
        <v>45658</v>
      </c>
      <c r="C61" s="10" t="inlineStr">
        <is>
          <t>Control</t>
        </is>
      </c>
      <c r="D61" s="10" t="inlineStr">
        <is>
          <t>West</t>
        </is>
      </c>
      <c r="E61" s="10" t="inlineStr">
        <is>
          <t>Mobile</t>
        </is>
      </c>
      <c r="F61" s="10" t="inlineStr">
        <is>
          <t>Social</t>
        </is>
      </c>
      <c r="G61" s="10" t="inlineStr">
        <is>
          <t>Free</t>
        </is>
      </c>
      <c r="H61" s="10" t="n">
        <v>1</v>
      </c>
      <c r="I61" s="10" t="n">
        <v>1</v>
      </c>
      <c r="J61" s="10" t="n">
        <v>1</v>
      </c>
      <c r="K61" s="10" t="n">
        <v>1</v>
      </c>
      <c r="L61" s="10" t="n">
        <v>240.42</v>
      </c>
      <c r="M61" s="10" t="n">
        <v>0</v>
      </c>
      <c r="N61" s="10" t="n">
        <v>0</v>
      </c>
      <c r="O61" s="10" t="n">
        <v>16</v>
      </c>
      <c r="P61" s="10" t="n">
        <v>56.5</v>
      </c>
      <c r="Q61" s="10">
        <f>A61&amp;"|"&amp;B61&amp;"|"&amp;C61&amp;"|"&amp;D61&amp;"|"&amp;E61&amp;"|"&amp;F61&amp;"|"&amp;G61&amp;"|"&amp;H61&amp;"|"&amp;I61&amp;"|"&amp;J61&amp;"|"&amp;K61&amp;"|"&amp;L61&amp;"|"&amp;M61&amp;"|"&amp;N61&amp;"|"&amp;O61&amp;"|"&amp;P61</f>
        <v/>
      </c>
      <c r="R61" s="10">
        <f>IF(COUNTIF($Q$2:$Q$1409,Q61)&gt;1,IF(COUNTIF($Q$2:Q61,Q61)=1,"Exact Duplicate - Keep First","Exact Duplicate - Remove"),"Unique")</f>
        <v/>
      </c>
    </row>
    <row r="62" ht="15" customHeight="1" s="11">
      <c r="A62" s="10" t="inlineStr">
        <is>
          <t>USR-100061</t>
        </is>
      </c>
      <c r="B62" s="14" t="n">
        <v>45749</v>
      </c>
      <c r="C62" s="10" t="inlineStr">
        <is>
          <t>Control</t>
        </is>
      </c>
      <c r="D62" s="10" t="inlineStr">
        <is>
          <t>South</t>
        </is>
      </c>
      <c r="E62" s="10" t="inlineStr">
        <is>
          <t>Mobile</t>
        </is>
      </c>
      <c r="F62" s="10" t="inlineStr">
        <is>
          <t>Referral</t>
        </is>
      </c>
      <c r="G62" s="10" t="inlineStr">
        <is>
          <t>Free</t>
        </is>
      </c>
      <c r="H62" s="10" t="n">
        <v>1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P62" s="10" t="n">
        <v>53.7</v>
      </c>
      <c r="Q62" s="10">
        <f>A62&amp;"|"&amp;B62&amp;"|"&amp;C62&amp;"|"&amp;D62&amp;"|"&amp;E62&amp;"|"&amp;F62&amp;"|"&amp;G62&amp;"|"&amp;H62&amp;"|"&amp;I62&amp;"|"&amp;J62&amp;"|"&amp;K62&amp;"|"&amp;L62&amp;"|"&amp;M62&amp;"|"&amp;N62&amp;"|"&amp;O62&amp;"|"&amp;P62</f>
        <v/>
      </c>
      <c r="R62" s="10">
        <f>IF(COUNTIF($Q$2:$Q$1409,Q62)&gt;1,IF(COUNTIF($Q$2:Q62,Q62)=1,"Exact Duplicate - Keep First","Exact Duplicate - Remove"),"Unique")</f>
        <v/>
      </c>
    </row>
    <row r="63" ht="15" customHeight="1" s="11">
      <c r="A63" s="10" t="inlineStr">
        <is>
          <t>USR-100062</t>
        </is>
      </c>
      <c r="B63" s="14" t="n">
        <v>45745</v>
      </c>
      <c r="C63" s="10" t="inlineStr">
        <is>
          <t>Control</t>
        </is>
      </c>
      <c r="D63" s="10" t="inlineStr">
        <is>
          <t>North</t>
        </is>
      </c>
      <c r="E63" s="10" t="inlineStr">
        <is>
          <t>Mobile</t>
        </is>
      </c>
      <c r="F63" s="10" t="inlineStr">
        <is>
          <t>Social</t>
        </is>
      </c>
      <c r="G63" s="10" t="inlineStr">
        <is>
          <t>Premium</t>
        </is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0</v>
      </c>
      <c r="P63" s="10" t="n">
        <v>62.2</v>
      </c>
      <c r="Q63" s="10">
        <f>A63&amp;"|"&amp;B63&amp;"|"&amp;C63&amp;"|"&amp;D63&amp;"|"&amp;E63&amp;"|"&amp;F63&amp;"|"&amp;G63&amp;"|"&amp;H63&amp;"|"&amp;I63&amp;"|"&amp;J63&amp;"|"&amp;K63&amp;"|"&amp;L63&amp;"|"&amp;M63&amp;"|"&amp;N63&amp;"|"&amp;O63&amp;"|"&amp;P63</f>
        <v/>
      </c>
      <c r="R63" s="10">
        <f>IF(COUNTIF($Q$2:$Q$1409,Q63)&gt;1,IF(COUNTIF($Q$2:Q63,Q63)=1,"Exact Duplicate - Keep First","Exact Duplicate - Remove"),"Unique")</f>
        <v/>
      </c>
    </row>
    <row r="64" ht="15" customHeight="1" s="11">
      <c r="A64" s="10" t="inlineStr">
        <is>
          <t>USR-100063</t>
        </is>
      </c>
      <c r="B64" s="14" t="n">
        <v>45792</v>
      </c>
      <c r="C64" s="10" t="inlineStr">
        <is>
          <t>Control</t>
        </is>
      </c>
      <c r="D64" s="10" t="inlineStr">
        <is>
          <t>South</t>
        </is>
      </c>
      <c r="E64" s="10" t="inlineStr">
        <is>
          <t>Desktop</t>
        </is>
      </c>
      <c r="F64" s="10" t="inlineStr">
        <is>
          <t>Organic</t>
        </is>
      </c>
      <c r="G64" s="10" t="inlineStr">
        <is>
          <t>Free</t>
        </is>
      </c>
      <c r="H64" s="10" t="n">
        <v>1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P64" s="10" t="n">
        <v>50.2</v>
      </c>
      <c r="Q64" s="10">
        <f>A64&amp;"|"&amp;B64&amp;"|"&amp;C64&amp;"|"&amp;D64&amp;"|"&amp;E64&amp;"|"&amp;F64&amp;"|"&amp;G64&amp;"|"&amp;H64&amp;"|"&amp;I64&amp;"|"&amp;J64&amp;"|"&amp;K64&amp;"|"&amp;L64&amp;"|"&amp;M64&amp;"|"&amp;N64&amp;"|"&amp;O64&amp;"|"&amp;P64</f>
        <v/>
      </c>
      <c r="R64" s="10">
        <f>IF(COUNTIF($Q$2:$Q$1409,Q64)&gt;1,IF(COUNTIF($Q$2:Q64,Q64)=1,"Exact Duplicate - Keep First","Exact Duplicate - Remove"),"Unique")</f>
        <v/>
      </c>
    </row>
    <row r="65" ht="15" customHeight="1" s="11">
      <c r="A65" s="10" t="inlineStr">
        <is>
          <t>USR-100064</t>
        </is>
      </c>
      <c r="B65" s="14" t="n">
        <v>45758</v>
      </c>
      <c r="C65" s="10" t="inlineStr">
        <is>
          <t>Control</t>
        </is>
      </c>
      <c r="D65" s="10" t="inlineStr">
        <is>
          <t>North</t>
        </is>
      </c>
      <c r="E65" s="10" t="inlineStr">
        <is>
          <t>Mobile</t>
        </is>
      </c>
      <c r="F65" s="10" t="inlineStr">
        <is>
          <t>Organic</t>
        </is>
      </c>
      <c r="G65" s="10" t="inlineStr">
        <is>
          <t>Basic</t>
        </is>
      </c>
      <c r="H65" s="10" t="n">
        <v>1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0</v>
      </c>
      <c r="P65" s="10" t="n">
        <v>74.3</v>
      </c>
      <c r="Q65" s="10">
        <f>A65&amp;"|"&amp;B65&amp;"|"&amp;C65&amp;"|"&amp;D65&amp;"|"&amp;E65&amp;"|"&amp;F65&amp;"|"&amp;G65&amp;"|"&amp;H65&amp;"|"&amp;I65&amp;"|"&amp;J65&amp;"|"&amp;K65&amp;"|"&amp;L65&amp;"|"&amp;M65&amp;"|"&amp;N65&amp;"|"&amp;O65&amp;"|"&amp;P65</f>
        <v/>
      </c>
      <c r="R65" s="10">
        <f>IF(COUNTIF($Q$2:$Q$1409,Q65)&gt;1,IF(COUNTIF($Q$2:Q65,Q65)=1,"Exact Duplicate - Keep First","Exact Duplicate - Remove"),"Unique")</f>
        <v/>
      </c>
    </row>
    <row r="66" ht="15" customHeight="1" s="11">
      <c r="A66" s="10" t="inlineStr">
        <is>
          <t>USR-100065</t>
        </is>
      </c>
      <c r="B66" s="14" t="n">
        <v>45723</v>
      </c>
      <c r="C66" s="10" t="inlineStr">
        <is>
          <t>Control</t>
        </is>
      </c>
      <c r="D66" s="10" t="inlineStr">
        <is>
          <t>South</t>
        </is>
      </c>
      <c r="E66" s="10" t="inlineStr">
        <is>
          <t>Desktop</t>
        </is>
      </c>
      <c r="F66" s="10" t="inlineStr">
        <is>
          <t>Paid Search</t>
        </is>
      </c>
      <c r="G66" s="10" t="inlineStr">
        <is>
          <t>Free</t>
        </is>
      </c>
      <c r="H66" s="10" t="n">
        <v>1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P66" s="10" t="n">
        <v>58</v>
      </c>
      <c r="Q66" s="10">
        <f>A66&amp;"|"&amp;B66&amp;"|"&amp;C66&amp;"|"&amp;D66&amp;"|"&amp;E66&amp;"|"&amp;F66&amp;"|"&amp;G66&amp;"|"&amp;H66&amp;"|"&amp;I66&amp;"|"&amp;J66&amp;"|"&amp;K66&amp;"|"&amp;L66&amp;"|"&amp;M66&amp;"|"&amp;N66&amp;"|"&amp;O66&amp;"|"&amp;P66</f>
        <v/>
      </c>
      <c r="R66" s="10">
        <f>IF(COUNTIF($Q$2:$Q$1409,Q66)&gt;1,IF(COUNTIF($Q$2:Q66,Q66)=1,"Exact Duplicate - Keep First","Exact Duplicate - Remove"),"Unique")</f>
        <v/>
      </c>
    </row>
    <row r="67" ht="15" customHeight="1" s="11">
      <c r="A67" s="10" t="inlineStr">
        <is>
          <t>USR-100066</t>
        </is>
      </c>
      <c r="B67" s="14" t="n">
        <v>45807</v>
      </c>
      <c r="C67" s="10" t="inlineStr">
        <is>
          <t>Control</t>
        </is>
      </c>
      <c r="D67" s="10" t="inlineStr">
        <is>
          <t>South</t>
        </is>
      </c>
      <c r="E67" s="10" t="inlineStr">
        <is>
          <t>Mobile</t>
        </is>
      </c>
      <c r="F67" s="10" t="inlineStr">
        <is>
          <t>Organic</t>
        </is>
      </c>
      <c r="G67" s="10" t="inlineStr">
        <is>
          <t>Free</t>
        </is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0</v>
      </c>
      <c r="P67" s="10" t="n">
        <v>46.7</v>
      </c>
      <c r="Q67" s="10">
        <f>A67&amp;"|"&amp;B67&amp;"|"&amp;C67&amp;"|"&amp;D67&amp;"|"&amp;E67&amp;"|"&amp;F67&amp;"|"&amp;G67&amp;"|"&amp;H67&amp;"|"&amp;I67&amp;"|"&amp;J67&amp;"|"&amp;K67&amp;"|"&amp;L67&amp;"|"&amp;M67&amp;"|"&amp;N67&amp;"|"&amp;O67&amp;"|"&amp;P67</f>
        <v/>
      </c>
      <c r="R67" s="10">
        <f>IF(COUNTIF($Q$2:$Q$1409,Q67)&gt;1,IF(COUNTIF($Q$2:Q67,Q67)=1,"Exact Duplicate - Keep First","Exact Duplicate - Remove"),"Unique")</f>
        <v/>
      </c>
    </row>
    <row r="68" ht="15" customHeight="1" s="11">
      <c r="A68" s="10" t="inlineStr">
        <is>
          <t>USR-100067</t>
        </is>
      </c>
      <c r="B68" s="14" t="n">
        <v>45664</v>
      </c>
      <c r="C68" s="10" t="inlineStr">
        <is>
          <t>Control</t>
        </is>
      </c>
      <c r="D68" s="10" t="inlineStr">
        <is>
          <t>South</t>
        </is>
      </c>
      <c r="E68" s="10" t="inlineStr">
        <is>
          <t>Desktop</t>
        </is>
      </c>
      <c r="F68" s="10" t="inlineStr">
        <is>
          <t>Organic</t>
        </is>
      </c>
      <c r="G68" s="10" t="inlineStr">
        <is>
          <t>Premium</t>
        </is>
      </c>
      <c r="H68" s="10" t="n">
        <v>1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1</v>
      </c>
      <c r="N68" s="10" t="n">
        <v>0</v>
      </c>
      <c r="P68" s="10" t="n">
        <v>49.6</v>
      </c>
      <c r="Q68" s="10">
        <f>A68&amp;"|"&amp;B68&amp;"|"&amp;C68&amp;"|"&amp;D68&amp;"|"&amp;E68&amp;"|"&amp;F68&amp;"|"&amp;G68&amp;"|"&amp;H68&amp;"|"&amp;I68&amp;"|"&amp;J68&amp;"|"&amp;K68&amp;"|"&amp;L68&amp;"|"&amp;M68&amp;"|"&amp;N68&amp;"|"&amp;O68&amp;"|"&amp;P68</f>
        <v/>
      </c>
      <c r="R68" s="10">
        <f>IF(COUNTIF($Q$2:$Q$1409,Q68)&gt;1,IF(COUNTIF($Q$2:Q68,Q68)=1,"Exact Duplicate - Keep First","Exact Duplicate - Remove"),"Unique")</f>
        <v/>
      </c>
    </row>
    <row r="69" ht="15" customHeight="1" s="11">
      <c r="A69" s="10" t="inlineStr">
        <is>
          <t>USR-100068</t>
        </is>
      </c>
      <c r="B69" s="14" t="n">
        <v>45785</v>
      </c>
      <c r="C69" s="10" t="inlineStr">
        <is>
          <t>Control</t>
        </is>
      </c>
      <c r="D69" s="10" t="inlineStr">
        <is>
          <t>West</t>
        </is>
      </c>
      <c r="E69" s="10" t="inlineStr">
        <is>
          <t>Mobile</t>
        </is>
      </c>
      <c r="F69" s="10" t="inlineStr">
        <is>
          <t>Social</t>
        </is>
      </c>
      <c r="G69" s="10" t="inlineStr">
        <is>
          <t>Free</t>
        </is>
      </c>
      <c r="H69" s="10" t="n">
        <v>0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  <c r="N69" s="10" t="n">
        <v>0</v>
      </c>
      <c r="P69" s="10" t="n">
        <v>60.4</v>
      </c>
      <c r="Q69" s="10">
        <f>A69&amp;"|"&amp;B69&amp;"|"&amp;C69&amp;"|"&amp;D69&amp;"|"&amp;E69&amp;"|"&amp;F69&amp;"|"&amp;G69&amp;"|"&amp;H69&amp;"|"&amp;I69&amp;"|"&amp;J69&amp;"|"&amp;K69&amp;"|"&amp;L69&amp;"|"&amp;M69&amp;"|"&amp;N69&amp;"|"&amp;O69&amp;"|"&amp;P69</f>
        <v/>
      </c>
      <c r="R69" s="10">
        <f>IF(COUNTIF($Q$2:$Q$1409,Q69)&gt;1,IF(COUNTIF($Q$2:Q69,Q69)=1,"Exact Duplicate - Keep First","Exact Duplicate - Remove"),"Unique")</f>
        <v/>
      </c>
    </row>
    <row r="70" ht="15" customHeight="1" s="11">
      <c r="A70" s="10" t="inlineStr">
        <is>
          <t>USR-100069</t>
        </is>
      </c>
      <c r="B70" s="14" t="n">
        <v>45735</v>
      </c>
      <c r="C70" s="10" t="inlineStr">
        <is>
          <t>Control</t>
        </is>
      </c>
      <c r="D70" s="10" t="inlineStr">
        <is>
          <t>East</t>
        </is>
      </c>
      <c r="E70" s="10" t="inlineStr">
        <is>
          <t>Desktop</t>
        </is>
      </c>
      <c r="F70" s="10" t="inlineStr">
        <is>
          <t>Email</t>
        </is>
      </c>
      <c r="G70" s="10" t="inlineStr">
        <is>
          <t>Free</t>
        </is>
      </c>
      <c r="H70" s="10" t="n">
        <v>1</v>
      </c>
      <c r="I70" s="10" t="n">
        <v>1</v>
      </c>
      <c r="J70" s="10" t="n">
        <v>1</v>
      </c>
      <c r="K70" s="10" t="n">
        <v>0</v>
      </c>
      <c r="L70" s="10" t="n">
        <v>0</v>
      </c>
      <c r="M70" s="10" t="n">
        <v>0</v>
      </c>
      <c r="N70" s="10" t="n">
        <v>0</v>
      </c>
      <c r="P70" s="10" t="n">
        <v>55.3</v>
      </c>
      <c r="Q70" s="10">
        <f>A70&amp;"|"&amp;B70&amp;"|"&amp;C70&amp;"|"&amp;D70&amp;"|"&amp;E70&amp;"|"&amp;F70&amp;"|"&amp;G70&amp;"|"&amp;H70&amp;"|"&amp;I70&amp;"|"&amp;J70&amp;"|"&amp;K70&amp;"|"&amp;L70&amp;"|"&amp;M70&amp;"|"&amp;N70&amp;"|"&amp;O70&amp;"|"&amp;P70</f>
        <v/>
      </c>
      <c r="R70" s="10">
        <f>IF(COUNTIF($Q$2:$Q$1409,Q70)&gt;1,IF(COUNTIF($Q$2:Q70,Q70)=1,"Exact Duplicate - Keep First","Exact Duplicate - Remove"),"Unique")</f>
        <v/>
      </c>
    </row>
    <row r="71" ht="15" customHeight="1" s="11">
      <c r="A71" s="10" t="inlineStr">
        <is>
          <t>USR-100070</t>
        </is>
      </c>
      <c r="B71" s="14" t="n">
        <v>45793</v>
      </c>
      <c r="C71" s="10" t="inlineStr">
        <is>
          <t>Control</t>
        </is>
      </c>
      <c r="D71" s="10" t="inlineStr">
        <is>
          <t>North</t>
        </is>
      </c>
      <c r="E71" s="10" t="inlineStr">
        <is>
          <t>Desktop</t>
        </is>
      </c>
      <c r="F71" s="10" t="inlineStr">
        <is>
          <t>Organic</t>
        </is>
      </c>
      <c r="G71" s="10" t="inlineStr">
        <is>
          <t>Free</t>
        </is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P71" s="10" t="n">
        <v>56.2</v>
      </c>
      <c r="Q71" s="10">
        <f>A71&amp;"|"&amp;B71&amp;"|"&amp;C71&amp;"|"&amp;D71&amp;"|"&amp;E71&amp;"|"&amp;F71&amp;"|"&amp;G71&amp;"|"&amp;H71&amp;"|"&amp;I71&amp;"|"&amp;J71&amp;"|"&amp;K71&amp;"|"&amp;L71&amp;"|"&amp;M71&amp;"|"&amp;N71&amp;"|"&amp;O71&amp;"|"&amp;P71</f>
        <v/>
      </c>
      <c r="R71" s="10">
        <f>IF(COUNTIF($Q$2:$Q$1409,Q71)&gt;1,IF(COUNTIF($Q$2:Q71,Q71)=1,"Exact Duplicate - Keep First","Exact Duplicate - Remove"),"Unique")</f>
        <v/>
      </c>
    </row>
    <row r="72" ht="15" customHeight="1" s="11">
      <c r="A72" s="10" t="inlineStr">
        <is>
          <t>USR-100071</t>
        </is>
      </c>
      <c r="B72" s="14" t="n">
        <v>45724</v>
      </c>
      <c r="C72" s="10" t="inlineStr">
        <is>
          <t>Control</t>
        </is>
      </c>
      <c r="D72" s="10" t="inlineStr">
        <is>
          <t>West</t>
        </is>
      </c>
      <c r="E72" s="10" t="inlineStr">
        <is>
          <t>Mobile</t>
        </is>
      </c>
      <c r="F72" s="10" t="inlineStr">
        <is>
          <t>Email</t>
        </is>
      </c>
      <c r="G72" s="10" t="inlineStr">
        <is>
          <t>Free</t>
        </is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P72" s="10" t="n">
        <v>29.4</v>
      </c>
      <c r="Q72" s="10">
        <f>A72&amp;"|"&amp;B72&amp;"|"&amp;C72&amp;"|"&amp;D72&amp;"|"&amp;E72&amp;"|"&amp;F72&amp;"|"&amp;G72&amp;"|"&amp;H72&amp;"|"&amp;I72&amp;"|"&amp;J72&amp;"|"&amp;K72&amp;"|"&amp;L72&amp;"|"&amp;M72&amp;"|"&amp;N72&amp;"|"&amp;O72&amp;"|"&amp;P72</f>
        <v/>
      </c>
      <c r="R72" s="10">
        <f>IF(COUNTIF($Q$2:$Q$1409,Q72)&gt;1,IF(COUNTIF($Q$2:Q72,Q72)=1,"Exact Duplicate - Keep First","Exact Duplicate - Remove"),"Unique")</f>
        <v/>
      </c>
    </row>
    <row r="73" ht="15" customHeight="1" s="11">
      <c r="A73" s="10" t="inlineStr">
        <is>
          <t>USR-100072</t>
        </is>
      </c>
      <c r="B73" s="14" t="n">
        <v>45724</v>
      </c>
      <c r="C73" s="10" t="inlineStr">
        <is>
          <t>Control</t>
        </is>
      </c>
      <c r="D73" s="10" t="inlineStr">
        <is>
          <t>East</t>
        </is>
      </c>
      <c r="E73" s="10" t="inlineStr">
        <is>
          <t>Mobile</t>
        </is>
      </c>
      <c r="F73" s="10" t="inlineStr">
        <is>
          <t>Email</t>
        </is>
      </c>
      <c r="G73" s="10" t="inlineStr">
        <is>
          <t>Free</t>
        </is>
      </c>
      <c r="H73" s="10" t="n">
        <v>1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</v>
      </c>
      <c r="P73" s="10" t="n">
        <v>54.2</v>
      </c>
      <c r="Q73" s="10">
        <f>A73&amp;"|"&amp;B73&amp;"|"&amp;C73&amp;"|"&amp;D73&amp;"|"&amp;E73&amp;"|"&amp;F73&amp;"|"&amp;G73&amp;"|"&amp;H73&amp;"|"&amp;I73&amp;"|"&amp;J73&amp;"|"&amp;K73&amp;"|"&amp;L73&amp;"|"&amp;M73&amp;"|"&amp;N73&amp;"|"&amp;O73&amp;"|"&amp;P73</f>
        <v/>
      </c>
      <c r="R73" s="10">
        <f>IF(COUNTIF($Q$2:$Q$1409,Q73)&gt;1,IF(COUNTIF($Q$2:Q73,Q73)=1,"Exact Duplicate - Keep First","Exact Duplicate - Remove"),"Unique")</f>
        <v/>
      </c>
    </row>
    <row r="74" ht="15" customHeight="1" s="11">
      <c r="A74" s="10" t="inlineStr">
        <is>
          <t>USR-100073</t>
        </is>
      </c>
      <c r="B74" s="14" t="n">
        <v>45671</v>
      </c>
      <c r="C74" s="10" t="inlineStr">
        <is>
          <t>Control</t>
        </is>
      </c>
      <c r="D74" s="10" t="inlineStr">
        <is>
          <t>East</t>
        </is>
      </c>
      <c r="E74" s="10" t="inlineStr">
        <is>
          <t>Desktop</t>
        </is>
      </c>
      <c r="F74" s="10" t="inlineStr">
        <is>
          <t>Paid Search</t>
        </is>
      </c>
      <c r="G74" s="10" t="inlineStr">
        <is>
          <t>Basic</t>
        </is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P74" s="10" t="n">
        <v>46.4</v>
      </c>
      <c r="Q74" s="10">
        <f>A74&amp;"|"&amp;B74&amp;"|"&amp;C74&amp;"|"&amp;D74&amp;"|"&amp;E74&amp;"|"&amp;F74&amp;"|"&amp;G74&amp;"|"&amp;H74&amp;"|"&amp;I74&amp;"|"&amp;J74&amp;"|"&amp;K74&amp;"|"&amp;L74&amp;"|"&amp;M74&amp;"|"&amp;N74&amp;"|"&amp;O74&amp;"|"&amp;P74</f>
        <v/>
      </c>
      <c r="R74" s="10">
        <f>IF(COUNTIF($Q$2:$Q$1409,Q74)&gt;1,IF(COUNTIF($Q$2:Q74,Q74)=1,"Exact Duplicate - Keep First","Exact Duplicate - Remove"),"Unique")</f>
        <v/>
      </c>
    </row>
    <row r="75" ht="15" customHeight="1" s="11">
      <c r="A75" s="10" t="inlineStr">
        <is>
          <t>USR-100074</t>
        </is>
      </c>
      <c r="B75" s="14" t="n">
        <v>45698</v>
      </c>
      <c r="C75" s="10" t="inlineStr">
        <is>
          <t>Control</t>
        </is>
      </c>
      <c r="D75" s="10" t="inlineStr">
        <is>
          <t>South</t>
        </is>
      </c>
      <c r="E75" s="10" t="inlineStr">
        <is>
          <t>Mobile</t>
        </is>
      </c>
      <c r="F75" s="10" t="inlineStr">
        <is>
          <t>Paid Search</t>
        </is>
      </c>
      <c r="G75" s="10" t="inlineStr">
        <is>
          <t>Basic</t>
        </is>
      </c>
      <c r="H75" s="10" t="n">
        <v>0</v>
      </c>
      <c r="I75" s="10" t="n">
        <v>0</v>
      </c>
      <c r="J75" s="10" t="n">
        <v>0</v>
      </c>
      <c r="K75" s="10" t="n">
        <v>0</v>
      </c>
      <c r="L75" s="10" t="n">
        <v>0</v>
      </c>
      <c r="M75" s="10" t="n">
        <v>0</v>
      </c>
      <c r="N75" s="10" t="n">
        <v>0</v>
      </c>
      <c r="P75" s="10" t="n">
        <v>54.5</v>
      </c>
      <c r="Q75" s="10">
        <f>A75&amp;"|"&amp;B75&amp;"|"&amp;C75&amp;"|"&amp;D75&amp;"|"&amp;E75&amp;"|"&amp;F75&amp;"|"&amp;G75&amp;"|"&amp;H75&amp;"|"&amp;I75&amp;"|"&amp;J75&amp;"|"&amp;K75&amp;"|"&amp;L75&amp;"|"&amp;M75&amp;"|"&amp;N75&amp;"|"&amp;O75&amp;"|"&amp;P75</f>
        <v/>
      </c>
      <c r="R75" s="10">
        <f>IF(COUNTIF($Q$2:$Q$1409,Q75)&gt;1,IF(COUNTIF($Q$2:Q75,Q75)=1,"Exact Duplicate - Keep First","Exact Duplicate - Remove"),"Unique")</f>
        <v/>
      </c>
    </row>
    <row r="76" ht="15" customHeight="1" s="11">
      <c r="A76" s="10" t="inlineStr">
        <is>
          <t>USR-100075</t>
        </is>
      </c>
      <c r="B76" s="14" t="n">
        <v>45733</v>
      </c>
      <c r="C76" s="10" t="inlineStr">
        <is>
          <t>Control</t>
        </is>
      </c>
      <c r="D76" s="10" t="inlineStr">
        <is>
          <t>North</t>
        </is>
      </c>
      <c r="E76" s="10" t="inlineStr">
        <is>
          <t>Mobile</t>
        </is>
      </c>
      <c r="F76" s="10" t="inlineStr">
        <is>
          <t>Organic</t>
        </is>
      </c>
      <c r="G76" s="10" t="inlineStr">
        <is>
          <t>Free</t>
        </is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P76" s="10" t="n">
        <v>58.5</v>
      </c>
      <c r="Q76" s="10">
        <f>A76&amp;"|"&amp;B76&amp;"|"&amp;C76&amp;"|"&amp;D76&amp;"|"&amp;E76&amp;"|"&amp;F76&amp;"|"&amp;G76&amp;"|"&amp;H76&amp;"|"&amp;I76&amp;"|"&amp;J76&amp;"|"&amp;K76&amp;"|"&amp;L76&amp;"|"&amp;M76&amp;"|"&amp;N76&amp;"|"&amp;O76&amp;"|"&amp;P76</f>
        <v/>
      </c>
      <c r="R76" s="10">
        <f>IF(COUNTIF($Q$2:$Q$1409,Q76)&gt;1,IF(COUNTIF($Q$2:Q76,Q76)=1,"Exact Duplicate - Keep First","Exact Duplicate - Remove"),"Unique")</f>
        <v/>
      </c>
    </row>
    <row r="77" ht="15" customHeight="1" s="11">
      <c r="A77" s="10" t="inlineStr">
        <is>
          <t>USR-100076</t>
        </is>
      </c>
      <c r="B77" s="14" t="n">
        <v>45666</v>
      </c>
      <c r="C77" s="10" t="inlineStr">
        <is>
          <t>Control</t>
        </is>
      </c>
      <c r="D77" s="10" t="inlineStr">
        <is>
          <t>South</t>
        </is>
      </c>
      <c r="E77" s="10" t="inlineStr">
        <is>
          <t>Mobile</t>
        </is>
      </c>
      <c r="F77" s="10" t="inlineStr">
        <is>
          <t>Email</t>
        </is>
      </c>
      <c r="G77" s="10" t="inlineStr">
        <is>
          <t>Free</t>
        </is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0</v>
      </c>
      <c r="P77" s="10" t="n">
        <v>75.90000000000001</v>
      </c>
      <c r="Q77" s="10">
        <f>A77&amp;"|"&amp;B77&amp;"|"&amp;C77&amp;"|"&amp;D77&amp;"|"&amp;E77&amp;"|"&amp;F77&amp;"|"&amp;G77&amp;"|"&amp;H77&amp;"|"&amp;I77&amp;"|"&amp;J77&amp;"|"&amp;K77&amp;"|"&amp;L77&amp;"|"&amp;M77&amp;"|"&amp;N77&amp;"|"&amp;O77&amp;"|"&amp;P77</f>
        <v/>
      </c>
      <c r="R77" s="10">
        <f>IF(COUNTIF($Q$2:$Q$1409,Q77)&gt;1,IF(COUNTIF($Q$2:Q77,Q77)=1,"Exact Duplicate - Keep First","Exact Duplicate - Remove"),"Unique")</f>
        <v/>
      </c>
    </row>
    <row r="78" ht="15" customHeight="1" s="11">
      <c r="A78" s="10" t="inlineStr">
        <is>
          <t>USR-100077</t>
        </is>
      </c>
      <c r="B78" s="14" t="n">
        <v>45764</v>
      </c>
      <c r="C78" s="10" t="inlineStr">
        <is>
          <t>Control</t>
        </is>
      </c>
      <c r="D78" s="10" t="inlineStr">
        <is>
          <t>North</t>
        </is>
      </c>
      <c r="E78" s="10" t="inlineStr">
        <is>
          <t>Mobile</t>
        </is>
      </c>
      <c r="F78" s="10" t="inlineStr">
        <is>
          <t>Referral</t>
        </is>
      </c>
      <c r="G78" s="10" t="inlineStr">
        <is>
          <t>Free</t>
        </is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1</v>
      </c>
      <c r="N78" s="10" t="n">
        <v>0</v>
      </c>
      <c r="P78" s="10" t="n">
        <v>84.90000000000001</v>
      </c>
      <c r="Q78" s="10">
        <f>A78&amp;"|"&amp;B78&amp;"|"&amp;C78&amp;"|"&amp;D78&amp;"|"&amp;E78&amp;"|"&amp;F78&amp;"|"&amp;G78&amp;"|"&amp;H78&amp;"|"&amp;I78&amp;"|"&amp;J78&amp;"|"&amp;K78&amp;"|"&amp;L78&amp;"|"&amp;M78&amp;"|"&amp;N78&amp;"|"&amp;O78&amp;"|"&amp;P78</f>
        <v/>
      </c>
      <c r="R78" s="10">
        <f>IF(COUNTIF($Q$2:$Q$1409,Q78)&gt;1,IF(COUNTIF($Q$2:Q78,Q78)=1,"Exact Duplicate - Keep First","Exact Duplicate - Remove"),"Unique")</f>
        <v/>
      </c>
    </row>
    <row r="79" ht="15" customHeight="1" s="11">
      <c r="A79" s="10" t="inlineStr">
        <is>
          <t>USR-100078</t>
        </is>
      </c>
      <c r="B79" s="14" t="n">
        <v>45673</v>
      </c>
      <c r="C79" s="10" t="inlineStr">
        <is>
          <t>Control</t>
        </is>
      </c>
      <c r="D79" s="10" t="inlineStr">
        <is>
          <t>North</t>
        </is>
      </c>
      <c r="E79" s="10" t="inlineStr">
        <is>
          <t>Mobile</t>
        </is>
      </c>
      <c r="F79" s="10" t="inlineStr">
        <is>
          <t>Organic</t>
        </is>
      </c>
      <c r="G79" s="10" t="inlineStr">
        <is>
          <t>Free</t>
        </is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2</v>
      </c>
      <c r="N79" s="10" t="n">
        <v>0</v>
      </c>
      <c r="P79" s="10" t="n">
        <v>48.4</v>
      </c>
      <c r="Q79" s="10">
        <f>A79&amp;"|"&amp;B79&amp;"|"&amp;C79&amp;"|"&amp;D79&amp;"|"&amp;E79&amp;"|"&amp;F79&amp;"|"&amp;G79&amp;"|"&amp;H79&amp;"|"&amp;I79&amp;"|"&amp;J79&amp;"|"&amp;K79&amp;"|"&amp;L79&amp;"|"&amp;M79&amp;"|"&amp;N79&amp;"|"&amp;O79&amp;"|"&amp;P79</f>
        <v/>
      </c>
      <c r="R79" s="10">
        <f>IF(COUNTIF($Q$2:$Q$1409,Q79)&gt;1,IF(COUNTIF($Q$2:Q79,Q79)=1,"Exact Duplicate - Keep First","Exact Duplicate - Remove"),"Unique")</f>
        <v/>
      </c>
    </row>
    <row r="80" ht="15" customHeight="1" s="11">
      <c r="A80" s="10" t="inlineStr">
        <is>
          <t>USR-100079</t>
        </is>
      </c>
      <c r="B80" s="14" t="n">
        <v>45708</v>
      </c>
      <c r="C80" s="10" t="inlineStr">
        <is>
          <t>Control</t>
        </is>
      </c>
      <c r="D80" s="10" t="inlineStr">
        <is>
          <t>West</t>
        </is>
      </c>
      <c r="E80" s="10" t="inlineStr">
        <is>
          <t>Desktop</t>
        </is>
      </c>
      <c r="F80" s="10" t="inlineStr">
        <is>
          <t>Organic</t>
        </is>
      </c>
      <c r="G80" s="10" t="inlineStr">
        <is>
          <t>Free</t>
        </is>
      </c>
      <c r="H80" s="10" t="n">
        <v>1</v>
      </c>
      <c r="I80" s="10" t="n">
        <v>1</v>
      </c>
      <c r="J80" s="10" t="n">
        <v>1</v>
      </c>
      <c r="K80" s="10" t="n">
        <v>1</v>
      </c>
      <c r="L80" s="10" t="n">
        <v>457.51</v>
      </c>
      <c r="M80" s="10" t="n">
        <v>0</v>
      </c>
      <c r="N80" s="10" t="n">
        <v>0</v>
      </c>
      <c r="O80" s="10" t="n">
        <v>7</v>
      </c>
      <c r="P80" s="10" t="n">
        <v>38</v>
      </c>
      <c r="Q80" s="10">
        <f>A80&amp;"|"&amp;B80&amp;"|"&amp;C80&amp;"|"&amp;D80&amp;"|"&amp;E80&amp;"|"&amp;F80&amp;"|"&amp;G80&amp;"|"&amp;H80&amp;"|"&amp;I80&amp;"|"&amp;J80&amp;"|"&amp;K80&amp;"|"&amp;L80&amp;"|"&amp;M80&amp;"|"&amp;N80&amp;"|"&amp;O80&amp;"|"&amp;P80</f>
        <v/>
      </c>
      <c r="R80" s="10">
        <f>IF(COUNTIF($Q$2:$Q$1409,Q80)&gt;1,IF(COUNTIF($Q$2:Q80,Q80)=1,"Exact Duplicate - Keep First","Exact Duplicate - Remove"),"Unique")</f>
        <v/>
      </c>
    </row>
    <row r="81" ht="15" customHeight="1" s="11">
      <c r="A81" s="10" t="inlineStr">
        <is>
          <t>USR-100080</t>
        </is>
      </c>
      <c r="B81" s="14" t="n">
        <v>45798</v>
      </c>
      <c r="C81" s="10" t="inlineStr">
        <is>
          <t>Control</t>
        </is>
      </c>
      <c r="D81" s="10" t="inlineStr">
        <is>
          <t>East</t>
        </is>
      </c>
      <c r="E81" s="10" t="inlineStr">
        <is>
          <t>Mobile</t>
        </is>
      </c>
      <c r="F81" s="10" t="inlineStr">
        <is>
          <t>Social</t>
        </is>
      </c>
      <c r="G81" s="10" t="inlineStr">
        <is>
          <t>Free</t>
        </is>
      </c>
      <c r="H81" s="10" t="n">
        <v>1</v>
      </c>
      <c r="I81" s="10" t="n">
        <v>0</v>
      </c>
      <c r="J81" s="10" t="n">
        <v>0</v>
      </c>
      <c r="K81" s="10" t="n">
        <v>0</v>
      </c>
      <c r="L81" s="10" t="n">
        <v>0</v>
      </c>
      <c r="M81" s="10" t="n">
        <v>0</v>
      </c>
      <c r="N81" s="10" t="n">
        <v>0</v>
      </c>
      <c r="P81" s="10" t="n">
        <v>44.2</v>
      </c>
      <c r="Q81" s="10">
        <f>A81&amp;"|"&amp;B81&amp;"|"&amp;C81&amp;"|"&amp;D81&amp;"|"&amp;E81&amp;"|"&amp;F81&amp;"|"&amp;G81&amp;"|"&amp;H81&amp;"|"&amp;I81&amp;"|"&amp;J81&amp;"|"&amp;K81&amp;"|"&amp;L81&amp;"|"&amp;M81&amp;"|"&amp;N81&amp;"|"&amp;O81&amp;"|"&amp;P81</f>
        <v/>
      </c>
      <c r="R81" s="10">
        <f>IF(COUNTIF($Q$2:$Q$1409,Q81)&gt;1,IF(COUNTIF($Q$2:Q81,Q81)=1,"Exact Duplicate - Keep First","Exact Duplicate - Remove"),"Unique")</f>
        <v/>
      </c>
    </row>
    <row r="82" ht="15" customHeight="1" s="11">
      <c r="A82" s="10" t="inlineStr">
        <is>
          <t>USR-100081</t>
        </is>
      </c>
      <c r="B82" s="14" t="n">
        <v>45785</v>
      </c>
      <c r="C82" s="10" t="inlineStr">
        <is>
          <t>Control</t>
        </is>
      </c>
      <c r="D82" s="10" t="inlineStr">
        <is>
          <t>South</t>
        </is>
      </c>
      <c r="E82" s="10" t="inlineStr">
        <is>
          <t>Mobile</t>
        </is>
      </c>
      <c r="F82" s="10" t="inlineStr">
        <is>
          <t>Organic</t>
        </is>
      </c>
      <c r="G82" s="10" t="inlineStr">
        <is>
          <t>Free</t>
        </is>
      </c>
      <c r="H82" s="10" t="n">
        <v>1</v>
      </c>
      <c r="I82" s="10" t="n">
        <v>1</v>
      </c>
      <c r="J82" s="10" t="n">
        <v>1</v>
      </c>
      <c r="K82" s="10" t="n">
        <v>0</v>
      </c>
      <c r="L82" s="10" t="n">
        <v>0</v>
      </c>
      <c r="M82" s="10" t="n">
        <v>0</v>
      </c>
      <c r="N82" s="10" t="n">
        <v>0</v>
      </c>
      <c r="P82" s="10" t="n">
        <v>81.2</v>
      </c>
      <c r="Q82" s="10">
        <f>A82&amp;"|"&amp;B82&amp;"|"&amp;C82&amp;"|"&amp;D82&amp;"|"&amp;E82&amp;"|"&amp;F82&amp;"|"&amp;G82&amp;"|"&amp;H82&amp;"|"&amp;I82&amp;"|"&amp;J82&amp;"|"&amp;K82&amp;"|"&amp;L82&amp;"|"&amp;M82&amp;"|"&amp;N82&amp;"|"&amp;O82&amp;"|"&amp;P82</f>
        <v/>
      </c>
      <c r="R82" s="10">
        <f>IF(COUNTIF($Q$2:$Q$1409,Q82)&gt;1,IF(COUNTIF($Q$2:Q82,Q82)=1,"Exact Duplicate - Keep First","Exact Duplicate - Remove"),"Unique")</f>
        <v/>
      </c>
    </row>
    <row r="83" ht="15" customHeight="1" s="11">
      <c r="A83" s="10" t="inlineStr">
        <is>
          <t>USR-100082</t>
        </is>
      </c>
      <c r="B83" s="14" t="n">
        <v>45724</v>
      </c>
      <c r="C83" s="10" t="inlineStr">
        <is>
          <t>Control</t>
        </is>
      </c>
      <c r="D83" s="10" t="inlineStr">
        <is>
          <t>South</t>
        </is>
      </c>
      <c r="E83" s="10" t="inlineStr">
        <is>
          <t>Mobile</t>
        </is>
      </c>
      <c r="F83" s="10" t="inlineStr">
        <is>
          <t>Referral</t>
        </is>
      </c>
      <c r="G83" s="10" t="inlineStr">
        <is>
          <t>Free</t>
        </is>
      </c>
      <c r="H83" s="10" t="n">
        <v>1</v>
      </c>
      <c r="I83" s="10" t="n">
        <v>1</v>
      </c>
      <c r="J83" s="10" t="n">
        <v>0</v>
      </c>
      <c r="K83" s="10" t="n">
        <v>0</v>
      </c>
      <c r="L83" s="10" t="n">
        <v>0</v>
      </c>
      <c r="M83" s="10" t="n">
        <v>0</v>
      </c>
      <c r="N83" s="10" t="n">
        <v>0</v>
      </c>
      <c r="P83" s="10" t="n">
        <v>63.8</v>
      </c>
      <c r="Q83" s="10">
        <f>A83&amp;"|"&amp;B83&amp;"|"&amp;C83&amp;"|"&amp;D83&amp;"|"&amp;E83&amp;"|"&amp;F83&amp;"|"&amp;G83&amp;"|"&amp;H83&amp;"|"&amp;I83&amp;"|"&amp;J83&amp;"|"&amp;K83&amp;"|"&amp;L83&amp;"|"&amp;M83&amp;"|"&amp;N83&amp;"|"&amp;O83&amp;"|"&amp;P83</f>
        <v/>
      </c>
      <c r="R83" s="10">
        <f>IF(COUNTIF($Q$2:$Q$1409,Q83)&gt;1,IF(COUNTIF($Q$2:Q83,Q83)=1,"Exact Duplicate - Keep First","Exact Duplicate - Remove"),"Unique")</f>
        <v/>
      </c>
    </row>
    <row r="84" ht="15" customHeight="1" s="11">
      <c r="A84" s="10" t="inlineStr">
        <is>
          <t>USR-100083</t>
        </is>
      </c>
      <c r="B84" s="14" t="n">
        <v>45748</v>
      </c>
      <c r="C84" s="10" t="inlineStr">
        <is>
          <t>Control</t>
        </is>
      </c>
      <c r="D84" s="10" t="inlineStr">
        <is>
          <t>South</t>
        </is>
      </c>
      <c r="E84" s="10" t="inlineStr">
        <is>
          <t>Desktop</t>
        </is>
      </c>
      <c r="F84" s="10" t="inlineStr">
        <is>
          <t>Email</t>
        </is>
      </c>
      <c r="G84" s="10" t="inlineStr">
        <is>
          <t>Free</t>
        </is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P84" s="10" t="n">
        <v>64.7</v>
      </c>
      <c r="Q84" s="10">
        <f>A84&amp;"|"&amp;B84&amp;"|"&amp;C84&amp;"|"&amp;D84&amp;"|"&amp;E84&amp;"|"&amp;F84&amp;"|"&amp;G84&amp;"|"&amp;H84&amp;"|"&amp;I84&amp;"|"&amp;J84&amp;"|"&amp;K84&amp;"|"&amp;L84&amp;"|"&amp;M84&amp;"|"&amp;N84&amp;"|"&amp;O84&amp;"|"&amp;P84</f>
        <v/>
      </c>
      <c r="R84" s="10">
        <f>IF(COUNTIF($Q$2:$Q$1409,Q84)&gt;1,IF(COUNTIF($Q$2:Q84,Q84)=1,"Exact Duplicate - Keep First","Exact Duplicate - Remove"),"Unique")</f>
        <v/>
      </c>
    </row>
    <row r="85" ht="15" customHeight="1" s="11">
      <c r="A85" s="10" t="inlineStr">
        <is>
          <t>USR-100084</t>
        </is>
      </c>
      <c r="B85" s="14" t="n">
        <v>45719</v>
      </c>
      <c r="C85" s="10" t="inlineStr">
        <is>
          <t>Control</t>
        </is>
      </c>
      <c r="D85" s="10" t="inlineStr">
        <is>
          <t>West</t>
        </is>
      </c>
      <c r="E85" s="10" t="inlineStr">
        <is>
          <t>Mobile</t>
        </is>
      </c>
      <c r="F85" s="10" t="inlineStr">
        <is>
          <t>Social</t>
        </is>
      </c>
      <c r="G85" s="10" t="inlineStr">
        <is>
          <t>Basic</t>
        </is>
      </c>
      <c r="H85" s="10" t="n">
        <v>0</v>
      </c>
      <c r="I85" s="10" t="n">
        <v>0</v>
      </c>
      <c r="J85" s="10" t="n">
        <v>0</v>
      </c>
      <c r="K85" s="10" t="n">
        <v>0</v>
      </c>
      <c r="L85" s="10" t="n">
        <v>0</v>
      </c>
      <c r="M85" s="10" t="n">
        <v>0</v>
      </c>
      <c r="N85" s="10" t="n">
        <v>0</v>
      </c>
      <c r="P85" s="10" t="n">
        <v>60.4</v>
      </c>
      <c r="Q85" s="10">
        <f>A85&amp;"|"&amp;B85&amp;"|"&amp;C85&amp;"|"&amp;D85&amp;"|"&amp;E85&amp;"|"&amp;F85&amp;"|"&amp;G85&amp;"|"&amp;H85&amp;"|"&amp;I85&amp;"|"&amp;J85&amp;"|"&amp;K85&amp;"|"&amp;L85&amp;"|"&amp;M85&amp;"|"&amp;N85&amp;"|"&amp;O85&amp;"|"&amp;P85</f>
        <v/>
      </c>
      <c r="R85" s="10">
        <f>IF(COUNTIF($Q$2:$Q$1409,Q85)&gt;1,IF(COUNTIF($Q$2:Q85,Q85)=1,"Exact Duplicate - Keep First","Exact Duplicate - Remove"),"Unique")</f>
        <v/>
      </c>
    </row>
    <row r="86" ht="15" customHeight="1" s="11">
      <c r="A86" s="10" t="inlineStr">
        <is>
          <t>USR-100085</t>
        </is>
      </c>
      <c r="B86" s="14" t="n">
        <v>45763</v>
      </c>
      <c r="C86" s="10" t="inlineStr">
        <is>
          <t>Control</t>
        </is>
      </c>
      <c r="D86" s="10" t="inlineStr">
        <is>
          <t>South</t>
        </is>
      </c>
      <c r="E86" s="10" t="inlineStr">
        <is>
          <t>Mobile</t>
        </is>
      </c>
      <c r="F86" s="10" t="inlineStr">
        <is>
          <t>Paid Search</t>
        </is>
      </c>
      <c r="G86" s="10" t="inlineStr">
        <is>
          <t>Free</t>
        </is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P86" s="10" t="n">
        <v>66.59999999999999</v>
      </c>
      <c r="Q86" s="10">
        <f>A86&amp;"|"&amp;B86&amp;"|"&amp;C86&amp;"|"&amp;D86&amp;"|"&amp;E86&amp;"|"&amp;F86&amp;"|"&amp;G86&amp;"|"&amp;H86&amp;"|"&amp;I86&amp;"|"&amp;J86&amp;"|"&amp;K86&amp;"|"&amp;L86&amp;"|"&amp;M86&amp;"|"&amp;N86&amp;"|"&amp;O86&amp;"|"&amp;P86</f>
        <v/>
      </c>
      <c r="R86" s="10">
        <f>IF(COUNTIF($Q$2:$Q$1409,Q86)&gt;1,IF(COUNTIF($Q$2:Q86,Q86)=1,"Exact Duplicate - Keep First","Exact Duplicate - Remove"),"Unique")</f>
        <v/>
      </c>
    </row>
    <row r="87" ht="15" customHeight="1" s="11">
      <c r="A87" s="10" t="inlineStr">
        <is>
          <t>USR-100086</t>
        </is>
      </c>
      <c r="B87" s="14" t="n">
        <v>45666</v>
      </c>
      <c r="C87" s="10" t="inlineStr">
        <is>
          <t>Control</t>
        </is>
      </c>
      <c r="D87" s="10" t="inlineStr">
        <is>
          <t>North</t>
        </is>
      </c>
      <c r="E87" s="10" t="inlineStr">
        <is>
          <t>Desktop</t>
        </is>
      </c>
      <c r="F87" s="10" t="inlineStr">
        <is>
          <t>Organic</t>
        </is>
      </c>
      <c r="G87" s="10" t="inlineStr">
        <is>
          <t>Free</t>
        </is>
      </c>
      <c r="H87" s="10" t="n">
        <v>1</v>
      </c>
      <c r="I87" s="10" t="n">
        <v>0</v>
      </c>
      <c r="J87" s="10" t="n">
        <v>0</v>
      </c>
      <c r="K87" s="10" t="n">
        <v>0</v>
      </c>
      <c r="L87" s="10" t="n">
        <v>0</v>
      </c>
      <c r="M87" s="10" t="n">
        <v>0</v>
      </c>
      <c r="N87" s="10" t="n">
        <v>0</v>
      </c>
      <c r="P87" s="10" t="n">
        <v>50.9</v>
      </c>
      <c r="Q87" s="10">
        <f>A87&amp;"|"&amp;B87&amp;"|"&amp;C87&amp;"|"&amp;D87&amp;"|"&amp;E87&amp;"|"&amp;F87&amp;"|"&amp;G87&amp;"|"&amp;H87&amp;"|"&amp;I87&amp;"|"&amp;J87&amp;"|"&amp;K87&amp;"|"&amp;L87&amp;"|"&amp;M87&amp;"|"&amp;N87&amp;"|"&amp;O87&amp;"|"&amp;P87</f>
        <v/>
      </c>
      <c r="R87" s="10">
        <f>IF(COUNTIF($Q$2:$Q$1409,Q87)&gt;1,IF(COUNTIF($Q$2:Q87,Q87)=1,"Exact Duplicate - Keep First","Exact Duplicate - Remove"),"Unique")</f>
        <v/>
      </c>
    </row>
    <row r="88" ht="15" customHeight="1" s="11">
      <c r="A88" s="10" t="inlineStr">
        <is>
          <t>USR-100087</t>
        </is>
      </c>
      <c r="B88" s="14" t="n">
        <v>45679</v>
      </c>
      <c r="C88" s="10" t="inlineStr">
        <is>
          <t>Control</t>
        </is>
      </c>
      <c r="D88" s="10" t="inlineStr">
        <is>
          <t>West</t>
        </is>
      </c>
      <c r="E88" s="10" t="inlineStr">
        <is>
          <t>Desktop</t>
        </is>
      </c>
      <c r="F88" s="10" t="inlineStr">
        <is>
          <t>Social</t>
        </is>
      </c>
      <c r="G88" s="10" t="inlineStr">
        <is>
          <t>Basic</t>
        </is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P88" s="10" t="n">
        <v>51</v>
      </c>
      <c r="Q88" s="10">
        <f>A88&amp;"|"&amp;B88&amp;"|"&amp;C88&amp;"|"&amp;D88&amp;"|"&amp;E88&amp;"|"&amp;F88&amp;"|"&amp;G88&amp;"|"&amp;H88&amp;"|"&amp;I88&amp;"|"&amp;J88&amp;"|"&amp;K88&amp;"|"&amp;L88&amp;"|"&amp;M88&amp;"|"&amp;N88&amp;"|"&amp;O88&amp;"|"&amp;P88</f>
        <v/>
      </c>
      <c r="R88" s="10">
        <f>IF(COUNTIF($Q$2:$Q$1409,Q88)&gt;1,IF(COUNTIF($Q$2:Q88,Q88)=1,"Exact Duplicate - Keep First","Exact Duplicate - Remove"),"Unique")</f>
        <v/>
      </c>
    </row>
    <row r="89" ht="15" customHeight="1" s="11">
      <c r="A89" s="10" t="inlineStr">
        <is>
          <t>USR-100088</t>
        </is>
      </c>
      <c r="B89" s="14" t="n">
        <v>45777</v>
      </c>
      <c r="C89" s="10" t="inlineStr">
        <is>
          <t>Control</t>
        </is>
      </c>
      <c r="D89" s="10" t="inlineStr">
        <is>
          <t>South</t>
        </is>
      </c>
      <c r="E89" s="10" t="inlineStr">
        <is>
          <t>Mobile</t>
        </is>
      </c>
      <c r="F89" s="10" t="inlineStr">
        <is>
          <t>Email</t>
        </is>
      </c>
      <c r="G89" s="10" t="inlineStr">
        <is>
          <t>Premium</t>
        </is>
      </c>
      <c r="H89" s="10" t="n">
        <v>0</v>
      </c>
      <c r="I89" s="10" t="n">
        <v>0</v>
      </c>
      <c r="J89" s="10" t="n">
        <v>0</v>
      </c>
      <c r="K89" s="10" t="n">
        <v>0</v>
      </c>
      <c r="L89" s="10" t="n">
        <v>0</v>
      </c>
      <c r="M89" s="10" t="n">
        <v>0</v>
      </c>
      <c r="N89" s="10" t="n">
        <v>0</v>
      </c>
      <c r="P89" s="10" t="n">
        <v>65.8</v>
      </c>
      <c r="Q89" s="10">
        <f>A89&amp;"|"&amp;B89&amp;"|"&amp;C89&amp;"|"&amp;D89&amp;"|"&amp;E89&amp;"|"&amp;F89&amp;"|"&amp;G89&amp;"|"&amp;H89&amp;"|"&amp;I89&amp;"|"&amp;J89&amp;"|"&amp;K89&amp;"|"&amp;L89&amp;"|"&amp;M89&amp;"|"&amp;N89&amp;"|"&amp;O89&amp;"|"&amp;P89</f>
        <v/>
      </c>
      <c r="R89" s="10">
        <f>IF(COUNTIF($Q$2:$Q$1409,Q89)&gt;1,IF(COUNTIF($Q$2:Q89,Q89)=1,"Exact Duplicate - Keep First","Exact Duplicate - Remove"),"Unique")</f>
        <v/>
      </c>
    </row>
    <row r="90" ht="15" customHeight="1" s="11">
      <c r="A90" s="10" t="inlineStr">
        <is>
          <t>USR-100089</t>
        </is>
      </c>
      <c r="B90" s="14" t="n">
        <v>45772</v>
      </c>
      <c r="C90" s="10" t="inlineStr">
        <is>
          <t>Control</t>
        </is>
      </c>
      <c r="D90" s="10" t="inlineStr">
        <is>
          <t>North</t>
        </is>
      </c>
      <c r="E90" s="10" t="inlineStr">
        <is>
          <t>Mobile</t>
        </is>
      </c>
      <c r="F90" s="10" t="inlineStr">
        <is>
          <t>Referral</t>
        </is>
      </c>
      <c r="G90" s="10" t="inlineStr">
        <is>
          <t>Basic</t>
        </is>
      </c>
      <c r="H90" s="10" t="n">
        <v>1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P90" s="10" t="n">
        <v>61.8</v>
      </c>
      <c r="Q90" s="10">
        <f>A90&amp;"|"&amp;B90&amp;"|"&amp;C90&amp;"|"&amp;D90&amp;"|"&amp;E90&amp;"|"&amp;F90&amp;"|"&amp;G90&amp;"|"&amp;H90&amp;"|"&amp;I90&amp;"|"&amp;J90&amp;"|"&amp;K90&amp;"|"&amp;L90&amp;"|"&amp;M90&amp;"|"&amp;N90&amp;"|"&amp;O90&amp;"|"&amp;P90</f>
        <v/>
      </c>
      <c r="R90" s="10">
        <f>IF(COUNTIF($Q$2:$Q$1409,Q90)&gt;1,IF(COUNTIF($Q$2:Q90,Q90)=1,"Exact Duplicate - Keep First","Exact Duplicate - Remove"),"Unique")</f>
        <v/>
      </c>
    </row>
    <row r="91" ht="15" customHeight="1" s="11">
      <c r="A91" s="10" t="inlineStr">
        <is>
          <t>USR-100090</t>
        </is>
      </c>
      <c r="B91" s="14" t="n">
        <v>45689</v>
      </c>
      <c r="C91" s="10" t="inlineStr">
        <is>
          <t>Control</t>
        </is>
      </c>
      <c r="D91" s="10" t="inlineStr">
        <is>
          <t>North</t>
        </is>
      </c>
      <c r="E91" s="10" t="inlineStr">
        <is>
          <t>Mobile</t>
        </is>
      </c>
      <c r="F91" s="10" t="inlineStr">
        <is>
          <t>Organic</t>
        </is>
      </c>
      <c r="G91" s="10" t="inlineStr">
        <is>
          <t>Basic</t>
        </is>
      </c>
      <c r="H91" s="10" t="n">
        <v>1</v>
      </c>
      <c r="I91" s="10" t="n">
        <v>0</v>
      </c>
      <c r="J91" s="10" t="n">
        <v>0</v>
      </c>
      <c r="K91" s="10" t="n">
        <v>0</v>
      </c>
      <c r="L91" s="10" t="n">
        <v>0</v>
      </c>
      <c r="M91" s="10" t="n">
        <v>0</v>
      </c>
      <c r="N91" s="10" t="n">
        <v>0</v>
      </c>
      <c r="P91" s="10" t="n">
        <v>54.5</v>
      </c>
      <c r="Q91" s="10">
        <f>A91&amp;"|"&amp;B91&amp;"|"&amp;C91&amp;"|"&amp;D91&amp;"|"&amp;E91&amp;"|"&amp;F91&amp;"|"&amp;G91&amp;"|"&amp;H91&amp;"|"&amp;I91&amp;"|"&amp;J91&amp;"|"&amp;K91&amp;"|"&amp;L91&amp;"|"&amp;M91&amp;"|"&amp;N91&amp;"|"&amp;O91&amp;"|"&amp;P91</f>
        <v/>
      </c>
      <c r="R91" s="10">
        <f>IF(COUNTIF($Q$2:$Q$1409,Q91)&gt;1,IF(COUNTIF($Q$2:Q91,Q91)=1,"Exact Duplicate - Keep First","Exact Duplicate - Remove"),"Unique")</f>
        <v/>
      </c>
    </row>
    <row r="92" ht="15" customHeight="1" s="11">
      <c r="A92" s="10" t="inlineStr">
        <is>
          <t>USR-100091</t>
        </is>
      </c>
      <c r="B92" s="14" t="n">
        <v>45770</v>
      </c>
      <c r="C92" s="10" t="inlineStr">
        <is>
          <t>Control</t>
        </is>
      </c>
      <c r="D92" s="10" t="inlineStr">
        <is>
          <t>South</t>
        </is>
      </c>
      <c r="E92" s="10" t="inlineStr">
        <is>
          <t>Desktop</t>
        </is>
      </c>
      <c r="F92" s="10" t="inlineStr">
        <is>
          <t>Organic</t>
        </is>
      </c>
      <c r="G92" s="10" t="inlineStr">
        <is>
          <t>Free</t>
        </is>
      </c>
      <c r="H92" s="10" t="n">
        <v>1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P92" s="10" t="n">
        <v>72.2</v>
      </c>
      <c r="Q92" s="10">
        <f>A92&amp;"|"&amp;B92&amp;"|"&amp;C92&amp;"|"&amp;D92&amp;"|"&amp;E92&amp;"|"&amp;F92&amp;"|"&amp;G92&amp;"|"&amp;H92&amp;"|"&amp;I92&amp;"|"&amp;J92&amp;"|"&amp;K92&amp;"|"&amp;L92&amp;"|"&amp;M92&amp;"|"&amp;N92&amp;"|"&amp;O92&amp;"|"&amp;P92</f>
        <v/>
      </c>
      <c r="R92" s="10">
        <f>IF(COUNTIF($Q$2:$Q$1409,Q92)&gt;1,IF(COUNTIF($Q$2:Q92,Q92)=1,"Exact Duplicate - Keep First","Exact Duplicate - Remove"),"Unique")</f>
        <v/>
      </c>
    </row>
    <row r="93" ht="15" customHeight="1" s="11">
      <c r="A93" s="10" t="inlineStr">
        <is>
          <t>USR-100092</t>
        </is>
      </c>
      <c r="B93" s="14" t="n">
        <v>45715</v>
      </c>
      <c r="C93" s="10" t="inlineStr">
        <is>
          <t>Control</t>
        </is>
      </c>
      <c r="D93" s="10" t="inlineStr">
        <is>
          <t>South</t>
        </is>
      </c>
      <c r="E93" s="10" t="inlineStr">
        <is>
          <t>Mobile</t>
        </is>
      </c>
      <c r="F93" s="10" t="inlineStr">
        <is>
          <t>Social</t>
        </is>
      </c>
      <c r="G93" s="10" t="inlineStr">
        <is>
          <t>Free</t>
        </is>
      </c>
      <c r="H93" s="10" t="n">
        <v>1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P93" s="10" t="n">
        <v>42.3</v>
      </c>
      <c r="Q93" s="10">
        <f>A93&amp;"|"&amp;B93&amp;"|"&amp;C93&amp;"|"&amp;D93&amp;"|"&amp;E93&amp;"|"&amp;F93&amp;"|"&amp;G93&amp;"|"&amp;H93&amp;"|"&amp;I93&amp;"|"&amp;J93&amp;"|"&amp;K93&amp;"|"&amp;L93&amp;"|"&amp;M93&amp;"|"&amp;N93&amp;"|"&amp;O93&amp;"|"&amp;P93</f>
        <v/>
      </c>
      <c r="R93" s="10">
        <f>IF(COUNTIF($Q$2:$Q$1409,Q93)&gt;1,IF(COUNTIF($Q$2:Q93,Q93)=1,"Exact Duplicate - Keep First","Exact Duplicate - Remove"),"Unique")</f>
        <v/>
      </c>
    </row>
    <row r="94" ht="15" customHeight="1" s="11">
      <c r="A94" s="10" t="inlineStr">
        <is>
          <t>USR-100093</t>
        </is>
      </c>
      <c r="B94" s="14" t="n">
        <v>45756</v>
      </c>
      <c r="C94" s="10" t="inlineStr">
        <is>
          <t>Control</t>
        </is>
      </c>
      <c r="D94" s="10" t="inlineStr">
        <is>
          <t>East</t>
        </is>
      </c>
      <c r="E94" s="10" t="inlineStr">
        <is>
          <t>Desktop</t>
        </is>
      </c>
      <c r="F94" s="10" t="inlineStr">
        <is>
          <t>Organic</t>
        </is>
      </c>
      <c r="G94" s="10" t="inlineStr">
        <is>
          <t>Basic</t>
        </is>
      </c>
      <c r="H94" s="10" t="n">
        <v>1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P94" s="10" t="n">
        <v>76.2</v>
      </c>
      <c r="Q94" s="10">
        <f>A94&amp;"|"&amp;B94&amp;"|"&amp;C94&amp;"|"&amp;D94&amp;"|"&amp;E94&amp;"|"&amp;F94&amp;"|"&amp;G94&amp;"|"&amp;H94&amp;"|"&amp;I94&amp;"|"&amp;J94&amp;"|"&amp;K94&amp;"|"&amp;L94&amp;"|"&amp;M94&amp;"|"&amp;N94&amp;"|"&amp;O94&amp;"|"&amp;P94</f>
        <v/>
      </c>
      <c r="R94" s="10">
        <f>IF(COUNTIF($Q$2:$Q$1409,Q94)&gt;1,IF(COUNTIF($Q$2:Q94,Q94)=1,"Exact Duplicate - Keep First","Exact Duplicate - Remove"),"Unique")</f>
        <v/>
      </c>
    </row>
    <row r="95" ht="15" customHeight="1" s="11">
      <c r="A95" s="10" t="inlineStr">
        <is>
          <t>USR-100094</t>
        </is>
      </c>
      <c r="B95" s="14" t="n">
        <v>45790</v>
      </c>
      <c r="C95" s="10" t="inlineStr">
        <is>
          <t>Control</t>
        </is>
      </c>
      <c r="D95" s="10" t="inlineStr">
        <is>
          <t>South</t>
        </is>
      </c>
      <c r="E95" s="10" t="inlineStr">
        <is>
          <t>Tablet</t>
        </is>
      </c>
      <c r="F95" s="10" t="inlineStr">
        <is>
          <t>Organic</t>
        </is>
      </c>
      <c r="G95" s="10" t="inlineStr">
        <is>
          <t>Premium</t>
        </is>
      </c>
      <c r="H95" s="10" t="n">
        <v>1</v>
      </c>
      <c r="I95" s="10" t="n">
        <v>1</v>
      </c>
      <c r="J95" s="10" t="n">
        <v>1</v>
      </c>
      <c r="K95" s="10" t="n">
        <v>0</v>
      </c>
      <c r="L95" s="10" t="n">
        <v>0</v>
      </c>
      <c r="M95" s="10" t="n">
        <v>1</v>
      </c>
      <c r="N95" s="10" t="n">
        <v>0</v>
      </c>
      <c r="P95" s="10" t="n">
        <v>37.4</v>
      </c>
      <c r="Q95" s="10">
        <f>A95&amp;"|"&amp;B95&amp;"|"&amp;C95&amp;"|"&amp;D95&amp;"|"&amp;E95&amp;"|"&amp;F95&amp;"|"&amp;G95&amp;"|"&amp;H95&amp;"|"&amp;I95&amp;"|"&amp;J95&amp;"|"&amp;K95&amp;"|"&amp;L95&amp;"|"&amp;M95&amp;"|"&amp;N95&amp;"|"&amp;O95&amp;"|"&amp;P95</f>
        <v/>
      </c>
      <c r="R95" s="10">
        <f>IF(COUNTIF($Q$2:$Q$1409,Q95)&gt;1,IF(COUNTIF($Q$2:Q95,Q95)=1,"Exact Duplicate - Keep First","Exact Duplicate - Remove"),"Unique")</f>
        <v/>
      </c>
    </row>
    <row r="96" ht="15" customHeight="1" s="11">
      <c r="A96" s="10" t="inlineStr">
        <is>
          <t>USR-100095</t>
        </is>
      </c>
      <c r="B96" s="14" t="n">
        <v>45760</v>
      </c>
      <c r="C96" s="10" t="inlineStr">
        <is>
          <t>Control</t>
        </is>
      </c>
      <c r="D96" s="10" t="inlineStr">
        <is>
          <t>East</t>
        </is>
      </c>
      <c r="E96" s="10" t="inlineStr">
        <is>
          <t>Mobile</t>
        </is>
      </c>
      <c r="F96" s="10" t="inlineStr">
        <is>
          <t>Organic</t>
        </is>
      </c>
      <c r="G96" s="10" t="inlineStr">
        <is>
          <t>Free</t>
        </is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P96" s="10" t="n">
        <v>84.2</v>
      </c>
      <c r="Q96" s="10">
        <f>A96&amp;"|"&amp;B96&amp;"|"&amp;C96&amp;"|"&amp;D96&amp;"|"&amp;E96&amp;"|"&amp;F96&amp;"|"&amp;G96&amp;"|"&amp;H96&amp;"|"&amp;I96&amp;"|"&amp;J96&amp;"|"&amp;K96&amp;"|"&amp;L96&amp;"|"&amp;M96&amp;"|"&amp;N96&amp;"|"&amp;O96&amp;"|"&amp;P96</f>
        <v/>
      </c>
      <c r="R96" s="10">
        <f>IF(COUNTIF($Q$2:$Q$1409,Q96)&gt;1,IF(COUNTIF($Q$2:Q96,Q96)=1,"Exact Duplicate - Keep First","Exact Duplicate - Remove"),"Unique")</f>
        <v/>
      </c>
    </row>
    <row r="97" ht="15" customHeight="1" s="11">
      <c r="A97" s="10" t="inlineStr">
        <is>
          <t>USR-100096</t>
        </is>
      </c>
      <c r="B97" s="14" t="n">
        <v>45693</v>
      </c>
      <c r="C97" s="10" t="inlineStr">
        <is>
          <t>Control</t>
        </is>
      </c>
      <c r="D97" s="10" t="inlineStr">
        <is>
          <t>East</t>
        </is>
      </c>
      <c r="E97" s="10" t="inlineStr">
        <is>
          <t>Mobile</t>
        </is>
      </c>
      <c r="F97" s="10" t="inlineStr">
        <is>
          <t>Social</t>
        </is>
      </c>
      <c r="G97" s="10" t="inlineStr">
        <is>
          <t>Free</t>
        </is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P97" s="10" t="n">
        <v>68</v>
      </c>
      <c r="Q97" s="10">
        <f>A97&amp;"|"&amp;B97&amp;"|"&amp;C97&amp;"|"&amp;D97&amp;"|"&amp;E97&amp;"|"&amp;F97&amp;"|"&amp;G97&amp;"|"&amp;H97&amp;"|"&amp;I97&amp;"|"&amp;J97&amp;"|"&amp;K97&amp;"|"&amp;L97&amp;"|"&amp;M97&amp;"|"&amp;N97&amp;"|"&amp;O97&amp;"|"&amp;P97</f>
        <v/>
      </c>
      <c r="R97" s="10">
        <f>IF(COUNTIF($Q$2:$Q$1409,Q97)&gt;1,IF(COUNTIF($Q$2:Q97,Q97)=1,"Exact Duplicate - Keep First","Exact Duplicate - Remove"),"Unique")</f>
        <v/>
      </c>
    </row>
    <row r="98" ht="15" customHeight="1" s="11">
      <c r="A98" s="10" t="inlineStr">
        <is>
          <t>USR-100097</t>
        </is>
      </c>
      <c r="B98" s="14" t="n">
        <v>45702</v>
      </c>
      <c r="C98" s="10" t="inlineStr">
        <is>
          <t>Control</t>
        </is>
      </c>
      <c r="D98" s="10" t="inlineStr">
        <is>
          <t>West</t>
        </is>
      </c>
      <c r="E98" s="10" t="inlineStr">
        <is>
          <t>Mobile</t>
        </is>
      </c>
      <c r="F98" s="10" t="inlineStr">
        <is>
          <t>Organic</t>
        </is>
      </c>
      <c r="G98" s="10" t="inlineStr">
        <is>
          <t>Basic</t>
        </is>
      </c>
      <c r="H98" s="10" t="n">
        <v>1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P98" s="10" t="n">
        <v>53.5</v>
      </c>
      <c r="Q98" s="10">
        <f>A98&amp;"|"&amp;B98&amp;"|"&amp;C98&amp;"|"&amp;D98&amp;"|"&amp;E98&amp;"|"&amp;F98&amp;"|"&amp;G98&amp;"|"&amp;H98&amp;"|"&amp;I98&amp;"|"&amp;J98&amp;"|"&amp;K98&amp;"|"&amp;L98&amp;"|"&amp;M98&amp;"|"&amp;N98&amp;"|"&amp;O98&amp;"|"&amp;P98</f>
        <v/>
      </c>
      <c r="R98" s="10">
        <f>IF(COUNTIF($Q$2:$Q$1409,Q98)&gt;1,IF(COUNTIF($Q$2:Q98,Q98)=1,"Exact Duplicate - Keep First","Exact Duplicate - Remove"),"Unique")</f>
        <v/>
      </c>
    </row>
    <row r="99" ht="15" customHeight="1" s="11">
      <c r="A99" s="10" t="inlineStr">
        <is>
          <t>USR-100098</t>
        </is>
      </c>
      <c r="B99" s="14" t="n">
        <v>45699</v>
      </c>
      <c r="C99" s="10" t="inlineStr">
        <is>
          <t>Control</t>
        </is>
      </c>
      <c r="D99" s="10" t="inlineStr">
        <is>
          <t>North</t>
        </is>
      </c>
      <c r="E99" s="10" t="inlineStr">
        <is>
          <t>Desktop</t>
        </is>
      </c>
      <c r="F99" s="10" t="inlineStr">
        <is>
          <t>Organic</t>
        </is>
      </c>
      <c r="G99" s="10" t="inlineStr">
        <is>
          <t>Premium</t>
        </is>
      </c>
      <c r="H99" s="10" t="n">
        <v>1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P99" s="10" t="n">
        <v>63.2</v>
      </c>
      <c r="Q99" s="10">
        <f>A99&amp;"|"&amp;B99&amp;"|"&amp;C99&amp;"|"&amp;D99&amp;"|"&amp;E99&amp;"|"&amp;F99&amp;"|"&amp;G99&amp;"|"&amp;H99&amp;"|"&amp;I99&amp;"|"&amp;J99&amp;"|"&amp;K99&amp;"|"&amp;L99&amp;"|"&amp;M99&amp;"|"&amp;N99&amp;"|"&amp;O99&amp;"|"&amp;P99</f>
        <v/>
      </c>
      <c r="R99" s="10">
        <f>IF(COUNTIF($Q$2:$Q$1409,Q99)&gt;1,IF(COUNTIF($Q$2:Q99,Q99)=1,"Exact Duplicate - Keep First","Exact Duplicate - Remove"),"Unique")</f>
        <v/>
      </c>
    </row>
    <row r="100" ht="15" customHeight="1" s="11">
      <c r="A100" s="10" t="inlineStr">
        <is>
          <t>USR-100099</t>
        </is>
      </c>
      <c r="B100" s="14" t="n">
        <v>45699</v>
      </c>
      <c r="C100" s="10" t="inlineStr">
        <is>
          <t>Control</t>
        </is>
      </c>
      <c r="D100" s="10" t="inlineStr">
        <is>
          <t>East</t>
        </is>
      </c>
      <c r="E100" s="10" t="inlineStr">
        <is>
          <t>Desktop</t>
        </is>
      </c>
      <c r="F100" s="10" t="inlineStr">
        <is>
          <t>Social</t>
        </is>
      </c>
      <c r="G100" s="10" t="inlineStr">
        <is>
          <t>Free</t>
        </is>
      </c>
      <c r="H100" s="10" t="n">
        <v>1</v>
      </c>
      <c r="I100" s="10" t="n">
        <v>1</v>
      </c>
      <c r="J100" s="10" t="n">
        <v>1</v>
      </c>
      <c r="K100" s="10" t="n">
        <v>1</v>
      </c>
      <c r="L100" s="10" t="n">
        <v>363.32</v>
      </c>
      <c r="M100" s="10" t="n">
        <v>0</v>
      </c>
      <c r="N100" s="10" t="n">
        <v>0</v>
      </c>
      <c r="O100" s="10" t="n">
        <v>9</v>
      </c>
      <c r="P100" s="10" t="n">
        <v>55.9</v>
      </c>
      <c r="Q100" s="10">
        <f>A100&amp;"|"&amp;B100&amp;"|"&amp;C100&amp;"|"&amp;D100&amp;"|"&amp;E100&amp;"|"&amp;F100&amp;"|"&amp;G100&amp;"|"&amp;H100&amp;"|"&amp;I100&amp;"|"&amp;J100&amp;"|"&amp;K100&amp;"|"&amp;L100&amp;"|"&amp;M100&amp;"|"&amp;N100&amp;"|"&amp;O100&amp;"|"&amp;P100</f>
        <v/>
      </c>
      <c r="R100" s="10">
        <f>IF(COUNTIF($Q$2:$Q$1409,Q100)&gt;1,IF(COUNTIF($Q$2:Q100,Q100)=1,"Exact Duplicate - Keep First","Exact Duplicate - Remove"),"Unique")</f>
        <v/>
      </c>
    </row>
    <row r="101" ht="15" customHeight="1" s="11">
      <c r="A101" s="10" t="inlineStr">
        <is>
          <t>USR-100100</t>
        </is>
      </c>
      <c r="B101" s="14" t="n">
        <v>45803</v>
      </c>
      <c r="C101" s="10" t="inlineStr">
        <is>
          <t>Control</t>
        </is>
      </c>
      <c r="D101" s="10" t="inlineStr">
        <is>
          <t>North</t>
        </is>
      </c>
      <c r="E101" s="10" t="inlineStr">
        <is>
          <t>Mobile</t>
        </is>
      </c>
      <c r="F101" s="10" t="inlineStr">
        <is>
          <t>Organic</t>
        </is>
      </c>
      <c r="G101" s="10" t="inlineStr">
        <is>
          <t>Free</t>
        </is>
      </c>
      <c r="H101" s="10" t="n">
        <v>1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P101" s="10" t="n">
        <v>63.5</v>
      </c>
      <c r="Q101" s="10">
        <f>A101&amp;"|"&amp;B101&amp;"|"&amp;C101&amp;"|"&amp;D101&amp;"|"&amp;E101&amp;"|"&amp;F101&amp;"|"&amp;G101&amp;"|"&amp;H101&amp;"|"&amp;I101&amp;"|"&amp;J101&amp;"|"&amp;K101&amp;"|"&amp;L101&amp;"|"&amp;M101&amp;"|"&amp;N101&amp;"|"&amp;O101&amp;"|"&amp;P101</f>
        <v/>
      </c>
      <c r="R101" s="10">
        <f>IF(COUNTIF($Q$2:$Q$1409,Q101)&gt;1,IF(COUNTIF($Q$2:Q101,Q101)=1,"Exact Duplicate - Keep First","Exact Duplicate - Remove"),"Unique")</f>
        <v/>
      </c>
    </row>
    <row r="102" ht="15" customHeight="1" s="11">
      <c r="A102" s="10" t="inlineStr">
        <is>
          <t>USR-100101</t>
        </is>
      </c>
      <c r="B102" s="14" t="n">
        <v>45738</v>
      </c>
      <c r="C102" s="10" t="inlineStr">
        <is>
          <t>Control</t>
        </is>
      </c>
      <c r="D102" s="10" t="inlineStr">
        <is>
          <t>North</t>
        </is>
      </c>
      <c r="E102" s="10" t="inlineStr">
        <is>
          <t>Mobile</t>
        </is>
      </c>
      <c r="F102" s="10" t="inlineStr">
        <is>
          <t>Paid Search</t>
        </is>
      </c>
      <c r="G102" s="10" t="inlineStr">
        <is>
          <t>Basic</t>
        </is>
      </c>
      <c r="H102" s="10" t="n">
        <v>1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P102" s="10" t="n">
        <v>51.5</v>
      </c>
      <c r="Q102" s="10">
        <f>A102&amp;"|"&amp;B102&amp;"|"&amp;C102&amp;"|"&amp;D102&amp;"|"&amp;E102&amp;"|"&amp;F102&amp;"|"&amp;G102&amp;"|"&amp;H102&amp;"|"&amp;I102&amp;"|"&amp;J102&amp;"|"&amp;K102&amp;"|"&amp;L102&amp;"|"&amp;M102&amp;"|"&amp;N102&amp;"|"&amp;O102&amp;"|"&amp;P102</f>
        <v/>
      </c>
      <c r="R102" s="10">
        <f>IF(COUNTIF($Q$2:$Q$1409,Q102)&gt;1,IF(COUNTIF($Q$2:Q102,Q102)=1,"Exact Duplicate - Keep First","Exact Duplicate - Remove"),"Unique")</f>
        <v/>
      </c>
    </row>
    <row r="103" ht="15" customHeight="1" s="11">
      <c r="A103" s="10" t="inlineStr">
        <is>
          <t>USR-100102</t>
        </is>
      </c>
      <c r="B103" s="14" t="n">
        <v>45755</v>
      </c>
      <c r="C103" s="10" t="inlineStr">
        <is>
          <t>Control</t>
        </is>
      </c>
      <c r="D103" s="10" t="inlineStr">
        <is>
          <t>West</t>
        </is>
      </c>
      <c r="E103" s="10" t="inlineStr">
        <is>
          <t>Mobile</t>
        </is>
      </c>
      <c r="F103" s="10" t="inlineStr">
        <is>
          <t>Paid Search</t>
        </is>
      </c>
      <c r="G103" s="10" t="inlineStr">
        <is>
          <t>Free</t>
        </is>
      </c>
      <c r="H103" s="10" t="n">
        <v>1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0</v>
      </c>
      <c r="N103" s="10" t="n">
        <v>0</v>
      </c>
      <c r="P103" s="10" t="n">
        <v>74.40000000000001</v>
      </c>
      <c r="Q103" s="10">
        <f>A103&amp;"|"&amp;B103&amp;"|"&amp;C103&amp;"|"&amp;D103&amp;"|"&amp;E103&amp;"|"&amp;F103&amp;"|"&amp;G103&amp;"|"&amp;H103&amp;"|"&amp;I103&amp;"|"&amp;J103&amp;"|"&amp;K103&amp;"|"&amp;L103&amp;"|"&amp;M103&amp;"|"&amp;N103&amp;"|"&amp;O103&amp;"|"&amp;P103</f>
        <v/>
      </c>
      <c r="R103" s="10">
        <f>IF(COUNTIF($Q$2:$Q$1409,Q103)&gt;1,IF(COUNTIF($Q$2:Q103,Q103)=1,"Exact Duplicate - Keep First","Exact Duplicate - Remove"),"Unique")</f>
        <v/>
      </c>
    </row>
    <row r="104" ht="15" customHeight="1" s="11">
      <c r="A104" s="10" t="inlineStr">
        <is>
          <t>USR-100103</t>
        </is>
      </c>
      <c r="B104" s="14" t="n">
        <v>45761</v>
      </c>
      <c r="C104" s="10" t="inlineStr">
        <is>
          <t>Control</t>
        </is>
      </c>
      <c r="D104" s="10" t="inlineStr">
        <is>
          <t>North</t>
        </is>
      </c>
      <c r="E104" s="10" t="inlineStr">
        <is>
          <t>Desktop</t>
        </is>
      </c>
      <c r="F104" s="10" t="inlineStr">
        <is>
          <t>Social</t>
        </is>
      </c>
      <c r="G104" s="10" t="inlineStr">
        <is>
          <t>Free</t>
        </is>
      </c>
      <c r="H104" s="10" t="n">
        <v>1</v>
      </c>
      <c r="I104" s="10" t="n">
        <v>1</v>
      </c>
      <c r="J104" s="10" t="n">
        <v>1</v>
      </c>
      <c r="K104" s="10" t="n">
        <v>1</v>
      </c>
      <c r="L104" s="10" t="n">
        <v>3887.98</v>
      </c>
      <c r="M104" s="10" t="n">
        <v>0</v>
      </c>
      <c r="N104" s="10" t="n">
        <v>0</v>
      </c>
      <c r="O104" s="10" t="n">
        <v>13</v>
      </c>
      <c r="P104" s="10" t="n">
        <v>60.2</v>
      </c>
      <c r="Q104" s="10">
        <f>A104&amp;"|"&amp;B104&amp;"|"&amp;C104&amp;"|"&amp;D104&amp;"|"&amp;E104&amp;"|"&amp;F104&amp;"|"&amp;G104&amp;"|"&amp;H104&amp;"|"&amp;I104&amp;"|"&amp;J104&amp;"|"&amp;K104&amp;"|"&amp;L104&amp;"|"&amp;M104&amp;"|"&amp;N104&amp;"|"&amp;O104&amp;"|"&amp;P104</f>
        <v/>
      </c>
      <c r="R104" s="10">
        <f>IF(COUNTIF($Q$2:$Q$1409,Q104)&gt;1,IF(COUNTIF($Q$2:Q104,Q104)=1,"Exact Duplicate - Keep First","Exact Duplicate - Remove"),"Unique")</f>
        <v/>
      </c>
    </row>
    <row r="105" ht="15" customHeight="1" s="11">
      <c r="A105" s="10" t="inlineStr">
        <is>
          <t>USR-100104</t>
        </is>
      </c>
      <c r="B105" s="14" t="n">
        <v>45743</v>
      </c>
      <c r="C105" s="10" t="inlineStr">
        <is>
          <t>Control</t>
        </is>
      </c>
      <c r="D105" s="10" t="inlineStr">
        <is>
          <t>South</t>
        </is>
      </c>
      <c r="E105" s="10" t="inlineStr">
        <is>
          <t>Mobile</t>
        </is>
      </c>
      <c r="F105" s="10" t="inlineStr">
        <is>
          <t>Email</t>
        </is>
      </c>
      <c r="G105" s="10" t="inlineStr">
        <is>
          <t>Free</t>
        </is>
      </c>
      <c r="H105" s="10" t="n">
        <v>1</v>
      </c>
      <c r="I105" s="10" t="n">
        <v>0</v>
      </c>
      <c r="J105" s="10" t="n">
        <v>0</v>
      </c>
      <c r="K105" s="10" t="n">
        <v>0</v>
      </c>
      <c r="L105" s="10" t="n">
        <v>0</v>
      </c>
      <c r="M105" s="10" t="n">
        <v>1</v>
      </c>
      <c r="N105" s="10" t="n">
        <v>0</v>
      </c>
      <c r="P105" s="10" t="n">
        <v>67.2</v>
      </c>
      <c r="Q105" s="10">
        <f>A105&amp;"|"&amp;B105&amp;"|"&amp;C105&amp;"|"&amp;D105&amp;"|"&amp;E105&amp;"|"&amp;F105&amp;"|"&amp;G105&amp;"|"&amp;H105&amp;"|"&amp;I105&amp;"|"&amp;J105&amp;"|"&amp;K105&amp;"|"&amp;L105&amp;"|"&amp;M105&amp;"|"&amp;N105&amp;"|"&amp;O105&amp;"|"&amp;P105</f>
        <v/>
      </c>
      <c r="R105" s="10">
        <f>IF(COUNTIF($Q$2:$Q$1409,Q105)&gt;1,IF(COUNTIF($Q$2:Q105,Q105)=1,"Exact Duplicate - Keep First","Exact Duplicate - Remove"),"Unique")</f>
        <v/>
      </c>
    </row>
    <row r="106" ht="15" customHeight="1" s="11">
      <c r="A106" s="10" t="inlineStr">
        <is>
          <t>USR-100105</t>
        </is>
      </c>
      <c r="B106" s="14" t="n">
        <v>45662</v>
      </c>
      <c r="C106" s="10" t="inlineStr">
        <is>
          <t>Control</t>
        </is>
      </c>
      <c r="D106" s="10" t="inlineStr">
        <is>
          <t>South</t>
        </is>
      </c>
      <c r="E106" s="10" t="inlineStr">
        <is>
          <t>Mobile</t>
        </is>
      </c>
      <c r="F106" s="10" t="inlineStr">
        <is>
          <t>Social</t>
        </is>
      </c>
      <c r="G106" s="10" t="inlineStr">
        <is>
          <t>Free</t>
        </is>
      </c>
      <c r="H106" s="10" t="n">
        <v>1</v>
      </c>
      <c r="I106" s="10" t="n">
        <v>1</v>
      </c>
      <c r="J106" s="10" t="n">
        <v>1</v>
      </c>
      <c r="K106" s="10" t="n">
        <v>0</v>
      </c>
      <c r="L106" s="10" t="n">
        <v>0</v>
      </c>
      <c r="M106" s="10" t="n">
        <v>0</v>
      </c>
      <c r="N106" s="10" t="n">
        <v>0</v>
      </c>
      <c r="P106" s="10" t="n">
        <v>79.59999999999999</v>
      </c>
      <c r="Q106" s="10">
        <f>A106&amp;"|"&amp;B106&amp;"|"&amp;C106&amp;"|"&amp;D106&amp;"|"&amp;E106&amp;"|"&amp;F106&amp;"|"&amp;G106&amp;"|"&amp;H106&amp;"|"&amp;I106&amp;"|"&amp;J106&amp;"|"&amp;K106&amp;"|"&amp;L106&amp;"|"&amp;M106&amp;"|"&amp;N106&amp;"|"&amp;O106&amp;"|"&amp;P106</f>
        <v/>
      </c>
      <c r="R106" s="10">
        <f>IF(COUNTIF($Q$2:$Q$1409,Q106)&gt;1,IF(COUNTIF($Q$2:Q106,Q106)=1,"Exact Duplicate - Keep First","Exact Duplicate - Remove"),"Unique")</f>
        <v/>
      </c>
    </row>
    <row r="107" ht="15" customHeight="1" s="11">
      <c r="A107" s="10" t="inlineStr">
        <is>
          <t>USR-100106</t>
        </is>
      </c>
      <c r="B107" s="14" t="n">
        <v>45682</v>
      </c>
      <c r="C107" s="10" t="inlineStr">
        <is>
          <t>Control</t>
        </is>
      </c>
      <c r="D107" s="10" t="inlineStr">
        <is>
          <t>South</t>
        </is>
      </c>
      <c r="E107" s="10" t="inlineStr">
        <is>
          <t>Mobile</t>
        </is>
      </c>
      <c r="F107" s="10" t="inlineStr">
        <is>
          <t>Social</t>
        </is>
      </c>
      <c r="G107" s="10" t="inlineStr">
        <is>
          <t>Basic</t>
        </is>
      </c>
      <c r="H107" s="10" t="n">
        <v>1</v>
      </c>
      <c r="I107" s="10" t="n">
        <v>1</v>
      </c>
      <c r="J107" s="10" t="n">
        <v>1</v>
      </c>
      <c r="K107" s="10" t="n">
        <v>1</v>
      </c>
      <c r="L107" s="10" t="n">
        <v>8610.719999999999</v>
      </c>
      <c r="M107" s="10" t="n">
        <v>0</v>
      </c>
      <c r="N107" s="10" t="n">
        <v>0</v>
      </c>
      <c r="O107" s="10" t="n">
        <v>6</v>
      </c>
      <c r="P107" s="10" t="n">
        <v>61</v>
      </c>
      <c r="Q107" s="10">
        <f>A107&amp;"|"&amp;B107&amp;"|"&amp;C107&amp;"|"&amp;D107&amp;"|"&amp;E107&amp;"|"&amp;F107&amp;"|"&amp;G107&amp;"|"&amp;H107&amp;"|"&amp;I107&amp;"|"&amp;J107&amp;"|"&amp;K107&amp;"|"&amp;L107&amp;"|"&amp;M107&amp;"|"&amp;N107&amp;"|"&amp;O107&amp;"|"&amp;P107</f>
        <v/>
      </c>
      <c r="R107" s="10">
        <f>IF(COUNTIF($Q$2:$Q$1409,Q107)&gt;1,IF(COUNTIF($Q$2:Q107,Q107)=1,"Exact Duplicate - Keep First","Exact Duplicate - Remove"),"Unique")</f>
        <v/>
      </c>
    </row>
    <row r="108" ht="15" customHeight="1" s="11">
      <c r="A108" s="10" t="inlineStr">
        <is>
          <t>USR-100107</t>
        </is>
      </c>
      <c r="B108" s="14" t="n">
        <v>45680</v>
      </c>
      <c r="C108" s="10" t="inlineStr">
        <is>
          <t>Control</t>
        </is>
      </c>
      <c r="D108" s="10" t="inlineStr">
        <is>
          <t>West</t>
        </is>
      </c>
      <c r="E108" s="10" t="inlineStr">
        <is>
          <t>Mobile</t>
        </is>
      </c>
      <c r="F108" s="10" t="inlineStr">
        <is>
          <t>Email</t>
        </is>
      </c>
      <c r="G108" s="10" t="inlineStr">
        <is>
          <t>Free</t>
        </is>
      </c>
      <c r="H108" s="10" t="n">
        <v>1</v>
      </c>
      <c r="I108" s="10" t="n">
        <v>1</v>
      </c>
      <c r="J108" s="10" t="n">
        <v>1</v>
      </c>
      <c r="K108" s="10" t="n">
        <v>0</v>
      </c>
      <c r="L108" s="10" t="n">
        <v>0</v>
      </c>
      <c r="M108" s="10" t="n">
        <v>4</v>
      </c>
      <c r="N108" s="10" t="n">
        <v>0</v>
      </c>
      <c r="P108" s="10" t="n">
        <v>51.1</v>
      </c>
      <c r="Q108" s="10">
        <f>A108&amp;"|"&amp;B108&amp;"|"&amp;C108&amp;"|"&amp;D108&amp;"|"&amp;E108&amp;"|"&amp;F108&amp;"|"&amp;G108&amp;"|"&amp;H108&amp;"|"&amp;I108&amp;"|"&amp;J108&amp;"|"&amp;K108&amp;"|"&amp;L108&amp;"|"&amp;M108&amp;"|"&amp;N108&amp;"|"&amp;O108&amp;"|"&amp;P108</f>
        <v/>
      </c>
      <c r="R108" s="10">
        <f>IF(COUNTIF($Q$2:$Q$1409,Q108)&gt;1,IF(COUNTIF($Q$2:Q108,Q108)=1,"Exact Duplicate - Keep First","Exact Duplicate - Remove"),"Unique")</f>
        <v/>
      </c>
    </row>
    <row r="109" ht="15" customHeight="1" s="11">
      <c r="A109" s="10" t="inlineStr">
        <is>
          <t>USR-100108</t>
        </is>
      </c>
      <c r="B109" s="14" t="n">
        <v>45802</v>
      </c>
      <c r="C109" s="10" t="inlineStr">
        <is>
          <t>Control</t>
        </is>
      </c>
      <c r="D109" s="10" t="inlineStr">
        <is>
          <t>East</t>
        </is>
      </c>
      <c r="E109" s="10" t="inlineStr">
        <is>
          <t>Desktop</t>
        </is>
      </c>
      <c r="F109" s="10" t="inlineStr">
        <is>
          <t>Referral</t>
        </is>
      </c>
      <c r="G109" s="10" t="inlineStr">
        <is>
          <t>Free</t>
        </is>
      </c>
      <c r="H109" s="10" t="n">
        <v>1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P109" s="10" t="n">
        <v>92.09999999999999</v>
      </c>
      <c r="Q109" s="10">
        <f>A109&amp;"|"&amp;B109&amp;"|"&amp;C109&amp;"|"&amp;D109&amp;"|"&amp;E109&amp;"|"&amp;F109&amp;"|"&amp;G109&amp;"|"&amp;H109&amp;"|"&amp;I109&amp;"|"&amp;J109&amp;"|"&amp;K109&amp;"|"&amp;L109&amp;"|"&amp;M109&amp;"|"&amp;N109&amp;"|"&amp;O109&amp;"|"&amp;P109</f>
        <v/>
      </c>
      <c r="R109" s="10">
        <f>IF(COUNTIF($Q$2:$Q$1409,Q109)&gt;1,IF(COUNTIF($Q$2:Q109,Q109)=1,"Exact Duplicate - Keep First","Exact Duplicate - Remove"),"Unique")</f>
        <v/>
      </c>
    </row>
    <row r="110" ht="15" customHeight="1" s="11">
      <c r="A110" s="10" t="inlineStr">
        <is>
          <t>USR-100109</t>
        </is>
      </c>
      <c r="B110" s="14" t="n">
        <v>45738</v>
      </c>
      <c r="C110" s="10" t="inlineStr">
        <is>
          <t>Control</t>
        </is>
      </c>
      <c r="D110" s="10" t="inlineStr">
        <is>
          <t>South</t>
        </is>
      </c>
      <c r="E110" s="10" t="inlineStr">
        <is>
          <t>Mobile</t>
        </is>
      </c>
      <c r="F110" s="10" t="inlineStr">
        <is>
          <t>Referral</t>
        </is>
      </c>
      <c r="G110" s="10" t="inlineStr">
        <is>
          <t>Basic</t>
        </is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P110" s="10" t="n">
        <v>82.09999999999999</v>
      </c>
      <c r="Q110" s="10">
        <f>A110&amp;"|"&amp;B110&amp;"|"&amp;C110&amp;"|"&amp;D110&amp;"|"&amp;E110&amp;"|"&amp;F110&amp;"|"&amp;G110&amp;"|"&amp;H110&amp;"|"&amp;I110&amp;"|"&amp;J110&amp;"|"&amp;K110&amp;"|"&amp;L110&amp;"|"&amp;M110&amp;"|"&amp;N110&amp;"|"&amp;O110&amp;"|"&amp;P110</f>
        <v/>
      </c>
      <c r="R110" s="10">
        <f>IF(COUNTIF($Q$2:$Q$1409,Q110)&gt;1,IF(COUNTIF($Q$2:Q110,Q110)=1,"Exact Duplicate - Keep First","Exact Duplicate - Remove"),"Unique")</f>
        <v/>
      </c>
    </row>
    <row r="111" ht="15" customHeight="1" s="11">
      <c r="A111" s="10" t="inlineStr">
        <is>
          <t>USR-100110</t>
        </is>
      </c>
      <c r="B111" s="14" t="n">
        <v>45700</v>
      </c>
      <c r="C111" s="10" t="inlineStr">
        <is>
          <t>Control</t>
        </is>
      </c>
      <c r="D111" s="10" t="inlineStr">
        <is>
          <t>West</t>
        </is>
      </c>
      <c r="E111" s="10" t="inlineStr">
        <is>
          <t>Desktop</t>
        </is>
      </c>
      <c r="F111" s="10" t="inlineStr">
        <is>
          <t>Paid Search</t>
        </is>
      </c>
      <c r="G111" s="10" t="inlineStr">
        <is>
          <t>Basic</t>
        </is>
      </c>
      <c r="H111" s="10" t="n">
        <v>1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1</v>
      </c>
      <c r="N111" s="10" t="n">
        <v>0</v>
      </c>
      <c r="P111" s="10" t="n">
        <v>74</v>
      </c>
      <c r="Q111" s="10">
        <f>A111&amp;"|"&amp;B111&amp;"|"&amp;C111&amp;"|"&amp;D111&amp;"|"&amp;E111&amp;"|"&amp;F111&amp;"|"&amp;G111&amp;"|"&amp;H111&amp;"|"&amp;I111&amp;"|"&amp;J111&amp;"|"&amp;K111&amp;"|"&amp;L111&amp;"|"&amp;M111&amp;"|"&amp;N111&amp;"|"&amp;O111&amp;"|"&amp;P111</f>
        <v/>
      </c>
      <c r="R111" s="10">
        <f>IF(COUNTIF($Q$2:$Q$1409,Q111)&gt;1,IF(COUNTIF($Q$2:Q111,Q111)=1,"Exact Duplicate - Keep First","Exact Duplicate - Remove"),"Unique")</f>
        <v/>
      </c>
    </row>
    <row r="112" ht="15" customHeight="1" s="11">
      <c r="A112" s="10" t="inlineStr">
        <is>
          <t>USR-100111</t>
        </is>
      </c>
      <c r="B112" s="14" t="n">
        <v>45775</v>
      </c>
      <c r="C112" s="10" t="inlineStr">
        <is>
          <t>Control</t>
        </is>
      </c>
      <c r="D112" s="10" t="inlineStr">
        <is>
          <t>West</t>
        </is>
      </c>
      <c r="E112" s="10" t="inlineStr">
        <is>
          <t>Desktop</t>
        </is>
      </c>
      <c r="F112" s="10" t="inlineStr">
        <is>
          <t>Organic</t>
        </is>
      </c>
      <c r="G112" s="10" t="inlineStr">
        <is>
          <t>Basic</t>
        </is>
      </c>
      <c r="H112" s="10" t="n">
        <v>1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P112" s="10" t="n">
        <v>63.4</v>
      </c>
      <c r="Q112" s="10">
        <f>A112&amp;"|"&amp;B112&amp;"|"&amp;C112&amp;"|"&amp;D112&amp;"|"&amp;E112&amp;"|"&amp;F112&amp;"|"&amp;G112&amp;"|"&amp;H112&amp;"|"&amp;I112&amp;"|"&amp;J112&amp;"|"&amp;K112&amp;"|"&amp;L112&amp;"|"&amp;M112&amp;"|"&amp;N112&amp;"|"&amp;O112&amp;"|"&amp;P112</f>
        <v/>
      </c>
      <c r="R112" s="10">
        <f>IF(COUNTIF($Q$2:$Q$1409,Q112)&gt;1,IF(COUNTIF($Q$2:Q112,Q112)=1,"Exact Duplicate - Keep First","Exact Duplicate - Remove"),"Unique")</f>
        <v/>
      </c>
    </row>
    <row r="113" ht="15" customHeight="1" s="11">
      <c r="A113" s="10" t="inlineStr">
        <is>
          <t>USR-100112</t>
        </is>
      </c>
      <c r="B113" s="14" t="n">
        <v>45687</v>
      </c>
      <c r="C113" s="10" t="inlineStr">
        <is>
          <t>Control</t>
        </is>
      </c>
      <c r="D113" s="10" t="inlineStr">
        <is>
          <t>North</t>
        </is>
      </c>
      <c r="E113" s="10" t="inlineStr">
        <is>
          <t>Mobile</t>
        </is>
      </c>
      <c r="F113" s="10" t="inlineStr">
        <is>
          <t>Organic</t>
        </is>
      </c>
      <c r="G113" s="10" t="inlineStr">
        <is>
          <t>Basic</t>
        </is>
      </c>
      <c r="H113" s="10" t="n">
        <v>1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</v>
      </c>
      <c r="P113" s="10" t="n">
        <v>53.2</v>
      </c>
      <c r="Q113" s="10">
        <f>A113&amp;"|"&amp;B113&amp;"|"&amp;C113&amp;"|"&amp;D113&amp;"|"&amp;E113&amp;"|"&amp;F113&amp;"|"&amp;G113&amp;"|"&amp;H113&amp;"|"&amp;I113&amp;"|"&amp;J113&amp;"|"&amp;K113&amp;"|"&amp;L113&amp;"|"&amp;M113&amp;"|"&amp;N113&amp;"|"&amp;O113&amp;"|"&amp;P113</f>
        <v/>
      </c>
      <c r="R113" s="10">
        <f>IF(COUNTIF($Q$2:$Q$1409,Q113)&gt;1,IF(COUNTIF($Q$2:Q113,Q113)=1,"Exact Duplicate - Keep First","Exact Duplicate - Remove"),"Unique")</f>
        <v/>
      </c>
    </row>
    <row r="114" ht="15" customHeight="1" s="11">
      <c r="A114" s="10" t="inlineStr">
        <is>
          <t>USR-100113</t>
        </is>
      </c>
      <c r="B114" s="14" t="n">
        <v>45796</v>
      </c>
      <c r="C114" s="10" t="inlineStr">
        <is>
          <t>Control</t>
        </is>
      </c>
      <c r="D114" s="10" t="inlineStr">
        <is>
          <t>East</t>
        </is>
      </c>
      <c r="E114" s="10" t="inlineStr">
        <is>
          <t>Tablet</t>
        </is>
      </c>
      <c r="F114" s="10" t="inlineStr">
        <is>
          <t>Paid Search</t>
        </is>
      </c>
      <c r="G114" s="10" t="inlineStr">
        <is>
          <t>Free</t>
        </is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P114" s="10" t="n">
        <v>48.1</v>
      </c>
      <c r="Q114" s="10">
        <f>A114&amp;"|"&amp;B114&amp;"|"&amp;C114&amp;"|"&amp;D114&amp;"|"&amp;E114&amp;"|"&amp;F114&amp;"|"&amp;G114&amp;"|"&amp;H114&amp;"|"&amp;I114&amp;"|"&amp;J114&amp;"|"&amp;K114&amp;"|"&amp;L114&amp;"|"&amp;M114&amp;"|"&amp;N114&amp;"|"&amp;O114&amp;"|"&amp;P114</f>
        <v/>
      </c>
      <c r="R114" s="10">
        <f>IF(COUNTIF($Q$2:$Q$1409,Q114)&gt;1,IF(COUNTIF($Q$2:Q114,Q114)=1,"Exact Duplicate - Keep First","Exact Duplicate - Remove"),"Unique")</f>
        <v/>
      </c>
    </row>
    <row r="115" ht="15" customHeight="1" s="11">
      <c r="A115" s="10" t="inlineStr">
        <is>
          <t>USR-100114</t>
        </is>
      </c>
      <c r="B115" s="14" t="n">
        <v>45680</v>
      </c>
      <c r="C115" s="10" t="inlineStr">
        <is>
          <t>Control</t>
        </is>
      </c>
      <c r="D115" s="10" t="inlineStr">
        <is>
          <t>South</t>
        </is>
      </c>
      <c r="E115" s="10" t="inlineStr">
        <is>
          <t>Mobile</t>
        </is>
      </c>
      <c r="F115" s="10" t="inlineStr">
        <is>
          <t>Social</t>
        </is>
      </c>
      <c r="G115" s="10" t="inlineStr">
        <is>
          <t>Free</t>
        </is>
      </c>
      <c r="H115" s="10" t="n">
        <v>1</v>
      </c>
      <c r="I115" s="10" t="n">
        <v>1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P115" s="10" t="n">
        <v>61.5</v>
      </c>
      <c r="Q115" s="10">
        <f>A115&amp;"|"&amp;B115&amp;"|"&amp;C115&amp;"|"&amp;D115&amp;"|"&amp;E115&amp;"|"&amp;F115&amp;"|"&amp;G115&amp;"|"&amp;H115&amp;"|"&amp;I115&amp;"|"&amp;J115&amp;"|"&amp;K115&amp;"|"&amp;L115&amp;"|"&amp;M115&amp;"|"&amp;N115&amp;"|"&amp;O115&amp;"|"&amp;P115</f>
        <v/>
      </c>
      <c r="R115" s="10">
        <f>IF(COUNTIF($Q$2:$Q$1409,Q115)&gt;1,IF(COUNTIF($Q$2:Q115,Q115)=1,"Exact Duplicate - Keep First","Exact Duplicate - Remove"),"Unique")</f>
        <v/>
      </c>
    </row>
    <row r="116" ht="15" customHeight="1" s="11">
      <c r="A116" s="10" t="inlineStr">
        <is>
          <t>USR-100115</t>
        </is>
      </c>
      <c r="B116" s="14" t="n">
        <v>45744</v>
      </c>
      <c r="C116" s="10" t="inlineStr">
        <is>
          <t>Control</t>
        </is>
      </c>
      <c r="D116" s="10" t="inlineStr">
        <is>
          <t>East</t>
        </is>
      </c>
      <c r="E116" s="10" t="inlineStr">
        <is>
          <t>Desktop</t>
        </is>
      </c>
      <c r="F116" s="10" t="inlineStr">
        <is>
          <t>Social</t>
        </is>
      </c>
      <c r="G116" s="10" t="inlineStr">
        <is>
          <t>Free</t>
        </is>
      </c>
      <c r="H116" s="10" t="n">
        <v>1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P116" s="10" t="n">
        <v>63.2</v>
      </c>
      <c r="Q116" s="10">
        <f>A116&amp;"|"&amp;B116&amp;"|"&amp;C116&amp;"|"&amp;D116&amp;"|"&amp;E116&amp;"|"&amp;F116&amp;"|"&amp;G116&amp;"|"&amp;H116&amp;"|"&amp;I116&amp;"|"&amp;J116&amp;"|"&amp;K116&amp;"|"&amp;L116&amp;"|"&amp;M116&amp;"|"&amp;N116&amp;"|"&amp;O116&amp;"|"&amp;P116</f>
        <v/>
      </c>
      <c r="R116" s="10">
        <f>IF(COUNTIF($Q$2:$Q$1409,Q116)&gt;1,IF(COUNTIF($Q$2:Q116,Q116)=1,"Exact Duplicate - Keep First","Exact Duplicate - Remove"),"Unique")</f>
        <v/>
      </c>
    </row>
    <row r="117" ht="15" customHeight="1" s="11">
      <c r="A117" s="10" t="inlineStr">
        <is>
          <t>USR-100116</t>
        </is>
      </c>
      <c r="B117" s="14" t="n">
        <v>45668</v>
      </c>
      <c r="C117" s="10" t="inlineStr">
        <is>
          <t>Control</t>
        </is>
      </c>
      <c r="D117" s="10" t="inlineStr">
        <is>
          <t>West</t>
        </is>
      </c>
      <c r="E117" s="10" t="inlineStr">
        <is>
          <t>Mobile</t>
        </is>
      </c>
      <c r="F117" s="10" t="inlineStr">
        <is>
          <t>Organic</t>
        </is>
      </c>
      <c r="G117" s="10" t="inlineStr">
        <is>
          <t>Free</t>
        </is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  <c r="N117" s="10" t="n">
        <v>0</v>
      </c>
      <c r="P117" s="10" t="n">
        <v>71.90000000000001</v>
      </c>
      <c r="Q117" s="10">
        <f>A117&amp;"|"&amp;B117&amp;"|"&amp;C117&amp;"|"&amp;D117&amp;"|"&amp;E117&amp;"|"&amp;F117&amp;"|"&amp;G117&amp;"|"&amp;H117&amp;"|"&amp;I117&amp;"|"&amp;J117&amp;"|"&amp;K117&amp;"|"&amp;L117&amp;"|"&amp;M117&amp;"|"&amp;N117&amp;"|"&amp;O117&amp;"|"&amp;P117</f>
        <v/>
      </c>
      <c r="R117" s="10">
        <f>IF(COUNTIF($Q$2:$Q$1409,Q117)&gt;1,IF(COUNTIF($Q$2:Q117,Q117)=1,"Exact Duplicate - Keep First","Exact Duplicate - Remove"),"Unique")</f>
        <v/>
      </c>
    </row>
    <row r="118" ht="15" customHeight="1" s="11">
      <c r="A118" s="10" t="inlineStr">
        <is>
          <t>USR-100117</t>
        </is>
      </c>
      <c r="B118" s="14" t="n">
        <v>45758</v>
      </c>
      <c r="C118" s="10" t="inlineStr">
        <is>
          <t>Control</t>
        </is>
      </c>
      <c r="D118" s="10" t="inlineStr">
        <is>
          <t>North</t>
        </is>
      </c>
      <c r="E118" s="10" t="inlineStr">
        <is>
          <t>Mobile</t>
        </is>
      </c>
      <c r="F118" s="10" t="inlineStr">
        <is>
          <t>Referral</t>
        </is>
      </c>
      <c r="G118" s="10" t="inlineStr">
        <is>
          <t>Free</t>
        </is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P118" s="10" t="n">
        <v>62.7</v>
      </c>
      <c r="Q118" s="10">
        <f>A118&amp;"|"&amp;B118&amp;"|"&amp;C118&amp;"|"&amp;D118&amp;"|"&amp;E118&amp;"|"&amp;F118&amp;"|"&amp;G118&amp;"|"&amp;H118&amp;"|"&amp;I118&amp;"|"&amp;J118&amp;"|"&amp;K118&amp;"|"&amp;L118&amp;"|"&amp;M118&amp;"|"&amp;N118&amp;"|"&amp;O118&amp;"|"&amp;P118</f>
        <v/>
      </c>
      <c r="R118" s="10">
        <f>IF(COUNTIF($Q$2:$Q$1409,Q118)&gt;1,IF(COUNTIF($Q$2:Q118,Q118)=1,"Exact Duplicate - Keep First","Exact Duplicate - Remove"),"Unique")</f>
        <v/>
      </c>
    </row>
    <row r="119" ht="15" customHeight="1" s="11">
      <c r="A119" s="10" t="inlineStr">
        <is>
          <t>USR-100118</t>
        </is>
      </c>
      <c r="B119" s="14" t="n">
        <v>45659</v>
      </c>
      <c r="C119" s="10" t="inlineStr">
        <is>
          <t>Control</t>
        </is>
      </c>
      <c r="D119" s="10" t="inlineStr">
        <is>
          <t>West</t>
        </is>
      </c>
      <c r="E119" s="10" t="inlineStr">
        <is>
          <t>Mobile</t>
        </is>
      </c>
      <c r="F119" s="10" t="inlineStr">
        <is>
          <t>Paid Search</t>
        </is>
      </c>
      <c r="G119" s="10" t="inlineStr">
        <is>
          <t>Free</t>
        </is>
      </c>
      <c r="H119" s="10" t="n">
        <v>1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P119" s="10" t="n">
        <v>51.5</v>
      </c>
      <c r="Q119" s="10">
        <f>A119&amp;"|"&amp;B119&amp;"|"&amp;C119&amp;"|"&amp;D119&amp;"|"&amp;E119&amp;"|"&amp;F119&amp;"|"&amp;G119&amp;"|"&amp;H119&amp;"|"&amp;I119&amp;"|"&amp;J119&amp;"|"&amp;K119&amp;"|"&amp;L119&amp;"|"&amp;M119&amp;"|"&amp;N119&amp;"|"&amp;O119&amp;"|"&amp;P119</f>
        <v/>
      </c>
      <c r="R119" s="10">
        <f>IF(COUNTIF($Q$2:$Q$1409,Q119)&gt;1,IF(COUNTIF($Q$2:Q119,Q119)=1,"Exact Duplicate - Keep First","Exact Duplicate - Remove"),"Unique")</f>
        <v/>
      </c>
    </row>
    <row r="120" ht="15" customHeight="1" s="11">
      <c r="A120" s="10" t="inlineStr">
        <is>
          <t>USR-100119</t>
        </is>
      </c>
      <c r="B120" s="14" t="n">
        <v>45734</v>
      </c>
      <c r="C120" s="10" t="inlineStr">
        <is>
          <t>Control</t>
        </is>
      </c>
      <c r="D120" s="10" t="inlineStr">
        <is>
          <t>East</t>
        </is>
      </c>
      <c r="E120" s="10" t="inlineStr">
        <is>
          <t>Mobile</t>
        </is>
      </c>
      <c r="F120" s="10" t="inlineStr">
        <is>
          <t>Social</t>
        </is>
      </c>
      <c r="G120" s="10" t="inlineStr">
        <is>
          <t>Free</t>
        </is>
      </c>
      <c r="H120" s="10" t="n">
        <v>1</v>
      </c>
      <c r="I120" s="10" t="n">
        <v>1</v>
      </c>
      <c r="J120" s="10" t="n">
        <v>1</v>
      </c>
      <c r="K120" s="10" t="n">
        <v>0</v>
      </c>
      <c r="L120" s="10" t="n">
        <v>0</v>
      </c>
      <c r="M120" s="10" t="n">
        <v>0</v>
      </c>
      <c r="N120" s="10" t="n">
        <v>0</v>
      </c>
      <c r="P120" s="10" t="n">
        <v>39.1</v>
      </c>
      <c r="Q120" s="10">
        <f>A120&amp;"|"&amp;B120&amp;"|"&amp;C120&amp;"|"&amp;D120&amp;"|"&amp;E120&amp;"|"&amp;F120&amp;"|"&amp;G120&amp;"|"&amp;H120&amp;"|"&amp;I120&amp;"|"&amp;J120&amp;"|"&amp;K120&amp;"|"&amp;L120&amp;"|"&amp;M120&amp;"|"&amp;N120&amp;"|"&amp;O120&amp;"|"&amp;P120</f>
        <v/>
      </c>
      <c r="R120" s="10">
        <f>IF(COUNTIF($Q$2:$Q$1409,Q120)&gt;1,IF(COUNTIF($Q$2:Q120,Q120)=1,"Exact Duplicate - Keep First","Exact Duplicate - Remove"),"Unique")</f>
        <v/>
      </c>
    </row>
    <row r="121" ht="15" customHeight="1" s="11">
      <c r="A121" s="10" t="inlineStr">
        <is>
          <t>USR-100120</t>
        </is>
      </c>
      <c r="B121" s="14" t="n">
        <v>45747</v>
      </c>
      <c r="C121" s="10" t="inlineStr">
        <is>
          <t>Control</t>
        </is>
      </c>
      <c r="D121" s="10" t="inlineStr">
        <is>
          <t>North</t>
        </is>
      </c>
      <c r="E121" s="10" t="inlineStr">
        <is>
          <t>Mobile</t>
        </is>
      </c>
      <c r="F121" s="10" t="inlineStr">
        <is>
          <t>Email</t>
        </is>
      </c>
      <c r="G121" s="10" t="inlineStr">
        <is>
          <t>Free</t>
        </is>
      </c>
      <c r="H121" s="10" t="n">
        <v>1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0</v>
      </c>
      <c r="P121" s="10" t="n">
        <v>43.8</v>
      </c>
      <c r="Q121" s="10">
        <f>A121&amp;"|"&amp;B121&amp;"|"&amp;C121&amp;"|"&amp;D121&amp;"|"&amp;E121&amp;"|"&amp;F121&amp;"|"&amp;G121&amp;"|"&amp;H121&amp;"|"&amp;I121&amp;"|"&amp;J121&amp;"|"&amp;K121&amp;"|"&amp;L121&amp;"|"&amp;M121&amp;"|"&amp;N121&amp;"|"&amp;O121&amp;"|"&amp;P121</f>
        <v/>
      </c>
      <c r="R121" s="10">
        <f>IF(COUNTIF($Q$2:$Q$1409,Q121)&gt;1,IF(COUNTIF($Q$2:Q121,Q121)=1,"Exact Duplicate - Keep First","Exact Duplicate - Remove"),"Unique")</f>
        <v/>
      </c>
    </row>
    <row r="122" ht="15" customHeight="1" s="11">
      <c r="A122" s="10" t="inlineStr">
        <is>
          <t>USR-100121</t>
        </is>
      </c>
      <c r="B122" s="14" t="n">
        <v>45663</v>
      </c>
      <c r="C122" s="10" t="inlineStr">
        <is>
          <t>Control</t>
        </is>
      </c>
      <c r="D122" s="10" t="inlineStr">
        <is>
          <t>North</t>
        </is>
      </c>
      <c r="E122" s="10" t="inlineStr">
        <is>
          <t>Mobile</t>
        </is>
      </c>
      <c r="F122" s="10" t="inlineStr">
        <is>
          <t>Paid Search</t>
        </is>
      </c>
      <c r="G122" s="10" t="inlineStr">
        <is>
          <t>Basic</t>
        </is>
      </c>
      <c r="H122" s="10" t="n">
        <v>1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P122" s="10" t="n">
        <v>59.9</v>
      </c>
      <c r="Q122" s="10">
        <f>A122&amp;"|"&amp;B122&amp;"|"&amp;C122&amp;"|"&amp;D122&amp;"|"&amp;E122&amp;"|"&amp;F122&amp;"|"&amp;G122&amp;"|"&amp;H122&amp;"|"&amp;I122&amp;"|"&amp;J122&amp;"|"&amp;K122&amp;"|"&amp;L122&amp;"|"&amp;M122&amp;"|"&amp;N122&amp;"|"&amp;O122&amp;"|"&amp;P122</f>
        <v/>
      </c>
      <c r="R122" s="10">
        <f>IF(COUNTIF($Q$2:$Q$1409,Q122)&gt;1,IF(COUNTIF($Q$2:Q122,Q122)=1,"Exact Duplicate - Keep First","Exact Duplicate - Remove"),"Unique")</f>
        <v/>
      </c>
    </row>
    <row r="123" ht="15" customHeight="1" s="11">
      <c r="A123" s="10" t="inlineStr">
        <is>
          <t>USR-100122</t>
        </is>
      </c>
      <c r="B123" s="14" t="n">
        <v>45683</v>
      </c>
      <c r="C123" s="10" t="inlineStr">
        <is>
          <t>Control</t>
        </is>
      </c>
      <c r="D123" s="10" t="inlineStr">
        <is>
          <t>North</t>
        </is>
      </c>
      <c r="E123" s="10" t="inlineStr">
        <is>
          <t>Mobile</t>
        </is>
      </c>
      <c r="F123" s="10" t="inlineStr">
        <is>
          <t>Referral</t>
        </is>
      </c>
      <c r="G123" s="10" t="inlineStr">
        <is>
          <t>Free</t>
        </is>
      </c>
      <c r="H123" s="10" t="n">
        <v>1</v>
      </c>
      <c r="I123" s="10" t="n">
        <v>1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P123" s="10" t="n">
        <v>71.40000000000001</v>
      </c>
      <c r="Q123" s="10">
        <f>A123&amp;"|"&amp;B123&amp;"|"&amp;C123&amp;"|"&amp;D123&amp;"|"&amp;E123&amp;"|"&amp;F123&amp;"|"&amp;G123&amp;"|"&amp;H123&amp;"|"&amp;I123&amp;"|"&amp;J123&amp;"|"&amp;K123&amp;"|"&amp;L123&amp;"|"&amp;M123&amp;"|"&amp;N123&amp;"|"&amp;O123&amp;"|"&amp;P123</f>
        <v/>
      </c>
      <c r="R123" s="10">
        <f>IF(COUNTIF($Q$2:$Q$1409,Q123)&gt;1,IF(COUNTIF($Q$2:Q123,Q123)=1,"Exact Duplicate - Keep First","Exact Duplicate - Remove"),"Unique")</f>
        <v/>
      </c>
    </row>
    <row r="124" ht="15" customHeight="1" s="11">
      <c r="A124" s="10" t="inlineStr">
        <is>
          <t>USR-100123</t>
        </is>
      </c>
      <c r="B124" s="14" t="n">
        <v>45769</v>
      </c>
      <c r="C124" s="10" t="inlineStr">
        <is>
          <t>Control</t>
        </is>
      </c>
      <c r="D124" s="10" t="inlineStr">
        <is>
          <t>South</t>
        </is>
      </c>
      <c r="E124" s="10" t="inlineStr">
        <is>
          <t>Mobile</t>
        </is>
      </c>
      <c r="F124" s="10" t="inlineStr">
        <is>
          <t>Referral</t>
        </is>
      </c>
      <c r="G124" s="10" t="inlineStr">
        <is>
          <t>Basic</t>
        </is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P124" s="10" t="n">
        <v>36.1</v>
      </c>
      <c r="Q124" s="10">
        <f>A124&amp;"|"&amp;B124&amp;"|"&amp;C124&amp;"|"&amp;D124&amp;"|"&amp;E124&amp;"|"&amp;F124&amp;"|"&amp;G124&amp;"|"&amp;H124&amp;"|"&amp;I124&amp;"|"&amp;J124&amp;"|"&amp;K124&amp;"|"&amp;L124&amp;"|"&amp;M124&amp;"|"&amp;N124&amp;"|"&amp;O124&amp;"|"&amp;P124</f>
        <v/>
      </c>
      <c r="R124" s="10">
        <f>IF(COUNTIF($Q$2:$Q$1409,Q124)&gt;1,IF(COUNTIF($Q$2:Q124,Q124)=1,"Exact Duplicate - Keep First","Exact Duplicate - Remove"),"Unique")</f>
        <v/>
      </c>
    </row>
    <row r="125" ht="15" customHeight="1" s="11">
      <c r="A125" s="10" t="inlineStr">
        <is>
          <t>USR-100124</t>
        </is>
      </c>
      <c r="B125" s="14" t="n">
        <v>45807</v>
      </c>
      <c r="C125" s="10" t="inlineStr">
        <is>
          <t>Control</t>
        </is>
      </c>
      <c r="D125" s="10" t="inlineStr">
        <is>
          <t>West</t>
        </is>
      </c>
      <c r="F125" s="10" t="inlineStr">
        <is>
          <t>Email</t>
        </is>
      </c>
      <c r="G125" s="10" t="inlineStr">
        <is>
          <t>Basic</t>
        </is>
      </c>
      <c r="H125" s="10" t="n">
        <v>1</v>
      </c>
      <c r="I125" s="10" t="n">
        <v>1</v>
      </c>
      <c r="J125" s="10" t="n">
        <v>0</v>
      </c>
      <c r="K125" s="10" t="n">
        <v>0</v>
      </c>
      <c r="L125" s="10" t="n">
        <v>0</v>
      </c>
      <c r="M125" s="10" t="n">
        <v>0</v>
      </c>
      <c r="N125" s="10" t="n">
        <v>0</v>
      </c>
      <c r="P125" s="10" t="n">
        <v>47.9</v>
      </c>
      <c r="Q125" s="10">
        <f>A125&amp;"|"&amp;B125&amp;"|"&amp;C125&amp;"|"&amp;D125&amp;"|"&amp;E125&amp;"|"&amp;F125&amp;"|"&amp;G125&amp;"|"&amp;H125&amp;"|"&amp;I125&amp;"|"&amp;J125&amp;"|"&amp;K125&amp;"|"&amp;L125&amp;"|"&amp;M125&amp;"|"&amp;N125&amp;"|"&amp;O125&amp;"|"&amp;P125</f>
        <v/>
      </c>
      <c r="R125" s="10">
        <f>IF(COUNTIF($Q$2:$Q$1409,Q125)&gt;1,IF(COUNTIF($Q$2:Q125,Q125)=1,"Exact Duplicate - Keep First","Exact Duplicate - Remove"),"Unique")</f>
        <v/>
      </c>
    </row>
    <row r="126" ht="15" customHeight="1" s="11">
      <c r="A126" s="10" t="inlineStr">
        <is>
          <t>USR-100125</t>
        </is>
      </c>
      <c r="B126" s="14" t="n">
        <v>45795</v>
      </c>
      <c r="C126" s="10" t="inlineStr">
        <is>
          <t>Control</t>
        </is>
      </c>
      <c r="D126" s="10" t="inlineStr">
        <is>
          <t>West</t>
        </is>
      </c>
      <c r="E126" s="10" t="inlineStr">
        <is>
          <t>Desktop</t>
        </is>
      </c>
      <c r="F126" s="10" t="inlineStr">
        <is>
          <t>Organic</t>
        </is>
      </c>
      <c r="G126" s="10" t="inlineStr">
        <is>
          <t>Premium</t>
        </is>
      </c>
      <c r="H126" s="10" t="n">
        <v>1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P126" s="10" t="n">
        <v>62.5</v>
      </c>
      <c r="Q126" s="10">
        <f>A126&amp;"|"&amp;B126&amp;"|"&amp;C126&amp;"|"&amp;D126&amp;"|"&amp;E126&amp;"|"&amp;F126&amp;"|"&amp;G126&amp;"|"&amp;H126&amp;"|"&amp;I126&amp;"|"&amp;J126&amp;"|"&amp;K126&amp;"|"&amp;L126&amp;"|"&amp;M126&amp;"|"&amp;N126&amp;"|"&amp;O126&amp;"|"&amp;P126</f>
        <v/>
      </c>
      <c r="R126" s="10">
        <f>IF(COUNTIF($Q$2:$Q$1409,Q126)&gt;1,IF(COUNTIF($Q$2:Q126,Q126)=1,"Exact Duplicate - Keep First","Exact Duplicate - Remove"),"Unique")</f>
        <v/>
      </c>
    </row>
    <row r="127" ht="15" customHeight="1" s="11">
      <c r="A127" s="10" t="inlineStr">
        <is>
          <t>USR-100126</t>
        </is>
      </c>
      <c r="B127" s="14" t="n">
        <v>45670</v>
      </c>
      <c r="C127" s="10" t="inlineStr">
        <is>
          <t>Control</t>
        </is>
      </c>
      <c r="D127" s="10" t="inlineStr">
        <is>
          <t>South</t>
        </is>
      </c>
      <c r="E127" s="10" t="inlineStr">
        <is>
          <t>Desktop</t>
        </is>
      </c>
      <c r="F127" s="10" t="inlineStr">
        <is>
          <t>Paid Search</t>
        </is>
      </c>
      <c r="G127" s="10" t="inlineStr">
        <is>
          <t>Premium</t>
        </is>
      </c>
      <c r="H127" s="10" t="n">
        <v>1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0</v>
      </c>
      <c r="N127" s="10" t="n">
        <v>0</v>
      </c>
      <c r="P127" s="10" t="n">
        <v>56.9</v>
      </c>
      <c r="Q127" s="10">
        <f>A127&amp;"|"&amp;B127&amp;"|"&amp;C127&amp;"|"&amp;D127&amp;"|"&amp;E127&amp;"|"&amp;F127&amp;"|"&amp;G127&amp;"|"&amp;H127&amp;"|"&amp;I127&amp;"|"&amp;J127&amp;"|"&amp;K127&amp;"|"&amp;L127&amp;"|"&amp;M127&amp;"|"&amp;N127&amp;"|"&amp;O127&amp;"|"&amp;P127</f>
        <v/>
      </c>
      <c r="R127" s="10">
        <f>IF(COUNTIF($Q$2:$Q$1409,Q127)&gt;1,IF(COUNTIF($Q$2:Q127,Q127)=1,"Exact Duplicate - Keep First","Exact Duplicate - Remove"),"Unique")</f>
        <v/>
      </c>
    </row>
    <row r="128" ht="15" customHeight="1" s="11">
      <c r="A128" s="10" t="inlineStr">
        <is>
          <t>USR-100127</t>
        </is>
      </c>
      <c r="B128" s="14" t="n">
        <v>45741</v>
      </c>
      <c r="C128" s="10" t="inlineStr">
        <is>
          <t>Control</t>
        </is>
      </c>
      <c r="D128" s="10" t="inlineStr">
        <is>
          <t>North</t>
        </is>
      </c>
      <c r="E128" s="10" t="inlineStr">
        <is>
          <t>Desktop</t>
        </is>
      </c>
      <c r="F128" s="10" t="inlineStr">
        <is>
          <t>Email</t>
        </is>
      </c>
      <c r="G128" s="10" t="inlineStr">
        <is>
          <t>Free</t>
        </is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P128" s="10" t="n">
        <v>64.7</v>
      </c>
      <c r="Q128" s="10">
        <f>A128&amp;"|"&amp;B128&amp;"|"&amp;C128&amp;"|"&amp;D128&amp;"|"&amp;E128&amp;"|"&amp;F128&amp;"|"&amp;G128&amp;"|"&amp;H128&amp;"|"&amp;I128&amp;"|"&amp;J128&amp;"|"&amp;K128&amp;"|"&amp;L128&amp;"|"&amp;M128&amp;"|"&amp;N128&amp;"|"&amp;O128&amp;"|"&amp;P128</f>
        <v/>
      </c>
      <c r="R128" s="10">
        <f>IF(COUNTIF($Q$2:$Q$1409,Q128)&gt;1,IF(COUNTIF($Q$2:Q128,Q128)=1,"Exact Duplicate - Keep First","Exact Duplicate - Remove"),"Unique")</f>
        <v/>
      </c>
    </row>
    <row r="129" ht="15" customHeight="1" s="11">
      <c r="A129" s="10" t="inlineStr">
        <is>
          <t>USR-100128</t>
        </is>
      </c>
      <c r="B129" s="14" t="n">
        <v>45776</v>
      </c>
      <c r="C129" s="10" t="inlineStr">
        <is>
          <t>Control</t>
        </is>
      </c>
      <c r="D129" s="10" t="inlineStr">
        <is>
          <t>South</t>
        </is>
      </c>
      <c r="E129" s="10" t="inlineStr">
        <is>
          <t>Desktop</t>
        </is>
      </c>
      <c r="F129" s="10" t="inlineStr">
        <is>
          <t>Organic</t>
        </is>
      </c>
      <c r="G129" s="10" t="inlineStr">
        <is>
          <t>Free</t>
        </is>
      </c>
      <c r="H129" s="10" t="n">
        <v>1</v>
      </c>
      <c r="I129" s="10" t="n">
        <v>1</v>
      </c>
      <c r="J129" s="10" t="n">
        <v>1</v>
      </c>
      <c r="K129" s="10" t="n">
        <v>0</v>
      </c>
      <c r="L129" s="10" t="n">
        <v>0</v>
      </c>
      <c r="M129" s="10" t="n">
        <v>0</v>
      </c>
      <c r="N129" s="10" t="n">
        <v>0</v>
      </c>
      <c r="P129" s="10" t="n">
        <v>64</v>
      </c>
      <c r="Q129" s="10">
        <f>A129&amp;"|"&amp;B129&amp;"|"&amp;C129&amp;"|"&amp;D129&amp;"|"&amp;E129&amp;"|"&amp;F129&amp;"|"&amp;G129&amp;"|"&amp;H129&amp;"|"&amp;I129&amp;"|"&amp;J129&amp;"|"&amp;K129&amp;"|"&amp;L129&amp;"|"&amp;M129&amp;"|"&amp;N129&amp;"|"&amp;O129&amp;"|"&amp;P129</f>
        <v/>
      </c>
      <c r="R129" s="10">
        <f>IF(COUNTIF($Q$2:$Q$1409,Q129)&gt;1,IF(COUNTIF($Q$2:Q129,Q129)=1,"Exact Duplicate - Keep First","Exact Duplicate - Remove"),"Unique")</f>
        <v/>
      </c>
    </row>
    <row r="130" ht="15" customHeight="1" s="11">
      <c r="A130" s="10" t="inlineStr">
        <is>
          <t>USR-100129</t>
        </is>
      </c>
      <c r="B130" s="14" t="n">
        <v>45794</v>
      </c>
      <c r="C130" s="10" t="inlineStr">
        <is>
          <t>Control</t>
        </is>
      </c>
      <c r="D130" s="10" t="inlineStr">
        <is>
          <t>East</t>
        </is>
      </c>
      <c r="E130" s="10" t="inlineStr">
        <is>
          <t>Mobile</t>
        </is>
      </c>
      <c r="F130" s="10" t="inlineStr">
        <is>
          <t>Referral</t>
        </is>
      </c>
      <c r="G130" s="10" t="inlineStr">
        <is>
          <t>Basic</t>
        </is>
      </c>
      <c r="H130" s="10" t="n">
        <v>1</v>
      </c>
      <c r="I130" s="10" t="n">
        <v>1</v>
      </c>
      <c r="J130" s="10" t="n">
        <v>1</v>
      </c>
      <c r="K130" s="10" t="n">
        <v>0</v>
      </c>
      <c r="L130" s="10" t="n">
        <v>0</v>
      </c>
      <c r="M130" s="10" t="n">
        <v>0</v>
      </c>
      <c r="N130" s="10" t="n">
        <v>0</v>
      </c>
      <c r="P130" s="10" t="n">
        <v>75.2</v>
      </c>
      <c r="Q130" s="10">
        <f>A130&amp;"|"&amp;B130&amp;"|"&amp;C130&amp;"|"&amp;D130&amp;"|"&amp;E130&amp;"|"&amp;F130&amp;"|"&amp;G130&amp;"|"&amp;H130&amp;"|"&amp;I130&amp;"|"&amp;J130&amp;"|"&amp;K130&amp;"|"&amp;L130&amp;"|"&amp;M130&amp;"|"&amp;N130&amp;"|"&amp;O130&amp;"|"&amp;P130</f>
        <v/>
      </c>
      <c r="R130" s="10">
        <f>IF(COUNTIF($Q$2:$Q$1409,Q130)&gt;1,IF(COUNTIF($Q$2:Q130,Q130)=1,"Exact Duplicate - Keep First","Exact Duplicate - Remove"),"Unique")</f>
        <v/>
      </c>
    </row>
    <row r="131" ht="15" customHeight="1" s="11">
      <c r="A131" s="10" t="inlineStr">
        <is>
          <t>USR-100130</t>
        </is>
      </c>
      <c r="B131" s="14" t="n">
        <v>45659</v>
      </c>
      <c r="C131" s="10" t="inlineStr">
        <is>
          <t>Control</t>
        </is>
      </c>
      <c r="D131" s="10" t="inlineStr">
        <is>
          <t>North</t>
        </is>
      </c>
      <c r="E131" s="10" t="inlineStr">
        <is>
          <t>Mobile</t>
        </is>
      </c>
      <c r="F131" s="10" t="inlineStr">
        <is>
          <t>Paid Search</t>
        </is>
      </c>
      <c r="G131" s="10" t="inlineStr">
        <is>
          <t>Free</t>
        </is>
      </c>
      <c r="H131" s="10" t="n">
        <v>1</v>
      </c>
      <c r="I131" s="10" t="n">
        <v>0</v>
      </c>
      <c r="J131" s="10" t="n">
        <v>0</v>
      </c>
      <c r="K131" s="10" t="n">
        <v>0</v>
      </c>
      <c r="L131" s="10" t="n">
        <v>0</v>
      </c>
      <c r="M131" s="10" t="n">
        <v>1</v>
      </c>
      <c r="N131" s="10" t="n">
        <v>0</v>
      </c>
      <c r="P131" s="10" t="n">
        <v>79</v>
      </c>
      <c r="Q131" s="10">
        <f>A131&amp;"|"&amp;B131&amp;"|"&amp;C131&amp;"|"&amp;D131&amp;"|"&amp;E131&amp;"|"&amp;F131&amp;"|"&amp;G131&amp;"|"&amp;H131&amp;"|"&amp;I131&amp;"|"&amp;J131&amp;"|"&amp;K131&amp;"|"&amp;L131&amp;"|"&amp;M131&amp;"|"&amp;N131&amp;"|"&amp;O131&amp;"|"&amp;P131</f>
        <v/>
      </c>
      <c r="R131" s="10">
        <f>IF(COUNTIF($Q$2:$Q$1409,Q131)&gt;1,IF(COUNTIF($Q$2:Q131,Q131)=1,"Exact Duplicate - Keep First","Exact Duplicate - Remove"),"Unique")</f>
        <v/>
      </c>
    </row>
    <row r="132" ht="15" customHeight="1" s="11">
      <c r="A132" s="10" t="inlineStr">
        <is>
          <t>USR-100131</t>
        </is>
      </c>
      <c r="B132" s="14" t="n">
        <v>45691</v>
      </c>
      <c r="C132" s="10" t="inlineStr">
        <is>
          <t>Control</t>
        </is>
      </c>
      <c r="D132" s="10" t="inlineStr">
        <is>
          <t>South</t>
        </is>
      </c>
      <c r="E132" s="10" t="inlineStr">
        <is>
          <t>Mobile</t>
        </is>
      </c>
      <c r="F132" s="10" t="inlineStr">
        <is>
          <t>Organic</t>
        </is>
      </c>
      <c r="G132" s="10" t="inlineStr">
        <is>
          <t>Free</t>
        </is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P132" s="10" t="n">
        <v>33</v>
      </c>
      <c r="Q132" s="10">
        <f>A132&amp;"|"&amp;B132&amp;"|"&amp;C132&amp;"|"&amp;D132&amp;"|"&amp;E132&amp;"|"&amp;F132&amp;"|"&amp;G132&amp;"|"&amp;H132&amp;"|"&amp;I132&amp;"|"&amp;J132&amp;"|"&amp;K132&amp;"|"&amp;L132&amp;"|"&amp;M132&amp;"|"&amp;N132&amp;"|"&amp;O132&amp;"|"&amp;P132</f>
        <v/>
      </c>
      <c r="R132" s="10">
        <f>IF(COUNTIF($Q$2:$Q$1409,Q132)&gt;1,IF(COUNTIF($Q$2:Q132,Q132)=1,"Exact Duplicate - Keep First","Exact Duplicate - Remove"),"Unique")</f>
        <v/>
      </c>
    </row>
    <row r="133" ht="15" customHeight="1" s="11">
      <c r="A133" s="10" t="inlineStr">
        <is>
          <t>USR-100132</t>
        </is>
      </c>
      <c r="B133" s="14" t="n">
        <v>45720</v>
      </c>
      <c r="C133" s="10" t="inlineStr">
        <is>
          <t>Control</t>
        </is>
      </c>
      <c r="D133" s="10" t="inlineStr">
        <is>
          <t>East</t>
        </is>
      </c>
      <c r="E133" s="10" t="inlineStr">
        <is>
          <t>Mobile</t>
        </is>
      </c>
      <c r="F133" s="10" t="inlineStr">
        <is>
          <t>Organic</t>
        </is>
      </c>
      <c r="G133" s="10" t="inlineStr">
        <is>
          <t>Free</t>
        </is>
      </c>
      <c r="H133" s="10" t="n">
        <v>1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</v>
      </c>
      <c r="P133" s="10" t="n">
        <v>67.90000000000001</v>
      </c>
      <c r="Q133" s="10">
        <f>A133&amp;"|"&amp;B133&amp;"|"&amp;C133&amp;"|"&amp;D133&amp;"|"&amp;E133&amp;"|"&amp;F133&amp;"|"&amp;G133&amp;"|"&amp;H133&amp;"|"&amp;I133&amp;"|"&amp;J133&amp;"|"&amp;K133&amp;"|"&amp;L133&amp;"|"&amp;M133&amp;"|"&amp;N133&amp;"|"&amp;O133&amp;"|"&amp;P133</f>
        <v/>
      </c>
      <c r="R133" s="10">
        <f>IF(COUNTIF($Q$2:$Q$1409,Q133)&gt;1,IF(COUNTIF($Q$2:Q133,Q133)=1,"Exact Duplicate - Keep First","Exact Duplicate - Remove"),"Unique")</f>
        <v/>
      </c>
    </row>
    <row r="134" ht="15" customHeight="1" s="11">
      <c r="A134" s="10" t="inlineStr">
        <is>
          <t>USR-100133</t>
        </is>
      </c>
      <c r="B134" s="14" t="n">
        <v>45683</v>
      </c>
      <c r="C134" s="10" t="inlineStr">
        <is>
          <t>Control</t>
        </is>
      </c>
      <c r="D134" s="10" t="inlineStr">
        <is>
          <t>South</t>
        </is>
      </c>
      <c r="E134" s="10" t="inlineStr">
        <is>
          <t>Mobile</t>
        </is>
      </c>
      <c r="F134" s="10" t="inlineStr">
        <is>
          <t>Paid Search</t>
        </is>
      </c>
      <c r="G134" s="10" t="inlineStr">
        <is>
          <t>Basic</t>
        </is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P134" s="10" t="n">
        <v>42.2</v>
      </c>
      <c r="Q134" s="10">
        <f>A134&amp;"|"&amp;B134&amp;"|"&amp;C134&amp;"|"&amp;D134&amp;"|"&amp;E134&amp;"|"&amp;F134&amp;"|"&amp;G134&amp;"|"&amp;H134&amp;"|"&amp;I134&amp;"|"&amp;J134&amp;"|"&amp;K134&amp;"|"&amp;L134&amp;"|"&amp;M134&amp;"|"&amp;N134&amp;"|"&amp;O134&amp;"|"&amp;P134</f>
        <v/>
      </c>
      <c r="R134" s="10">
        <f>IF(COUNTIF($Q$2:$Q$1409,Q134)&gt;1,IF(COUNTIF($Q$2:Q134,Q134)=1,"Exact Duplicate - Keep First","Exact Duplicate - Remove"),"Unique")</f>
        <v/>
      </c>
    </row>
    <row r="135" ht="15" customHeight="1" s="11">
      <c r="A135" s="10" t="inlineStr">
        <is>
          <t>USR-100134</t>
        </is>
      </c>
      <c r="B135" s="14" t="n">
        <v>45789</v>
      </c>
      <c r="C135" s="10" t="inlineStr">
        <is>
          <t>Control</t>
        </is>
      </c>
      <c r="D135" s="10" t="inlineStr">
        <is>
          <t>West</t>
        </is>
      </c>
      <c r="E135" s="10" t="inlineStr">
        <is>
          <t>Mobile</t>
        </is>
      </c>
      <c r="F135" s="10" t="inlineStr">
        <is>
          <t>Paid Search</t>
        </is>
      </c>
      <c r="G135" s="10" t="inlineStr">
        <is>
          <t>Basic</t>
        </is>
      </c>
      <c r="H135" s="10" t="n">
        <v>1</v>
      </c>
      <c r="I135" s="10" t="n">
        <v>1</v>
      </c>
      <c r="J135" s="10" t="n">
        <v>1</v>
      </c>
      <c r="K135" s="10" t="n">
        <v>0</v>
      </c>
      <c r="L135" s="10" t="n">
        <v>0</v>
      </c>
      <c r="M135" s="10" t="n">
        <v>0</v>
      </c>
      <c r="N135" s="10" t="n">
        <v>0</v>
      </c>
      <c r="P135" s="10" t="n">
        <v>43.4</v>
      </c>
      <c r="Q135" s="10">
        <f>A135&amp;"|"&amp;B135&amp;"|"&amp;C135&amp;"|"&amp;D135&amp;"|"&amp;E135&amp;"|"&amp;F135&amp;"|"&amp;G135&amp;"|"&amp;H135&amp;"|"&amp;I135&amp;"|"&amp;J135&amp;"|"&amp;K135&amp;"|"&amp;L135&amp;"|"&amp;M135&amp;"|"&amp;N135&amp;"|"&amp;O135&amp;"|"&amp;P135</f>
        <v/>
      </c>
      <c r="R135" s="10">
        <f>IF(COUNTIF($Q$2:$Q$1409,Q135)&gt;1,IF(COUNTIF($Q$2:Q135,Q135)=1,"Exact Duplicate - Keep First","Exact Duplicate - Remove"),"Unique")</f>
        <v/>
      </c>
    </row>
    <row r="136" ht="15" customHeight="1" s="11">
      <c r="A136" s="10" t="inlineStr">
        <is>
          <t>USR-100135</t>
        </is>
      </c>
      <c r="B136" s="14" t="n">
        <v>45722</v>
      </c>
      <c r="C136" s="10" t="inlineStr">
        <is>
          <t>Control</t>
        </is>
      </c>
      <c r="D136" s="10" t="inlineStr">
        <is>
          <t>North</t>
        </is>
      </c>
      <c r="E136" s="10" t="inlineStr">
        <is>
          <t>Mobile</t>
        </is>
      </c>
      <c r="F136" s="10" t="inlineStr">
        <is>
          <t>Organic</t>
        </is>
      </c>
      <c r="G136" s="10" t="inlineStr">
        <is>
          <t>Basic</t>
        </is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P136" s="10" t="n">
        <v>54.4</v>
      </c>
      <c r="Q136" s="10">
        <f>A136&amp;"|"&amp;B136&amp;"|"&amp;C136&amp;"|"&amp;D136&amp;"|"&amp;E136&amp;"|"&amp;F136&amp;"|"&amp;G136&amp;"|"&amp;H136&amp;"|"&amp;I136&amp;"|"&amp;J136&amp;"|"&amp;K136&amp;"|"&amp;L136&amp;"|"&amp;M136&amp;"|"&amp;N136&amp;"|"&amp;O136&amp;"|"&amp;P136</f>
        <v/>
      </c>
      <c r="R136" s="10">
        <f>IF(COUNTIF($Q$2:$Q$1409,Q136)&gt;1,IF(COUNTIF($Q$2:Q136,Q136)=1,"Exact Duplicate - Keep First","Exact Duplicate - Remove"),"Unique")</f>
        <v/>
      </c>
    </row>
    <row r="137" ht="15" customHeight="1" s="11">
      <c r="A137" s="10" t="inlineStr">
        <is>
          <t>USR-100136</t>
        </is>
      </c>
      <c r="B137" s="14" t="n">
        <v>45726</v>
      </c>
      <c r="C137" s="10" t="inlineStr">
        <is>
          <t>Control</t>
        </is>
      </c>
      <c r="D137" s="10" t="inlineStr">
        <is>
          <t>South</t>
        </is>
      </c>
      <c r="E137" s="10" t="inlineStr">
        <is>
          <t>Desktop</t>
        </is>
      </c>
      <c r="F137" s="10" t="inlineStr">
        <is>
          <t>Email</t>
        </is>
      </c>
      <c r="G137" s="10" t="inlineStr">
        <is>
          <t>Premium</t>
        </is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P137" s="10" t="n">
        <v>45.7</v>
      </c>
      <c r="Q137" s="10">
        <f>A137&amp;"|"&amp;B137&amp;"|"&amp;C137&amp;"|"&amp;D137&amp;"|"&amp;E137&amp;"|"&amp;F137&amp;"|"&amp;G137&amp;"|"&amp;H137&amp;"|"&amp;I137&amp;"|"&amp;J137&amp;"|"&amp;K137&amp;"|"&amp;L137&amp;"|"&amp;M137&amp;"|"&amp;N137&amp;"|"&amp;O137&amp;"|"&amp;P137</f>
        <v/>
      </c>
      <c r="R137" s="10">
        <f>IF(COUNTIF($Q$2:$Q$1409,Q137)&gt;1,IF(COUNTIF($Q$2:Q137,Q137)=1,"Exact Duplicate - Keep First","Exact Duplicate - Remove"),"Unique")</f>
        <v/>
      </c>
    </row>
    <row r="138" ht="15" customHeight="1" s="11">
      <c r="A138" s="10" t="inlineStr">
        <is>
          <t>USR-100137</t>
        </is>
      </c>
      <c r="B138" s="14" t="n">
        <v>45783</v>
      </c>
      <c r="C138" s="10" t="inlineStr">
        <is>
          <t>Control</t>
        </is>
      </c>
      <c r="D138" s="10" t="inlineStr">
        <is>
          <t>North</t>
        </is>
      </c>
      <c r="E138" s="10" t="inlineStr">
        <is>
          <t>Mobile</t>
        </is>
      </c>
      <c r="F138" s="10" t="inlineStr">
        <is>
          <t>Paid Search</t>
        </is>
      </c>
      <c r="G138" s="10" t="inlineStr">
        <is>
          <t>Free</t>
        </is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3</v>
      </c>
      <c r="N138" s="10" t="n">
        <v>0</v>
      </c>
      <c r="P138" s="10" t="n">
        <v>32</v>
      </c>
      <c r="Q138" s="10">
        <f>A138&amp;"|"&amp;B138&amp;"|"&amp;C138&amp;"|"&amp;D138&amp;"|"&amp;E138&amp;"|"&amp;F138&amp;"|"&amp;G138&amp;"|"&amp;H138&amp;"|"&amp;I138&amp;"|"&amp;J138&amp;"|"&amp;K138&amp;"|"&amp;L138&amp;"|"&amp;M138&amp;"|"&amp;N138&amp;"|"&amp;O138&amp;"|"&amp;P138</f>
        <v/>
      </c>
      <c r="R138" s="10">
        <f>IF(COUNTIF($Q$2:$Q$1409,Q138)&gt;1,IF(COUNTIF($Q$2:Q138,Q138)=1,"Exact Duplicate - Keep First","Exact Duplicate - Remove"),"Unique")</f>
        <v/>
      </c>
    </row>
    <row r="139" ht="15" customHeight="1" s="11">
      <c r="A139" s="10" t="inlineStr">
        <is>
          <t>USR-100138</t>
        </is>
      </c>
      <c r="B139" s="14" t="n">
        <v>45711</v>
      </c>
      <c r="C139" s="10" t="inlineStr">
        <is>
          <t>Control</t>
        </is>
      </c>
      <c r="D139" s="10" t="inlineStr">
        <is>
          <t>South</t>
        </is>
      </c>
      <c r="E139" s="10" t="inlineStr">
        <is>
          <t>Desktop</t>
        </is>
      </c>
      <c r="F139" s="10" t="inlineStr">
        <is>
          <t>Paid Search</t>
        </is>
      </c>
      <c r="G139" s="10" t="inlineStr">
        <is>
          <t>Free</t>
        </is>
      </c>
      <c r="H139" s="10" t="n">
        <v>1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P139" s="10" t="n">
        <v>70.90000000000001</v>
      </c>
      <c r="Q139" s="10">
        <f>A139&amp;"|"&amp;B139&amp;"|"&amp;C139&amp;"|"&amp;D139&amp;"|"&amp;E139&amp;"|"&amp;F139&amp;"|"&amp;G139&amp;"|"&amp;H139&amp;"|"&amp;I139&amp;"|"&amp;J139&amp;"|"&amp;K139&amp;"|"&amp;L139&amp;"|"&amp;M139&amp;"|"&amp;N139&amp;"|"&amp;O139&amp;"|"&amp;P139</f>
        <v/>
      </c>
      <c r="R139" s="10">
        <f>IF(COUNTIF($Q$2:$Q$1409,Q139)&gt;1,IF(COUNTIF($Q$2:Q139,Q139)=1,"Exact Duplicate - Keep First","Exact Duplicate - Remove"),"Unique")</f>
        <v/>
      </c>
    </row>
    <row r="140" ht="15" customHeight="1" s="11">
      <c r="A140" s="10" t="inlineStr">
        <is>
          <t>USR-100139</t>
        </is>
      </c>
      <c r="B140" s="14" t="n">
        <v>45686</v>
      </c>
      <c r="C140" s="10" t="inlineStr">
        <is>
          <t>Control</t>
        </is>
      </c>
      <c r="D140" s="10" t="inlineStr">
        <is>
          <t>West</t>
        </is>
      </c>
      <c r="E140" s="10" t="inlineStr">
        <is>
          <t>Mobile</t>
        </is>
      </c>
      <c r="F140" s="10" t="inlineStr">
        <is>
          <t>Social</t>
        </is>
      </c>
      <c r="G140" s="10" t="inlineStr">
        <is>
          <t>Basic</t>
        </is>
      </c>
      <c r="H140" s="10" t="n">
        <v>1</v>
      </c>
      <c r="I140" s="10" t="n">
        <v>1</v>
      </c>
      <c r="J140" s="10" t="n">
        <v>1</v>
      </c>
      <c r="K140" s="10" t="n">
        <v>0</v>
      </c>
      <c r="L140" s="10" t="n">
        <v>0</v>
      </c>
      <c r="M140" s="10" t="n">
        <v>0</v>
      </c>
      <c r="N140" s="10" t="n">
        <v>0</v>
      </c>
      <c r="P140" s="10" t="n">
        <v>59.1</v>
      </c>
      <c r="Q140" s="10">
        <f>A140&amp;"|"&amp;B140&amp;"|"&amp;C140&amp;"|"&amp;D140&amp;"|"&amp;E140&amp;"|"&amp;F140&amp;"|"&amp;G140&amp;"|"&amp;H140&amp;"|"&amp;I140&amp;"|"&amp;J140&amp;"|"&amp;K140&amp;"|"&amp;L140&amp;"|"&amp;M140&amp;"|"&amp;N140&amp;"|"&amp;O140&amp;"|"&amp;P140</f>
        <v/>
      </c>
      <c r="R140" s="10">
        <f>IF(COUNTIF($Q$2:$Q$1409,Q140)&gt;1,IF(COUNTIF($Q$2:Q140,Q140)=1,"Exact Duplicate - Keep First","Exact Duplicate - Remove"),"Unique")</f>
        <v/>
      </c>
    </row>
    <row r="141" ht="15" customHeight="1" s="11">
      <c r="A141" s="10" t="inlineStr">
        <is>
          <t>USR-100140</t>
        </is>
      </c>
      <c r="B141" s="14" t="n">
        <v>45688</v>
      </c>
      <c r="C141" s="10" t="inlineStr">
        <is>
          <t>Control</t>
        </is>
      </c>
      <c r="D141" s="10" t="inlineStr">
        <is>
          <t>North</t>
        </is>
      </c>
      <c r="E141" s="10" t="inlineStr">
        <is>
          <t>Mobile</t>
        </is>
      </c>
      <c r="F141" s="10" t="inlineStr">
        <is>
          <t>Organic</t>
        </is>
      </c>
      <c r="G141" s="10" t="inlineStr">
        <is>
          <t>Basic</t>
        </is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P141" s="10" t="n">
        <v>62.4</v>
      </c>
      <c r="Q141" s="10">
        <f>A141&amp;"|"&amp;B141&amp;"|"&amp;C141&amp;"|"&amp;D141&amp;"|"&amp;E141&amp;"|"&amp;F141&amp;"|"&amp;G141&amp;"|"&amp;H141&amp;"|"&amp;I141&amp;"|"&amp;J141&amp;"|"&amp;K141&amp;"|"&amp;L141&amp;"|"&amp;M141&amp;"|"&amp;N141&amp;"|"&amp;O141&amp;"|"&amp;P141</f>
        <v/>
      </c>
      <c r="R141" s="10">
        <f>IF(COUNTIF($Q$2:$Q$1409,Q141)&gt;1,IF(COUNTIF($Q$2:Q141,Q141)=1,"Exact Duplicate - Keep First","Exact Duplicate - Remove"),"Unique")</f>
        <v/>
      </c>
    </row>
    <row r="142" ht="15" customHeight="1" s="11">
      <c r="A142" s="10" t="inlineStr">
        <is>
          <t>USR-100141</t>
        </is>
      </c>
      <c r="B142" s="14" t="n">
        <v>45676</v>
      </c>
      <c r="C142" s="10" t="inlineStr">
        <is>
          <t>Control</t>
        </is>
      </c>
      <c r="D142" s="10" t="inlineStr">
        <is>
          <t>South</t>
        </is>
      </c>
      <c r="E142" s="10" t="inlineStr">
        <is>
          <t>Mobile</t>
        </is>
      </c>
      <c r="F142" s="10" t="inlineStr">
        <is>
          <t>Organic</t>
        </is>
      </c>
      <c r="G142" s="10" t="inlineStr">
        <is>
          <t>Free</t>
        </is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P142" s="10" t="n">
        <v>49.6</v>
      </c>
      <c r="Q142" s="10">
        <f>A142&amp;"|"&amp;B142&amp;"|"&amp;C142&amp;"|"&amp;D142&amp;"|"&amp;E142&amp;"|"&amp;F142&amp;"|"&amp;G142&amp;"|"&amp;H142&amp;"|"&amp;I142&amp;"|"&amp;J142&amp;"|"&amp;K142&amp;"|"&amp;L142&amp;"|"&amp;M142&amp;"|"&amp;N142&amp;"|"&amp;O142&amp;"|"&amp;P142</f>
        <v/>
      </c>
      <c r="R142" s="10">
        <f>IF(COUNTIF($Q$2:$Q$1409,Q142)&gt;1,IF(COUNTIF($Q$2:Q142,Q142)=1,"Exact Duplicate - Keep First","Exact Duplicate - Remove"),"Unique")</f>
        <v/>
      </c>
    </row>
    <row r="143" ht="15" customHeight="1" s="11">
      <c r="A143" s="10" t="inlineStr">
        <is>
          <t>USR-100142</t>
        </is>
      </c>
      <c r="B143" s="14" t="n">
        <v>45750</v>
      </c>
      <c r="C143" s="10" t="inlineStr">
        <is>
          <t>Control</t>
        </is>
      </c>
      <c r="D143" s="10" t="inlineStr">
        <is>
          <t>West</t>
        </is>
      </c>
      <c r="E143" s="10" t="inlineStr">
        <is>
          <t>Desktop</t>
        </is>
      </c>
      <c r="F143" s="10" t="inlineStr">
        <is>
          <t>Social</t>
        </is>
      </c>
      <c r="G143" s="10" t="inlineStr">
        <is>
          <t>Free</t>
        </is>
      </c>
      <c r="H143" s="10" t="n">
        <v>1</v>
      </c>
      <c r="I143" s="10" t="n">
        <v>1</v>
      </c>
      <c r="J143" s="10" t="n">
        <v>1</v>
      </c>
      <c r="K143" s="10" t="n">
        <v>1</v>
      </c>
      <c r="L143" s="10" t="n">
        <v>404.4</v>
      </c>
      <c r="M143" s="10" t="n">
        <v>0</v>
      </c>
      <c r="N143" s="10" t="n">
        <v>0</v>
      </c>
      <c r="O143" s="10" t="n">
        <v>9</v>
      </c>
      <c r="P143" s="10" t="n">
        <v>80.59999999999999</v>
      </c>
      <c r="Q143" s="10">
        <f>A143&amp;"|"&amp;B143&amp;"|"&amp;C143&amp;"|"&amp;D143&amp;"|"&amp;E143&amp;"|"&amp;F143&amp;"|"&amp;G143&amp;"|"&amp;H143&amp;"|"&amp;I143&amp;"|"&amp;J143&amp;"|"&amp;K143&amp;"|"&amp;L143&amp;"|"&amp;M143&amp;"|"&amp;N143&amp;"|"&amp;O143&amp;"|"&amp;P143</f>
        <v/>
      </c>
      <c r="R143" s="10">
        <f>IF(COUNTIF($Q$2:$Q$1409,Q143)&gt;1,IF(COUNTIF($Q$2:Q143,Q143)=1,"Exact Duplicate - Keep First","Exact Duplicate - Remove"),"Unique")</f>
        <v/>
      </c>
    </row>
    <row r="144" ht="15" customHeight="1" s="11">
      <c r="A144" s="10" t="inlineStr">
        <is>
          <t>USR-100143</t>
        </is>
      </c>
      <c r="B144" s="14" t="n">
        <v>45754</v>
      </c>
      <c r="C144" s="10" t="inlineStr">
        <is>
          <t>Control</t>
        </is>
      </c>
      <c r="D144" s="10" t="inlineStr">
        <is>
          <t>North</t>
        </is>
      </c>
      <c r="E144" s="10" t="inlineStr">
        <is>
          <t>Mobile</t>
        </is>
      </c>
      <c r="F144" s="10" t="inlineStr">
        <is>
          <t>Paid Search</t>
        </is>
      </c>
      <c r="G144" s="10" t="inlineStr">
        <is>
          <t>Free</t>
        </is>
      </c>
      <c r="H144" s="10" t="n">
        <v>1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P144" s="10" t="n">
        <v>47.9</v>
      </c>
      <c r="Q144" s="10">
        <f>A144&amp;"|"&amp;B144&amp;"|"&amp;C144&amp;"|"&amp;D144&amp;"|"&amp;E144&amp;"|"&amp;F144&amp;"|"&amp;G144&amp;"|"&amp;H144&amp;"|"&amp;I144&amp;"|"&amp;J144&amp;"|"&amp;K144&amp;"|"&amp;L144&amp;"|"&amp;M144&amp;"|"&amp;N144&amp;"|"&amp;O144&amp;"|"&amp;P144</f>
        <v/>
      </c>
      <c r="R144" s="10">
        <f>IF(COUNTIF($Q$2:$Q$1409,Q144)&gt;1,IF(COUNTIF($Q$2:Q144,Q144)=1,"Exact Duplicate - Keep First","Exact Duplicate - Remove"),"Unique")</f>
        <v/>
      </c>
    </row>
    <row r="145" ht="15" customHeight="1" s="11">
      <c r="A145" s="10" t="inlineStr">
        <is>
          <t>USR-100144</t>
        </is>
      </c>
      <c r="B145" s="14" t="n">
        <v>45663</v>
      </c>
      <c r="C145" s="10" t="inlineStr">
        <is>
          <t>Control</t>
        </is>
      </c>
      <c r="D145" s="10" t="inlineStr">
        <is>
          <t>East</t>
        </is>
      </c>
      <c r="E145" s="10" t="inlineStr">
        <is>
          <t>Mobile</t>
        </is>
      </c>
      <c r="F145" s="10" t="inlineStr">
        <is>
          <t>Paid Search</t>
        </is>
      </c>
      <c r="G145" s="10" t="inlineStr">
        <is>
          <t>Basic</t>
        </is>
      </c>
      <c r="H145" s="10" t="n">
        <v>1</v>
      </c>
      <c r="I145" s="10" t="n">
        <v>1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P145" s="10" t="n">
        <v>54.8</v>
      </c>
      <c r="Q145" s="10">
        <f>A145&amp;"|"&amp;B145&amp;"|"&amp;C145&amp;"|"&amp;D145&amp;"|"&amp;E145&amp;"|"&amp;F145&amp;"|"&amp;G145&amp;"|"&amp;H145&amp;"|"&amp;I145&amp;"|"&amp;J145&amp;"|"&amp;K145&amp;"|"&amp;L145&amp;"|"&amp;M145&amp;"|"&amp;N145&amp;"|"&amp;O145&amp;"|"&amp;P145</f>
        <v/>
      </c>
      <c r="R145" s="10">
        <f>IF(COUNTIF($Q$2:$Q$1409,Q145)&gt;1,IF(COUNTIF($Q$2:Q145,Q145)=1,"Exact Duplicate - Keep First","Exact Duplicate - Remove"),"Unique")</f>
        <v/>
      </c>
    </row>
    <row r="146" ht="15" customHeight="1" s="11">
      <c r="A146" s="10" t="inlineStr">
        <is>
          <t>USR-100145</t>
        </is>
      </c>
      <c r="B146" s="14" t="n">
        <v>45758</v>
      </c>
      <c r="C146" s="10" t="inlineStr">
        <is>
          <t>Control</t>
        </is>
      </c>
      <c r="D146" s="10" t="inlineStr">
        <is>
          <t>East</t>
        </is>
      </c>
      <c r="E146" s="10" t="inlineStr">
        <is>
          <t>Mobile</t>
        </is>
      </c>
      <c r="F146" s="10" t="inlineStr">
        <is>
          <t>Organic</t>
        </is>
      </c>
      <c r="G146" s="10" t="inlineStr">
        <is>
          <t>Free</t>
        </is>
      </c>
      <c r="H146" s="10" t="n">
        <v>1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1</v>
      </c>
      <c r="N146" s="10" t="n">
        <v>0</v>
      </c>
      <c r="P146" s="10" t="n">
        <v>53.9</v>
      </c>
      <c r="Q146" s="10">
        <f>A146&amp;"|"&amp;B146&amp;"|"&amp;C146&amp;"|"&amp;D146&amp;"|"&amp;E146&amp;"|"&amp;F146&amp;"|"&amp;G146&amp;"|"&amp;H146&amp;"|"&amp;I146&amp;"|"&amp;J146&amp;"|"&amp;K146&amp;"|"&amp;L146&amp;"|"&amp;M146&amp;"|"&amp;N146&amp;"|"&amp;O146&amp;"|"&amp;P146</f>
        <v/>
      </c>
      <c r="R146" s="10">
        <f>IF(COUNTIF($Q$2:$Q$1409,Q146)&gt;1,IF(COUNTIF($Q$2:Q146,Q146)=1,"Exact Duplicate - Keep First","Exact Duplicate - Remove"),"Unique")</f>
        <v/>
      </c>
    </row>
    <row r="147" ht="15" customHeight="1" s="11">
      <c r="A147" s="10" t="inlineStr">
        <is>
          <t>USR-100146</t>
        </is>
      </c>
      <c r="B147" s="14" t="n">
        <v>45770</v>
      </c>
      <c r="C147" s="10" t="inlineStr">
        <is>
          <t>Control</t>
        </is>
      </c>
      <c r="D147" s="10" t="inlineStr">
        <is>
          <t>East</t>
        </is>
      </c>
      <c r="E147" s="10" t="inlineStr">
        <is>
          <t>Mobile</t>
        </is>
      </c>
      <c r="F147" s="10" t="inlineStr">
        <is>
          <t>Paid Search</t>
        </is>
      </c>
      <c r="G147" s="10" t="inlineStr">
        <is>
          <t>Free</t>
        </is>
      </c>
      <c r="H147" s="10" t="n">
        <v>1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P147" s="10" t="n">
        <v>41.3</v>
      </c>
      <c r="Q147" s="10">
        <f>A147&amp;"|"&amp;B147&amp;"|"&amp;C147&amp;"|"&amp;D147&amp;"|"&amp;E147&amp;"|"&amp;F147&amp;"|"&amp;G147&amp;"|"&amp;H147&amp;"|"&amp;I147&amp;"|"&amp;J147&amp;"|"&amp;K147&amp;"|"&amp;L147&amp;"|"&amp;M147&amp;"|"&amp;N147&amp;"|"&amp;O147&amp;"|"&amp;P147</f>
        <v/>
      </c>
      <c r="R147" s="10">
        <f>IF(COUNTIF($Q$2:$Q$1409,Q147)&gt;1,IF(COUNTIF($Q$2:Q147,Q147)=1,"Exact Duplicate - Keep First","Exact Duplicate - Remove"),"Unique")</f>
        <v/>
      </c>
    </row>
    <row r="148" ht="15" customHeight="1" s="11">
      <c r="A148" s="10" t="inlineStr">
        <is>
          <t>USR-100147</t>
        </is>
      </c>
      <c r="B148" s="14" t="n">
        <v>45741</v>
      </c>
      <c r="C148" s="10" t="inlineStr">
        <is>
          <t>Control</t>
        </is>
      </c>
      <c r="D148" s="10" t="inlineStr">
        <is>
          <t>West</t>
        </is>
      </c>
      <c r="E148" s="10" t="inlineStr">
        <is>
          <t>Mobile</t>
        </is>
      </c>
      <c r="F148" s="10" t="inlineStr">
        <is>
          <t>Organic</t>
        </is>
      </c>
      <c r="G148" s="10" t="inlineStr">
        <is>
          <t>Basic</t>
        </is>
      </c>
      <c r="H148" s="10" t="n">
        <v>1</v>
      </c>
      <c r="I148" s="10" t="n">
        <v>1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P148" s="10" t="n">
        <v>38.9</v>
      </c>
      <c r="Q148" s="10">
        <f>A148&amp;"|"&amp;B148&amp;"|"&amp;C148&amp;"|"&amp;D148&amp;"|"&amp;E148&amp;"|"&amp;F148&amp;"|"&amp;G148&amp;"|"&amp;H148&amp;"|"&amp;I148&amp;"|"&amp;J148&amp;"|"&amp;K148&amp;"|"&amp;L148&amp;"|"&amp;M148&amp;"|"&amp;N148&amp;"|"&amp;O148&amp;"|"&amp;P148</f>
        <v/>
      </c>
      <c r="R148" s="10">
        <f>IF(COUNTIF($Q$2:$Q$1409,Q148)&gt;1,IF(COUNTIF($Q$2:Q148,Q148)=1,"Exact Duplicate - Keep First","Exact Duplicate - Remove"),"Unique")</f>
        <v/>
      </c>
    </row>
    <row r="149" ht="15" customHeight="1" s="11">
      <c r="A149" s="10" t="inlineStr">
        <is>
          <t>USR-100148</t>
        </is>
      </c>
      <c r="B149" s="14" t="n">
        <v>45802</v>
      </c>
      <c r="C149" s="10" t="inlineStr">
        <is>
          <t>Control</t>
        </is>
      </c>
      <c r="D149" s="10" t="inlineStr">
        <is>
          <t>South</t>
        </is>
      </c>
      <c r="E149" s="10" t="inlineStr">
        <is>
          <t>Desktop</t>
        </is>
      </c>
      <c r="F149" s="10" t="inlineStr">
        <is>
          <t>Organic</t>
        </is>
      </c>
      <c r="G149" s="10" t="inlineStr">
        <is>
          <t>Basic</t>
        </is>
      </c>
      <c r="H149" s="10" t="n">
        <v>1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P149" s="10" t="n">
        <v>63.6</v>
      </c>
      <c r="Q149" s="10">
        <f>A149&amp;"|"&amp;B149&amp;"|"&amp;C149&amp;"|"&amp;D149&amp;"|"&amp;E149&amp;"|"&amp;F149&amp;"|"&amp;G149&amp;"|"&amp;H149&amp;"|"&amp;I149&amp;"|"&amp;J149&amp;"|"&amp;K149&amp;"|"&amp;L149&amp;"|"&amp;M149&amp;"|"&amp;N149&amp;"|"&amp;O149&amp;"|"&amp;P149</f>
        <v/>
      </c>
      <c r="R149" s="10">
        <f>IF(COUNTIF($Q$2:$Q$1409,Q149)&gt;1,IF(COUNTIF($Q$2:Q149,Q149)=1,"Exact Duplicate - Keep First","Exact Duplicate - Remove"),"Unique")</f>
        <v/>
      </c>
    </row>
    <row r="150" ht="15" customHeight="1" s="11">
      <c r="A150" s="10" t="inlineStr">
        <is>
          <t>USR-100149</t>
        </is>
      </c>
      <c r="B150" s="14" t="n">
        <v>45685</v>
      </c>
      <c r="C150" s="10" t="inlineStr">
        <is>
          <t>Control</t>
        </is>
      </c>
      <c r="D150" s="10" t="inlineStr">
        <is>
          <t>North</t>
        </is>
      </c>
      <c r="E150" s="10" t="inlineStr">
        <is>
          <t>Mobile</t>
        </is>
      </c>
      <c r="F150" s="10" t="inlineStr">
        <is>
          <t>Organic</t>
        </is>
      </c>
      <c r="G150" s="10" t="inlineStr">
        <is>
          <t>Free</t>
        </is>
      </c>
      <c r="H150" s="10" t="n">
        <v>1</v>
      </c>
      <c r="I150" s="10" t="n">
        <v>1</v>
      </c>
      <c r="J150" s="10" t="n">
        <v>1</v>
      </c>
      <c r="K150" s="10" t="n">
        <v>1</v>
      </c>
      <c r="L150" s="10" t="n">
        <v>577.9400000000001</v>
      </c>
      <c r="M150" s="10" t="n">
        <v>0</v>
      </c>
      <c r="N150" s="10" t="n">
        <v>0</v>
      </c>
      <c r="O150" s="10" t="n">
        <v>9</v>
      </c>
      <c r="P150" s="10" t="n">
        <v>76.59999999999999</v>
      </c>
      <c r="Q150" s="10">
        <f>A150&amp;"|"&amp;B150&amp;"|"&amp;C150&amp;"|"&amp;D150&amp;"|"&amp;E150&amp;"|"&amp;F150&amp;"|"&amp;G150&amp;"|"&amp;H150&amp;"|"&amp;I150&amp;"|"&amp;J150&amp;"|"&amp;K150&amp;"|"&amp;L150&amp;"|"&amp;M150&amp;"|"&amp;N150&amp;"|"&amp;O150&amp;"|"&amp;P150</f>
        <v/>
      </c>
      <c r="R150" s="10">
        <f>IF(COUNTIF($Q$2:$Q$1409,Q150)&gt;1,IF(COUNTIF($Q$2:Q150,Q150)=1,"Exact Duplicate - Keep First","Exact Duplicate - Remove"),"Unique")</f>
        <v/>
      </c>
    </row>
    <row r="151" ht="15" customHeight="1" s="11">
      <c r="A151" s="10" t="inlineStr">
        <is>
          <t>USR-100150</t>
        </is>
      </c>
      <c r="B151" s="14" t="n">
        <v>45700</v>
      </c>
      <c r="C151" s="10" t="inlineStr">
        <is>
          <t>Control</t>
        </is>
      </c>
      <c r="D151" s="10" t="inlineStr">
        <is>
          <t>West</t>
        </is>
      </c>
      <c r="E151" s="10" t="inlineStr">
        <is>
          <t>Mobile</t>
        </is>
      </c>
      <c r="F151" s="10" t="inlineStr">
        <is>
          <t>Paid Search</t>
        </is>
      </c>
      <c r="G151" s="10" t="inlineStr">
        <is>
          <t>Premium</t>
        </is>
      </c>
      <c r="H151" s="10" t="n">
        <v>0</v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1</v>
      </c>
      <c r="N151" s="10" t="n">
        <v>0</v>
      </c>
      <c r="P151" s="10" t="n">
        <v>67.59999999999999</v>
      </c>
      <c r="Q151" s="10">
        <f>A151&amp;"|"&amp;B151&amp;"|"&amp;C151&amp;"|"&amp;D151&amp;"|"&amp;E151&amp;"|"&amp;F151&amp;"|"&amp;G151&amp;"|"&amp;H151&amp;"|"&amp;I151&amp;"|"&amp;J151&amp;"|"&amp;K151&amp;"|"&amp;L151&amp;"|"&amp;M151&amp;"|"&amp;N151&amp;"|"&amp;O151&amp;"|"&amp;P151</f>
        <v/>
      </c>
      <c r="R151" s="10">
        <f>IF(COUNTIF($Q$2:$Q$1409,Q151)&gt;1,IF(COUNTIF($Q$2:Q151,Q151)=1,"Exact Duplicate - Keep First","Exact Duplicate - Remove"),"Unique")</f>
        <v/>
      </c>
    </row>
    <row r="152" ht="15" customHeight="1" s="11">
      <c r="A152" s="10" t="inlineStr">
        <is>
          <t>USR-100151</t>
        </is>
      </c>
      <c r="B152" s="14" t="n">
        <v>45776</v>
      </c>
      <c r="C152" s="10" t="inlineStr">
        <is>
          <t>Control</t>
        </is>
      </c>
      <c r="D152" s="10" t="inlineStr">
        <is>
          <t>North</t>
        </is>
      </c>
      <c r="E152" s="10" t="inlineStr">
        <is>
          <t>Mobile</t>
        </is>
      </c>
      <c r="F152" s="10" t="inlineStr">
        <is>
          <t>Social</t>
        </is>
      </c>
      <c r="G152" s="10" t="inlineStr">
        <is>
          <t>Premium</t>
        </is>
      </c>
      <c r="H152" s="10" t="n">
        <v>1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P152" s="10" t="n">
        <v>43.1</v>
      </c>
      <c r="Q152" s="10">
        <f>A152&amp;"|"&amp;B152&amp;"|"&amp;C152&amp;"|"&amp;D152&amp;"|"&amp;E152&amp;"|"&amp;F152&amp;"|"&amp;G152&amp;"|"&amp;H152&amp;"|"&amp;I152&amp;"|"&amp;J152&amp;"|"&amp;K152&amp;"|"&amp;L152&amp;"|"&amp;M152&amp;"|"&amp;N152&amp;"|"&amp;O152&amp;"|"&amp;P152</f>
        <v/>
      </c>
      <c r="R152" s="10">
        <f>IF(COUNTIF($Q$2:$Q$1409,Q152)&gt;1,IF(COUNTIF($Q$2:Q152,Q152)=1,"Exact Duplicate - Keep First","Exact Duplicate - Remove"),"Unique")</f>
        <v/>
      </c>
    </row>
    <row r="153" ht="15" customHeight="1" s="11">
      <c r="A153" s="10" t="inlineStr">
        <is>
          <t>USR-100152</t>
        </is>
      </c>
      <c r="B153" s="14" t="n">
        <v>45729</v>
      </c>
      <c r="C153" s="10" t="inlineStr">
        <is>
          <t>Control</t>
        </is>
      </c>
      <c r="D153" s="10" t="inlineStr">
        <is>
          <t>South</t>
        </is>
      </c>
      <c r="E153" s="10" t="inlineStr">
        <is>
          <t>Mobile</t>
        </is>
      </c>
      <c r="F153" s="10" t="inlineStr">
        <is>
          <t>Email</t>
        </is>
      </c>
      <c r="G153" s="10" t="inlineStr">
        <is>
          <t>Free</t>
        </is>
      </c>
      <c r="H153" s="10" t="n">
        <v>1</v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  <c r="N153" s="10" t="n">
        <v>0</v>
      </c>
      <c r="P153" s="10" t="n">
        <v>58.3</v>
      </c>
      <c r="Q153" s="10">
        <f>A153&amp;"|"&amp;B153&amp;"|"&amp;C153&amp;"|"&amp;D153&amp;"|"&amp;E153&amp;"|"&amp;F153&amp;"|"&amp;G153&amp;"|"&amp;H153&amp;"|"&amp;I153&amp;"|"&amp;J153&amp;"|"&amp;K153&amp;"|"&amp;L153&amp;"|"&amp;M153&amp;"|"&amp;N153&amp;"|"&amp;O153&amp;"|"&amp;P153</f>
        <v/>
      </c>
      <c r="R153" s="10">
        <f>IF(COUNTIF($Q$2:$Q$1409,Q153)&gt;1,IF(COUNTIF($Q$2:Q153,Q153)=1,"Exact Duplicate - Keep First","Exact Duplicate - Remove"),"Unique")</f>
        <v/>
      </c>
    </row>
    <row r="154" ht="15" customHeight="1" s="11">
      <c r="A154" s="10" t="inlineStr">
        <is>
          <t>USR-100153</t>
        </is>
      </c>
      <c r="B154" s="14" t="n">
        <v>45692</v>
      </c>
      <c r="C154" s="10" t="inlineStr">
        <is>
          <t>Control</t>
        </is>
      </c>
      <c r="D154" s="10" t="inlineStr">
        <is>
          <t>East</t>
        </is>
      </c>
      <c r="E154" s="10" t="inlineStr">
        <is>
          <t>Desktop</t>
        </is>
      </c>
      <c r="F154" s="10" t="inlineStr">
        <is>
          <t>Paid Search</t>
        </is>
      </c>
      <c r="G154" s="10" t="inlineStr">
        <is>
          <t>Free</t>
        </is>
      </c>
      <c r="H154" s="10" t="n">
        <v>1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P154" s="10" t="n">
        <v>69.8</v>
      </c>
      <c r="Q154" s="10">
        <f>A154&amp;"|"&amp;B154&amp;"|"&amp;C154&amp;"|"&amp;D154&amp;"|"&amp;E154&amp;"|"&amp;F154&amp;"|"&amp;G154&amp;"|"&amp;H154&amp;"|"&amp;I154&amp;"|"&amp;J154&amp;"|"&amp;K154&amp;"|"&amp;L154&amp;"|"&amp;M154&amp;"|"&amp;N154&amp;"|"&amp;O154&amp;"|"&amp;P154</f>
        <v/>
      </c>
      <c r="R154" s="10">
        <f>IF(COUNTIF($Q$2:$Q$1409,Q154)&gt;1,IF(COUNTIF($Q$2:Q154,Q154)=1,"Exact Duplicate - Keep First","Exact Duplicate - Remove"),"Unique")</f>
        <v/>
      </c>
    </row>
    <row r="155" ht="15" customHeight="1" s="11">
      <c r="A155" s="10" t="inlineStr">
        <is>
          <t>USR-100154</t>
        </is>
      </c>
      <c r="B155" s="14" t="n">
        <v>45720</v>
      </c>
      <c r="C155" s="10" t="inlineStr">
        <is>
          <t>Control</t>
        </is>
      </c>
      <c r="D155" s="10" t="inlineStr">
        <is>
          <t>South</t>
        </is>
      </c>
      <c r="E155" s="10" t="inlineStr">
        <is>
          <t>Mobile</t>
        </is>
      </c>
      <c r="F155" s="10" t="inlineStr">
        <is>
          <t>Referral</t>
        </is>
      </c>
      <c r="G155" s="10" t="inlineStr">
        <is>
          <t>Free</t>
        </is>
      </c>
      <c r="H155" s="10" t="n">
        <v>1</v>
      </c>
      <c r="I155" s="10" t="n">
        <v>1</v>
      </c>
      <c r="J155" s="10" t="n">
        <v>0</v>
      </c>
      <c r="K155" s="10" t="n">
        <v>0</v>
      </c>
      <c r="L155" s="10" t="n">
        <v>0</v>
      </c>
      <c r="M155" s="10" t="n">
        <v>0</v>
      </c>
      <c r="N155" s="10" t="n">
        <v>0</v>
      </c>
      <c r="Q155" s="10">
        <f>A155&amp;"|"&amp;B155&amp;"|"&amp;C155&amp;"|"&amp;D155&amp;"|"&amp;E155&amp;"|"&amp;F155&amp;"|"&amp;G155&amp;"|"&amp;H155&amp;"|"&amp;I155&amp;"|"&amp;J155&amp;"|"&amp;K155&amp;"|"&amp;L155&amp;"|"&amp;M155&amp;"|"&amp;N155&amp;"|"&amp;O155&amp;"|"&amp;P155</f>
        <v/>
      </c>
      <c r="R155" s="10">
        <f>IF(COUNTIF($Q$2:$Q$1409,Q155)&gt;1,IF(COUNTIF($Q$2:Q155,Q155)=1,"Exact Duplicate - Keep First","Exact Duplicate - Remove"),"Unique")</f>
        <v/>
      </c>
    </row>
    <row r="156" ht="15" customHeight="1" s="11">
      <c r="A156" s="10" t="inlineStr">
        <is>
          <t>USR-100155</t>
        </is>
      </c>
      <c r="B156" s="14" t="n">
        <v>45692</v>
      </c>
      <c r="C156" s="10" t="inlineStr">
        <is>
          <t>Control</t>
        </is>
      </c>
      <c r="D156" s="10" t="inlineStr">
        <is>
          <t>West</t>
        </is>
      </c>
      <c r="E156" s="10" t="inlineStr">
        <is>
          <t>Mobile</t>
        </is>
      </c>
      <c r="F156" s="10" t="inlineStr">
        <is>
          <t>Paid Search</t>
        </is>
      </c>
      <c r="G156" s="10" t="inlineStr">
        <is>
          <t>Basic</t>
        </is>
      </c>
      <c r="H156" s="10" t="n">
        <v>1</v>
      </c>
      <c r="I156" s="10" t="n">
        <v>1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P156" s="10" t="n">
        <v>41.9</v>
      </c>
      <c r="Q156" s="10">
        <f>A156&amp;"|"&amp;B156&amp;"|"&amp;C156&amp;"|"&amp;D156&amp;"|"&amp;E156&amp;"|"&amp;F156&amp;"|"&amp;G156&amp;"|"&amp;H156&amp;"|"&amp;I156&amp;"|"&amp;J156&amp;"|"&amp;K156&amp;"|"&amp;L156&amp;"|"&amp;M156&amp;"|"&amp;N156&amp;"|"&amp;O156&amp;"|"&amp;P156</f>
        <v/>
      </c>
      <c r="R156" s="10">
        <f>IF(COUNTIF($Q$2:$Q$1409,Q156)&gt;1,IF(COUNTIF($Q$2:Q156,Q156)=1,"Exact Duplicate - Keep First","Exact Duplicate - Remove"),"Unique")</f>
        <v/>
      </c>
    </row>
    <row r="157" ht="15" customHeight="1" s="11">
      <c r="A157" s="10" t="inlineStr">
        <is>
          <t>USR-100156</t>
        </is>
      </c>
      <c r="B157" s="14" t="n">
        <v>45727</v>
      </c>
      <c r="C157" s="10" t="inlineStr">
        <is>
          <t>Control</t>
        </is>
      </c>
      <c r="D157" s="10" t="inlineStr">
        <is>
          <t>North</t>
        </is>
      </c>
      <c r="E157" s="10" t="inlineStr">
        <is>
          <t>Desktop</t>
        </is>
      </c>
      <c r="F157" s="10" t="inlineStr">
        <is>
          <t>Organic</t>
        </is>
      </c>
      <c r="G157" s="10" t="inlineStr">
        <is>
          <t>Free</t>
        </is>
      </c>
      <c r="H157" s="10" t="n">
        <v>0</v>
      </c>
      <c r="I157" s="10" t="n">
        <v>0</v>
      </c>
      <c r="J157" s="10" t="n">
        <v>0</v>
      </c>
      <c r="K157" s="10" t="n">
        <v>0</v>
      </c>
      <c r="L157" s="10" t="n">
        <v>0</v>
      </c>
      <c r="M157" s="10" t="n">
        <v>0</v>
      </c>
      <c r="N157" s="10" t="n">
        <v>0</v>
      </c>
      <c r="P157" s="10" t="n">
        <v>33.1</v>
      </c>
      <c r="Q157" s="10">
        <f>A157&amp;"|"&amp;B157&amp;"|"&amp;C157&amp;"|"&amp;D157&amp;"|"&amp;E157&amp;"|"&amp;F157&amp;"|"&amp;G157&amp;"|"&amp;H157&amp;"|"&amp;I157&amp;"|"&amp;J157&amp;"|"&amp;K157&amp;"|"&amp;L157&amp;"|"&amp;M157&amp;"|"&amp;N157&amp;"|"&amp;O157&amp;"|"&amp;P157</f>
        <v/>
      </c>
      <c r="R157" s="10">
        <f>IF(COUNTIF($Q$2:$Q$1409,Q157)&gt;1,IF(COUNTIF($Q$2:Q157,Q157)=1,"Exact Duplicate - Keep First","Exact Duplicate - Remove"),"Unique")</f>
        <v/>
      </c>
    </row>
    <row r="158" ht="15" customHeight="1" s="11">
      <c r="A158" s="10" t="inlineStr">
        <is>
          <t>USR-100157</t>
        </is>
      </c>
      <c r="B158" s="14" t="n">
        <v>45769</v>
      </c>
      <c r="C158" s="10" t="inlineStr">
        <is>
          <t>Control</t>
        </is>
      </c>
      <c r="D158" s="10" t="inlineStr">
        <is>
          <t>West</t>
        </is>
      </c>
      <c r="E158" s="10" t="inlineStr">
        <is>
          <t>Mobile</t>
        </is>
      </c>
      <c r="F158" s="10" t="inlineStr">
        <is>
          <t>Organic</t>
        </is>
      </c>
      <c r="G158" s="10" t="inlineStr">
        <is>
          <t>Free</t>
        </is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P158" s="10" t="n">
        <v>58.6</v>
      </c>
      <c r="Q158" s="10">
        <f>A158&amp;"|"&amp;B158&amp;"|"&amp;C158&amp;"|"&amp;D158&amp;"|"&amp;E158&amp;"|"&amp;F158&amp;"|"&amp;G158&amp;"|"&amp;H158&amp;"|"&amp;I158&amp;"|"&amp;J158&amp;"|"&amp;K158&amp;"|"&amp;L158&amp;"|"&amp;M158&amp;"|"&amp;N158&amp;"|"&amp;O158&amp;"|"&amp;P158</f>
        <v/>
      </c>
      <c r="R158" s="10">
        <f>IF(COUNTIF($Q$2:$Q$1409,Q158)&gt;1,IF(COUNTIF($Q$2:Q158,Q158)=1,"Exact Duplicate - Keep First","Exact Duplicate - Remove"),"Unique")</f>
        <v/>
      </c>
    </row>
    <row r="159" ht="15" customHeight="1" s="11">
      <c r="A159" s="10" t="inlineStr">
        <is>
          <t>USR-100158</t>
        </is>
      </c>
      <c r="B159" s="14" t="n">
        <v>45724</v>
      </c>
      <c r="C159" s="10" t="inlineStr">
        <is>
          <t>Control</t>
        </is>
      </c>
      <c r="D159" s="10" t="inlineStr">
        <is>
          <t>North</t>
        </is>
      </c>
      <c r="E159" s="10" t="inlineStr">
        <is>
          <t>Desktop</t>
        </is>
      </c>
      <c r="F159" s="10" t="inlineStr">
        <is>
          <t>Paid Search</t>
        </is>
      </c>
      <c r="G159" s="10" t="inlineStr">
        <is>
          <t>Free</t>
        </is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v>0</v>
      </c>
      <c r="P159" s="10" t="n">
        <v>55.7</v>
      </c>
      <c r="Q159" s="10">
        <f>A159&amp;"|"&amp;B159&amp;"|"&amp;C159&amp;"|"&amp;D159&amp;"|"&amp;E159&amp;"|"&amp;F159&amp;"|"&amp;G159&amp;"|"&amp;H159&amp;"|"&amp;I159&amp;"|"&amp;J159&amp;"|"&amp;K159&amp;"|"&amp;L159&amp;"|"&amp;M159&amp;"|"&amp;N159&amp;"|"&amp;O159&amp;"|"&amp;P159</f>
        <v/>
      </c>
      <c r="R159" s="10">
        <f>IF(COUNTIF($Q$2:$Q$1409,Q159)&gt;1,IF(COUNTIF($Q$2:Q159,Q159)=1,"Exact Duplicate - Keep First","Exact Duplicate - Remove"),"Unique")</f>
        <v/>
      </c>
    </row>
    <row r="160" ht="15" customHeight="1" s="11">
      <c r="A160" s="10" t="inlineStr">
        <is>
          <t>USR-100159</t>
        </is>
      </c>
      <c r="B160" s="14" t="n">
        <v>45726</v>
      </c>
      <c r="C160" s="10" t="inlineStr">
        <is>
          <t>Control</t>
        </is>
      </c>
      <c r="D160" s="10" t="inlineStr">
        <is>
          <t>East</t>
        </is>
      </c>
      <c r="E160" s="10" t="inlineStr">
        <is>
          <t>Mobile</t>
        </is>
      </c>
      <c r="F160" s="10" t="inlineStr">
        <is>
          <t>Organic</t>
        </is>
      </c>
      <c r="G160" s="10" t="inlineStr">
        <is>
          <t>Free</t>
        </is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2</v>
      </c>
      <c r="N160" s="10" t="n">
        <v>0</v>
      </c>
      <c r="P160" s="10" t="n">
        <v>64.90000000000001</v>
      </c>
      <c r="Q160" s="10">
        <f>A160&amp;"|"&amp;B160&amp;"|"&amp;C160&amp;"|"&amp;D160&amp;"|"&amp;E160&amp;"|"&amp;F160&amp;"|"&amp;G160&amp;"|"&amp;H160&amp;"|"&amp;I160&amp;"|"&amp;J160&amp;"|"&amp;K160&amp;"|"&amp;L160&amp;"|"&amp;M160&amp;"|"&amp;N160&amp;"|"&amp;O160&amp;"|"&amp;P160</f>
        <v/>
      </c>
      <c r="R160" s="10">
        <f>IF(COUNTIF($Q$2:$Q$1409,Q160)&gt;1,IF(COUNTIF($Q$2:Q160,Q160)=1,"Exact Duplicate - Keep First","Exact Duplicate - Remove"),"Unique")</f>
        <v/>
      </c>
    </row>
    <row r="161" ht="15" customHeight="1" s="11">
      <c r="A161" s="10" t="inlineStr">
        <is>
          <t>USR-100160</t>
        </is>
      </c>
      <c r="B161" s="14" t="n">
        <v>45795</v>
      </c>
      <c r="C161" s="10" t="inlineStr">
        <is>
          <t>Control</t>
        </is>
      </c>
      <c r="D161" s="10" t="inlineStr">
        <is>
          <t>North</t>
        </is>
      </c>
      <c r="E161" s="10" t="inlineStr">
        <is>
          <t>Desktop</t>
        </is>
      </c>
      <c r="F161" s="10" t="inlineStr">
        <is>
          <t>Paid Search</t>
        </is>
      </c>
      <c r="G161" s="10" t="inlineStr">
        <is>
          <t>Basic</t>
        </is>
      </c>
      <c r="H161" s="10" t="n">
        <v>0</v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  <c r="N161" s="10" t="n">
        <v>0</v>
      </c>
      <c r="P161" s="10" t="n">
        <v>72.3</v>
      </c>
      <c r="Q161" s="10">
        <f>A161&amp;"|"&amp;B161&amp;"|"&amp;C161&amp;"|"&amp;D161&amp;"|"&amp;E161&amp;"|"&amp;F161&amp;"|"&amp;G161&amp;"|"&amp;H161&amp;"|"&amp;I161&amp;"|"&amp;J161&amp;"|"&amp;K161&amp;"|"&amp;L161&amp;"|"&amp;M161&amp;"|"&amp;N161&amp;"|"&amp;O161&amp;"|"&amp;P161</f>
        <v/>
      </c>
      <c r="R161" s="10">
        <f>IF(COUNTIF($Q$2:$Q$1409,Q161)&gt;1,IF(COUNTIF($Q$2:Q161,Q161)=1,"Exact Duplicate - Keep First","Exact Duplicate - Remove"),"Unique")</f>
        <v/>
      </c>
    </row>
    <row r="162" ht="15" customHeight="1" s="11">
      <c r="A162" s="10" t="inlineStr">
        <is>
          <t>USR-100161</t>
        </is>
      </c>
      <c r="B162" s="14" t="n">
        <v>45791</v>
      </c>
      <c r="C162" s="10" t="inlineStr">
        <is>
          <t>Control</t>
        </is>
      </c>
      <c r="D162" s="10" t="inlineStr">
        <is>
          <t>North</t>
        </is>
      </c>
      <c r="E162" s="10" t="inlineStr">
        <is>
          <t>Mobile</t>
        </is>
      </c>
      <c r="F162" s="10" t="inlineStr">
        <is>
          <t>Social</t>
        </is>
      </c>
      <c r="G162" s="10" t="inlineStr">
        <is>
          <t>Basic</t>
        </is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P162" s="10" t="n">
        <v>42.1</v>
      </c>
      <c r="Q162" s="10">
        <f>A162&amp;"|"&amp;B162&amp;"|"&amp;C162&amp;"|"&amp;D162&amp;"|"&amp;E162&amp;"|"&amp;F162&amp;"|"&amp;G162&amp;"|"&amp;H162&amp;"|"&amp;I162&amp;"|"&amp;J162&amp;"|"&amp;K162&amp;"|"&amp;L162&amp;"|"&amp;M162&amp;"|"&amp;N162&amp;"|"&amp;O162&amp;"|"&amp;P162</f>
        <v/>
      </c>
      <c r="R162" s="10">
        <f>IF(COUNTIF($Q$2:$Q$1409,Q162)&gt;1,IF(COUNTIF($Q$2:Q162,Q162)=1,"Exact Duplicate - Keep First","Exact Duplicate - Remove"),"Unique")</f>
        <v/>
      </c>
    </row>
    <row r="163" ht="15" customHeight="1" s="11">
      <c r="A163" s="10" t="inlineStr">
        <is>
          <t>USR-100162</t>
        </is>
      </c>
      <c r="B163" s="14" t="n">
        <v>45689</v>
      </c>
      <c r="C163" s="10" t="inlineStr">
        <is>
          <t>Control</t>
        </is>
      </c>
      <c r="D163" s="10" t="inlineStr">
        <is>
          <t>North</t>
        </is>
      </c>
      <c r="E163" s="10" t="inlineStr">
        <is>
          <t>Mobile</t>
        </is>
      </c>
      <c r="F163" s="10" t="inlineStr">
        <is>
          <t>Organic</t>
        </is>
      </c>
      <c r="G163" s="10" t="inlineStr">
        <is>
          <t>Free</t>
        </is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Q163" s="10">
        <f>A163&amp;"|"&amp;B163&amp;"|"&amp;C163&amp;"|"&amp;D163&amp;"|"&amp;E163&amp;"|"&amp;F163&amp;"|"&amp;G163&amp;"|"&amp;H163&amp;"|"&amp;I163&amp;"|"&amp;J163&amp;"|"&amp;K163&amp;"|"&amp;L163&amp;"|"&amp;M163&amp;"|"&amp;N163&amp;"|"&amp;O163&amp;"|"&amp;P163</f>
        <v/>
      </c>
      <c r="R163" s="10">
        <f>IF(COUNTIF($Q$2:$Q$1409,Q163)&gt;1,IF(COUNTIF($Q$2:Q163,Q163)=1,"Exact Duplicate - Keep First","Exact Duplicate - Remove"),"Unique")</f>
        <v/>
      </c>
    </row>
    <row r="164" ht="15" customHeight="1" s="11">
      <c r="A164" s="10" t="inlineStr">
        <is>
          <t>USR-100163</t>
        </is>
      </c>
      <c r="B164" s="14" t="n">
        <v>45758</v>
      </c>
      <c r="C164" s="10" t="inlineStr">
        <is>
          <t>Control</t>
        </is>
      </c>
      <c r="D164" s="10" t="inlineStr">
        <is>
          <t>South</t>
        </is>
      </c>
      <c r="E164" s="10" t="inlineStr">
        <is>
          <t>Mobile</t>
        </is>
      </c>
      <c r="F164" s="10" t="inlineStr">
        <is>
          <t>Organic</t>
        </is>
      </c>
      <c r="G164" s="10" t="inlineStr">
        <is>
          <t>Basic</t>
        </is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1</v>
      </c>
      <c r="N164" s="10" t="n">
        <v>0</v>
      </c>
      <c r="P164" s="10" t="n">
        <v>64.8</v>
      </c>
      <c r="Q164" s="10">
        <f>A164&amp;"|"&amp;B164&amp;"|"&amp;C164&amp;"|"&amp;D164&amp;"|"&amp;E164&amp;"|"&amp;F164&amp;"|"&amp;G164&amp;"|"&amp;H164&amp;"|"&amp;I164&amp;"|"&amp;J164&amp;"|"&amp;K164&amp;"|"&amp;L164&amp;"|"&amp;M164&amp;"|"&amp;N164&amp;"|"&amp;O164&amp;"|"&amp;P164</f>
        <v/>
      </c>
      <c r="R164" s="10">
        <f>IF(COUNTIF($Q$2:$Q$1409,Q164)&gt;1,IF(COUNTIF($Q$2:Q164,Q164)=1,"Exact Duplicate - Keep First","Exact Duplicate - Remove"),"Unique")</f>
        <v/>
      </c>
    </row>
    <row r="165" ht="15" customHeight="1" s="11">
      <c r="A165" s="10" t="inlineStr">
        <is>
          <t>USR-100164</t>
        </is>
      </c>
      <c r="B165" s="14" t="n">
        <v>45702</v>
      </c>
      <c r="C165" s="10" t="inlineStr">
        <is>
          <t>Control</t>
        </is>
      </c>
      <c r="D165" s="10" t="inlineStr">
        <is>
          <t>East</t>
        </is>
      </c>
      <c r="E165" s="10" t="inlineStr">
        <is>
          <t>Mobile</t>
        </is>
      </c>
      <c r="F165" s="10" t="inlineStr">
        <is>
          <t>Organic</t>
        </is>
      </c>
      <c r="G165" s="10" t="inlineStr">
        <is>
          <t>Free</t>
        </is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P165" s="10" t="n">
        <v>72.09999999999999</v>
      </c>
      <c r="Q165" s="10">
        <f>A165&amp;"|"&amp;B165&amp;"|"&amp;C165&amp;"|"&amp;D165&amp;"|"&amp;E165&amp;"|"&amp;F165&amp;"|"&amp;G165&amp;"|"&amp;H165&amp;"|"&amp;I165&amp;"|"&amp;J165&amp;"|"&amp;K165&amp;"|"&amp;L165&amp;"|"&amp;M165&amp;"|"&amp;N165&amp;"|"&amp;O165&amp;"|"&amp;P165</f>
        <v/>
      </c>
      <c r="R165" s="10">
        <f>IF(COUNTIF($Q$2:$Q$1409,Q165)&gt;1,IF(COUNTIF($Q$2:Q165,Q165)=1,"Exact Duplicate - Keep First","Exact Duplicate - Remove"),"Unique")</f>
        <v/>
      </c>
    </row>
    <row r="166" ht="15" customHeight="1" s="11">
      <c r="A166" s="10" t="inlineStr">
        <is>
          <t>USR-100165</t>
        </is>
      </c>
      <c r="B166" s="14" t="n">
        <v>45796</v>
      </c>
      <c r="C166" s="10" t="inlineStr">
        <is>
          <t>Control</t>
        </is>
      </c>
      <c r="D166" s="10" t="inlineStr">
        <is>
          <t>East</t>
        </is>
      </c>
      <c r="E166" s="10" t="inlineStr">
        <is>
          <t>Mobile</t>
        </is>
      </c>
      <c r="F166" s="10" t="inlineStr">
        <is>
          <t>Social</t>
        </is>
      </c>
      <c r="G166" s="10" t="inlineStr">
        <is>
          <t>Free</t>
        </is>
      </c>
      <c r="H166" s="10" t="n">
        <v>1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P166" s="10" t="n">
        <v>50.6</v>
      </c>
      <c r="Q166" s="10">
        <f>A166&amp;"|"&amp;B166&amp;"|"&amp;C166&amp;"|"&amp;D166&amp;"|"&amp;E166&amp;"|"&amp;F166&amp;"|"&amp;G166&amp;"|"&amp;H166&amp;"|"&amp;I166&amp;"|"&amp;J166&amp;"|"&amp;K166&amp;"|"&amp;L166&amp;"|"&amp;M166&amp;"|"&amp;N166&amp;"|"&amp;O166&amp;"|"&amp;P166</f>
        <v/>
      </c>
      <c r="R166" s="10">
        <f>IF(COUNTIF($Q$2:$Q$1409,Q166)&gt;1,IF(COUNTIF($Q$2:Q166,Q166)=1,"Exact Duplicate - Keep First","Exact Duplicate - Remove"),"Unique")</f>
        <v/>
      </c>
    </row>
    <row r="167" ht="15" customHeight="1" s="11">
      <c r="A167" s="10" t="inlineStr">
        <is>
          <t>USR-100166</t>
        </is>
      </c>
      <c r="B167" s="14" t="n">
        <v>45773</v>
      </c>
      <c r="C167" s="10" t="inlineStr">
        <is>
          <t>Control</t>
        </is>
      </c>
      <c r="D167" s="10" t="inlineStr">
        <is>
          <t>North</t>
        </is>
      </c>
      <c r="E167" s="10" t="inlineStr">
        <is>
          <t>Desktop</t>
        </is>
      </c>
      <c r="F167" s="10" t="inlineStr">
        <is>
          <t>Paid Search</t>
        </is>
      </c>
      <c r="G167" s="10" t="inlineStr">
        <is>
          <t>Basic</t>
        </is>
      </c>
      <c r="H167" s="10" t="n">
        <v>1</v>
      </c>
      <c r="I167" s="10" t="n">
        <v>1</v>
      </c>
      <c r="J167" s="10" t="n">
        <v>1</v>
      </c>
      <c r="K167" s="10" t="n">
        <v>1</v>
      </c>
      <c r="L167" s="10" t="n">
        <v>1281.25</v>
      </c>
      <c r="M167" s="10" t="n">
        <v>1</v>
      </c>
      <c r="N167" s="10" t="n">
        <v>0</v>
      </c>
      <c r="O167" s="10" t="n">
        <v>9</v>
      </c>
      <c r="P167" s="10" t="n">
        <v>43.4</v>
      </c>
      <c r="Q167" s="10">
        <f>A167&amp;"|"&amp;B167&amp;"|"&amp;C167&amp;"|"&amp;D167&amp;"|"&amp;E167&amp;"|"&amp;F167&amp;"|"&amp;G167&amp;"|"&amp;H167&amp;"|"&amp;I167&amp;"|"&amp;J167&amp;"|"&amp;K167&amp;"|"&amp;L167&amp;"|"&amp;M167&amp;"|"&amp;N167&amp;"|"&amp;O167&amp;"|"&amp;P167</f>
        <v/>
      </c>
      <c r="R167" s="10">
        <f>IF(COUNTIF($Q$2:$Q$1409,Q167)&gt;1,IF(COUNTIF($Q$2:Q167,Q167)=1,"Exact Duplicate - Keep First","Exact Duplicate - Remove"),"Unique")</f>
        <v/>
      </c>
    </row>
    <row r="168" ht="15" customHeight="1" s="11">
      <c r="A168" s="10" t="inlineStr">
        <is>
          <t>USR-100167</t>
        </is>
      </c>
      <c r="B168" s="14" t="n">
        <v>45753</v>
      </c>
      <c r="C168" s="10" t="inlineStr">
        <is>
          <t>Control</t>
        </is>
      </c>
      <c r="D168" s="10" t="inlineStr">
        <is>
          <t>South</t>
        </is>
      </c>
      <c r="E168" s="10" t="inlineStr">
        <is>
          <t>Mobile</t>
        </is>
      </c>
      <c r="F168" s="10" t="inlineStr">
        <is>
          <t>Social</t>
        </is>
      </c>
      <c r="G168" s="10" t="inlineStr">
        <is>
          <t>Free</t>
        </is>
      </c>
      <c r="H168" s="10" t="n">
        <v>1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P168" s="10" t="n">
        <v>59.7</v>
      </c>
      <c r="Q168" s="10">
        <f>A168&amp;"|"&amp;B168&amp;"|"&amp;C168&amp;"|"&amp;D168&amp;"|"&amp;E168&amp;"|"&amp;F168&amp;"|"&amp;G168&amp;"|"&amp;H168&amp;"|"&amp;I168&amp;"|"&amp;J168&amp;"|"&amp;K168&amp;"|"&amp;L168&amp;"|"&amp;M168&amp;"|"&amp;N168&amp;"|"&amp;O168&amp;"|"&amp;P168</f>
        <v/>
      </c>
      <c r="R168" s="10">
        <f>IF(COUNTIF($Q$2:$Q$1409,Q168)&gt;1,IF(COUNTIF($Q$2:Q168,Q168)=1,"Exact Duplicate - Keep First","Exact Duplicate - Remove"),"Unique")</f>
        <v/>
      </c>
    </row>
    <row r="169" ht="15" customHeight="1" s="11">
      <c r="A169" s="10" t="inlineStr">
        <is>
          <t>USR-100168</t>
        </is>
      </c>
      <c r="B169" s="14" t="n">
        <v>45722</v>
      </c>
      <c r="C169" s="10" t="inlineStr">
        <is>
          <t>Control</t>
        </is>
      </c>
      <c r="D169" s="10" t="inlineStr">
        <is>
          <t>South</t>
        </is>
      </c>
      <c r="E169" s="10" t="inlineStr">
        <is>
          <t>Mobile</t>
        </is>
      </c>
      <c r="F169" s="10" t="inlineStr">
        <is>
          <t>Paid Search</t>
        </is>
      </c>
      <c r="G169" s="10" t="inlineStr">
        <is>
          <t>Free</t>
        </is>
      </c>
      <c r="H169" s="10" t="n">
        <v>1</v>
      </c>
      <c r="I169" s="10" t="n">
        <v>0</v>
      </c>
      <c r="J169" s="10" t="n">
        <v>0</v>
      </c>
      <c r="K169" s="10" t="n">
        <v>0</v>
      </c>
      <c r="L169" s="10" t="n">
        <v>0</v>
      </c>
      <c r="M169" s="10" t="n">
        <v>1</v>
      </c>
      <c r="N169" s="10" t="n">
        <v>0</v>
      </c>
      <c r="Q169" s="10">
        <f>A169&amp;"|"&amp;B169&amp;"|"&amp;C169&amp;"|"&amp;D169&amp;"|"&amp;E169&amp;"|"&amp;F169&amp;"|"&amp;G169&amp;"|"&amp;H169&amp;"|"&amp;I169&amp;"|"&amp;J169&amp;"|"&amp;K169&amp;"|"&amp;L169&amp;"|"&amp;M169&amp;"|"&amp;N169&amp;"|"&amp;O169&amp;"|"&amp;P169</f>
        <v/>
      </c>
      <c r="R169" s="10">
        <f>IF(COUNTIF($Q$2:$Q$1409,Q169)&gt;1,IF(COUNTIF($Q$2:Q169,Q169)=1,"Exact Duplicate - Keep First","Exact Duplicate - Remove"),"Unique")</f>
        <v/>
      </c>
    </row>
    <row r="170" ht="15" customHeight="1" s="11">
      <c r="A170" s="10" t="inlineStr">
        <is>
          <t>USR-100169</t>
        </is>
      </c>
      <c r="B170" s="14" t="n">
        <v>45726</v>
      </c>
      <c r="C170" s="10" t="inlineStr">
        <is>
          <t>Control</t>
        </is>
      </c>
      <c r="D170" s="10" t="inlineStr">
        <is>
          <t>West</t>
        </is>
      </c>
      <c r="E170" s="10" t="inlineStr">
        <is>
          <t>Mobile</t>
        </is>
      </c>
      <c r="F170" s="10" t="inlineStr">
        <is>
          <t>Social</t>
        </is>
      </c>
      <c r="G170" s="10" t="inlineStr">
        <is>
          <t>Basic</t>
        </is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P170" s="10" t="n">
        <v>54.5</v>
      </c>
      <c r="Q170" s="10">
        <f>A170&amp;"|"&amp;B170&amp;"|"&amp;C170&amp;"|"&amp;D170&amp;"|"&amp;E170&amp;"|"&amp;F170&amp;"|"&amp;G170&amp;"|"&amp;H170&amp;"|"&amp;I170&amp;"|"&amp;J170&amp;"|"&amp;K170&amp;"|"&amp;L170&amp;"|"&amp;M170&amp;"|"&amp;N170&amp;"|"&amp;O170&amp;"|"&amp;P170</f>
        <v/>
      </c>
      <c r="R170" s="10">
        <f>IF(COUNTIF($Q$2:$Q$1409,Q170)&gt;1,IF(COUNTIF($Q$2:Q170,Q170)=1,"Exact Duplicate - Keep First","Exact Duplicate - Remove"),"Unique")</f>
        <v/>
      </c>
    </row>
    <row r="171" ht="15" customHeight="1" s="11">
      <c r="A171" s="10" t="inlineStr">
        <is>
          <t>USR-100170</t>
        </is>
      </c>
      <c r="B171" s="14" t="n">
        <v>45746</v>
      </c>
      <c r="C171" s="10" t="inlineStr">
        <is>
          <t>Control</t>
        </is>
      </c>
      <c r="D171" s="10" t="inlineStr">
        <is>
          <t>North</t>
        </is>
      </c>
      <c r="E171" s="10" t="inlineStr">
        <is>
          <t>Mobile</t>
        </is>
      </c>
      <c r="F171" s="10" t="inlineStr">
        <is>
          <t>Organic</t>
        </is>
      </c>
      <c r="G171" s="10" t="inlineStr">
        <is>
          <t>Free</t>
        </is>
      </c>
      <c r="H171" s="10" t="n">
        <v>1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P171" s="10" t="n">
        <v>71.09999999999999</v>
      </c>
      <c r="Q171" s="10">
        <f>A171&amp;"|"&amp;B171&amp;"|"&amp;C171&amp;"|"&amp;D171&amp;"|"&amp;E171&amp;"|"&amp;F171&amp;"|"&amp;G171&amp;"|"&amp;H171&amp;"|"&amp;I171&amp;"|"&amp;J171&amp;"|"&amp;K171&amp;"|"&amp;L171&amp;"|"&amp;M171&amp;"|"&amp;N171&amp;"|"&amp;O171&amp;"|"&amp;P171</f>
        <v/>
      </c>
      <c r="R171" s="10">
        <f>IF(COUNTIF($Q$2:$Q$1409,Q171)&gt;1,IF(COUNTIF($Q$2:Q171,Q171)=1,"Exact Duplicate - Keep First","Exact Duplicate - Remove"),"Unique")</f>
        <v/>
      </c>
    </row>
    <row r="172" ht="15" customHeight="1" s="11">
      <c r="A172" s="10" t="inlineStr">
        <is>
          <t>USR-100171</t>
        </is>
      </c>
      <c r="B172" s="14" t="n">
        <v>45806</v>
      </c>
      <c r="C172" s="10" t="inlineStr">
        <is>
          <t>Control</t>
        </is>
      </c>
      <c r="D172" s="10" t="inlineStr">
        <is>
          <t>East</t>
        </is>
      </c>
      <c r="F172" s="10" t="inlineStr">
        <is>
          <t>Paid Search</t>
        </is>
      </c>
      <c r="G172" s="10" t="inlineStr">
        <is>
          <t>Free</t>
        </is>
      </c>
      <c r="H172" s="10" t="n">
        <v>1</v>
      </c>
      <c r="I172" s="10" t="n">
        <v>1</v>
      </c>
      <c r="J172" s="10" t="n">
        <v>1</v>
      </c>
      <c r="K172" s="10" t="n">
        <v>0</v>
      </c>
      <c r="L172" s="10" t="n">
        <v>0</v>
      </c>
      <c r="M172" s="10" t="n">
        <v>0</v>
      </c>
      <c r="N172" s="10" t="n">
        <v>0</v>
      </c>
      <c r="P172" s="10" t="n">
        <v>44.4</v>
      </c>
      <c r="Q172" s="10">
        <f>A172&amp;"|"&amp;B172&amp;"|"&amp;C172&amp;"|"&amp;D172&amp;"|"&amp;E172&amp;"|"&amp;F172&amp;"|"&amp;G172&amp;"|"&amp;H172&amp;"|"&amp;I172&amp;"|"&amp;J172&amp;"|"&amp;K172&amp;"|"&amp;L172&amp;"|"&amp;M172&amp;"|"&amp;N172&amp;"|"&amp;O172&amp;"|"&amp;P172</f>
        <v/>
      </c>
      <c r="R172" s="10">
        <f>IF(COUNTIF($Q$2:$Q$1409,Q172)&gt;1,IF(COUNTIF($Q$2:Q172,Q172)=1,"Exact Duplicate - Keep First","Exact Duplicate - Remove"),"Unique")</f>
        <v/>
      </c>
    </row>
    <row r="173" ht="15" customHeight="1" s="11">
      <c r="A173" s="10" t="inlineStr">
        <is>
          <t>USR-100172</t>
        </is>
      </c>
      <c r="B173" s="14" t="n">
        <v>45739</v>
      </c>
      <c r="C173" s="10" t="inlineStr">
        <is>
          <t>Control</t>
        </is>
      </c>
      <c r="D173" s="10" t="inlineStr">
        <is>
          <t>North</t>
        </is>
      </c>
      <c r="E173" s="10" t="inlineStr">
        <is>
          <t>Mobile</t>
        </is>
      </c>
      <c r="F173" s="10" t="inlineStr">
        <is>
          <t>Organic</t>
        </is>
      </c>
      <c r="G173" s="10" t="inlineStr">
        <is>
          <t>Free</t>
        </is>
      </c>
      <c r="H173" s="10" t="n">
        <v>1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P173" s="10" t="n">
        <v>61.7</v>
      </c>
      <c r="Q173" s="10">
        <f>A173&amp;"|"&amp;B173&amp;"|"&amp;C173&amp;"|"&amp;D173&amp;"|"&amp;E173&amp;"|"&amp;F173&amp;"|"&amp;G173&amp;"|"&amp;H173&amp;"|"&amp;I173&amp;"|"&amp;J173&amp;"|"&amp;K173&amp;"|"&amp;L173&amp;"|"&amp;M173&amp;"|"&amp;N173&amp;"|"&amp;O173&amp;"|"&amp;P173</f>
        <v/>
      </c>
      <c r="R173" s="10">
        <f>IF(COUNTIF($Q$2:$Q$1409,Q173)&gt;1,IF(COUNTIF($Q$2:Q173,Q173)=1,"Exact Duplicate - Keep First","Exact Duplicate - Remove"),"Unique")</f>
        <v/>
      </c>
    </row>
    <row r="174" ht="15" customHeight="1" s="11">
      <c r="A174" s="10" t="inlineStr">
        <is>
          <t>USR-100173</t>
        </is>
      </c>
      <c r="B174" s="14" t="n">
        <v>45706</v>
      </c>
      <c r="C174" s="10" t="inlineStr">
        <is>
          <t>Control</t>
        </is>
      </c>
      <c r="D174" s="10" t="inlineStr">
        <is>
          <t>North</t>
        </is>
      </c>
      <c r="E174" s="10" t="inlineStr">
        <is>
          <t>Tablet</t>
        </is>
      </c>
      <c r="F174" s="10" t="inlineStr">
        <is>
          <t>Organic</t>
        </is>
      </c>
      <c r="G174" s="10" t="inlineStr">
        <is>
          <t>Basic</t>
        </is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1</v>
      </c>
      <c r="N174" s="10" t="n">
        <v>0</v>
      </c>
      <c r="P174" s="10" t="n">
        <v>81.3</v>
      </c>
      <c r="Q174" s="10">
        <f>A174&amp;"|"&amp;B174&amp;"|"&amp;C174&amp;"|"&amp;D174&amp;"|"&amp;E174&amp;"|"&amp;F174&amp;"|"&amp;G174&amp;"|"&amp;H174&amp;"|"&amp;I174&amp;"|"&amp;J174&amp;"|"&amp;K174&amp;"|"&amp;L174&amp;"|"&amp;M174&amp;"|"&amp;N174&amp;"|"&amp;O174&amp;"|"&amp;P174</f>
        <v/>
      </c>
      <c r="R174" s="10">
        <f>IF(COUNTIF($Q$2:$Q$1409,Q174)&gt;1,IF(COUNTIF($Q$2:Q174,Q174)=1,"Exact Duplicate - Keep First","Exact Duplicate - Remove"),"Unique")</f>
        <v/>
      </c>
    </row>
    <row r="175" ht="15" customHeight="1" s="11">
      <c r="A175" s="10" t="inlineStr">
        <is>
          <t>USR-100174</t>
        </is>
      </c>
      <c r="B175" s="14" t="n">
        <v>45683</v>
      </c>
      <c r="C175" s="10" t="inlineStr">
        <is>
          <t>Control</t>
        </is>
      </c>
      <c r="D175" s="10" t="inlineStr">
        <is>
          <t>North</t>
        </is>
      </c>
      <c r="E175" s="10" t="inlineStr">
        <is>
          <t>Desktop</t>
        </is>
      </c>
      <c r="F175" s="10" t="inlineStr">
        <is>
          <t>Email</t>
        </is>
      </c>
      <c r="G175" s="10" t="inlineStr">
        <is>
          <t>Free</t>
        </is>
      </c>
      <c r="H175" s="10" t="n">
        <v>1</v>
      </c>
      <c r="I175" s="10" t="n">
        <v>0</v>
      </c>
      <c r="J175" s="10" t="n">
        <v>0</v>
      </c>
      <c r="K175" s="10" t="n">
        <v>0</v>
      </c>
      <c r="L175" s="10" t="n">
        <v>0</v>
      </c>
      <c r="M175" s="10" t="n">
        <v>2</v>
      </c>
      <c r="N175" s="10" t="n">
        <v>0</v>
      </c>
      <c r="P175" s="10" t="n">
        <v>28.7</v>
      </c>
      <c r="Q175" s="10">
        <f>A175&amp;"|"&amp;B175&amp;"|"&amp;C175&amp;"|"&amp;D175&amp;"|"&amp;E175&amp;"|"&amp;F175&amp;"|"&amp;G175&amp;"|"&amp;H175&amp;"|"&amp;I175&amp;"|"&amp;J175&amp;"|"&amp;K175&amp;"|"&amp;L175&amp;"|"&amp;M175&amp;"|"&amp;N175&amp;"|"&amp;O175&amp;"|"&amp;P175</f>
        <v/>
      </c>
      <c r="R175" s="10">
        <f>IF(COUNTIF($Q$2:$Q$1409,Q175)&gt;1,IF(COUNTIF($Q$2:Q175,Q175)=1,"Exact Duplicate - Keep First","Exact Duplicate - Remove"),"Unique")</f>
        <v/>
      </c>
    </row>
    <row r="176" ht="15" customHeight="1" s="11">
      <c r="A176" s="10" t="inlineStr">
        <is>
          <t>USR-100175</t>
        </is>
      </c>
      <c r="B176" s="14" t="n">
        <v>45770</v>
      </c>
      <c r="C176" s="10" t="inlineStr">
        <is>
          <t>Control</t>
        </is>
      </c>
      <c r="D176" s="10" t="inlineStr">
        <is>
          <t>East</t>
        </is>
      </c>
      <c r="E176" s="10" t="inlineStr">
        <is>
          <t>Mobile</t>
        </is>
      </c>
      <c r="F176" s="10" t="inlineStr">
        <is>
          <t>Social</t>
        </is>
      </c>
      <c r="G176" s="10" t="inlineStr">
        <is>
          <t>Basic</t>
        </is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P176" s="10" t="n">
        <v>53</v>
      </c>
      <c r="Q176" s="10">
        <f>A176&amp;"|"&amp;B176&amp;"|"&amp;C176&amp;"|"&amp;D176&amp;"|"&amp;E176&amp;"|"&amp;F176&amp;"|"&amp;G176&amp;"|"&amp;H176&amp;"|"&amp;I176&amp;"|"&amp;J176&amp;"|"&amp;K176&amp;"|"&amp;L176&amp;"|"&amp;M176&amp;"|"&amp;N176&amp;"|"&amp;O176&amp;"|"&amp;P176</f>
        <v/>
      </c>
      <c r="R176" s="10">
        <f>IF(COUNTIF($Q$2:$Q$1409,Q176)&gt;1,IF(COUNTIF($Q$2:Q176,Q176)=1,"Exact Duplicate - Keep First","Exact Duplicate - Remove"),"Unique")</f>
        <v/>
      </c>
    </row>
    <row r="177" ht="15" customHeight="1" s="11">
      <c r="A177" s="10" t="inlineStr">
        <is>
          <t>USR-100176</t>
        </is>
      </c>
      <c r="B177" s="14" t="n">
        <v>45732</v>
      </c>
      <c r="C177" s="10" t="inlineStr">
        <is>
          <t>Control</t>
        </is>
      </c>
      <c r="D177" s="10" t="inlineStr">
        <is>
          <t>South</t>
        </is>
      </c>
      <c r="E177" s="10" t="inlineStr">
        <is>
          <t>Tablet</t>
        </is>
      </c>
      <c r="F177" s="10" t="inlineStr">
        <is>
          <t>Referral</t>
        </is>
      </c>
      <c r="G177" s="10" t="inlineStr">
        <is>
          <t>Basic</t>
        </is>
      </c>
      <c r="H177" s="10" t="n">
        <v>1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P177" s="10" t="n">
        <v>54.9</v>
      </c>
      <c r="Q177" s="10">
        <f>A177&amp;"|"&amp;B177&amp;"|"&amp;C177&amp;"|"&amp;D177&amp;"|"&amp;E177&amp;"|"&amp;F177&amp;"|"&amp;G177&amp;"|"&amp;H177&amp;"|"&amp;I177&amp;"|"&amp;J177&amp;"|"&amp;K177&amp;"|"&amp;L177&amp;"|"&amp;M177&amp;"|"&amp;N177&amp;"|"&amp;O177&amp;"|"&amp;P177</f>
        <v/>
      </c>
      <c r="R177" s="10">
        <f>IF(COUNTIF($Q$2:$Q$1409,Q177)&gt;1,IF(COUNTIF($Q$2:Q177,Q177)=1,"Exact Duplicate - Keep First","Exact Duplicate - Remove"),"Unique")</f>
        <v/>
      </c>
    </row>
    <row r="178" ht="15" customHeight="1" s="11">
      <c r="A178" s="10" t="inlineStr">
        <is>
          <t>USR-100177</t>
        </is>
      </c>
      <c r="B178" s="14" t="n">
        <v>45776</v>
      </c>
      <c r="C178" s="10" t="inlineStr">
        <is>
          <t>Control</t>
        </is>
      </c>
      <c r="D178" s="10" t="inlineStr">
        <is>
          <t>West</t>
        </is>
      </c>
      <c r="E178" s="10" t="inlineStr">
        <is>
          <t>Mobile</t>
        </is>
      </c>
      <c r="F178" s="10" t="inlineStr">
        <is>
          <t>Organic</t>
        </is>
      </c>
      <c r="G178" s="10" t="inlineStr">
        <is>
          <t>Basic</t>
        </is>
      </c>
      <c r="H178" s="10" t="n">
        <v>1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P178" s="10" t="n">
        <v>58.2</v>
      </c>
      <c r="Q178" s="10">
        <f>A178&amp;"|"&amp;B178&amp;"|"&amp;C178&amp;"|"&amp;D178&amp;"|"&amp;E178&amp;"|"&amp;F178&amp;"|"&amp;G178&amp;"|"&amp;H178&amp;"|"&amp;I178&amp;"|"&amp;J178&amp;"|"&amp;K178&amp;"|"&amp;L178&amp;"|"&amp;M178&amp;"|"&amp;N178&amp;"|"&amp;O178&amp;"|"&amp;P178</f>
        <v/>
      </c>
      <c r="R178" s="10">
        <f>IF(COUNTIF($Q$2:$Q$1409,Q178)&gt;1,IF(COUNTIF($Q$2:Q178,Q178)=1,"Exact Duplicate - Keep First","Exact Duplicate - Remove"),"Unique")</f>
        <v/>
      </c>
    </row>
    <row r="179" ht="15" customHeight="1" s="11">
      <c r="A179" s="10" t="inlineStr">
        <is>
          <t>USR-100178</t>
        </is>
      </c>
      <c r="B179" s="14" t="n">
        <v>45753</v>
      </c>
      <c r="C179" s="10" t="inlineStr">
        <is>
          <t>Control</t>
        </is>
      </c>
      <c r="D179" s="10" t="inlineStr">
        <is>
          <t>North</t>
        </is>
      </c>
      <c r="E179" s="10" t="inlineStr">
        <is>
          <t>Mobile</t>
        </is>
      </c>
      <c r="F179" s="10" t="inlineStr">
        <is>
          <t>Organic</t>
        </is>
      </c>
      <c r="G179" s="10" t="inlineStr">
        <is>
          <t>Free</t>
        </is>
      </c>
      <c r="H179" s="10" t="n">
        <v>0</v>
      </c>
      <c r="I179" s="10" t="n">
        <v>0</v>
      </c>
      <c r="J179" s="10" t="n">
        <v>0</v>
      </c>
      <c r="K179" s="10" t="n">
        <v>0</v>
      </c>
      <c r="L179" s="10" t="n">
        <v>0</v>
      </c>
      <c r="M179" s="10" t="n">
        <v>0</v>
      </c>
      <c r="N179" s="10" t="n">
        <v>0</v>
      </c>
      <c r="P179" s="10" t="n">
        <v>80.59999999999999</v>
      </c>
      <c r="Q179" s="10">
        <f>A179&amp;"|"&amp;B179&amp;"|"&amp;C179&amp;"|"&amp;D179&amp;"|"&amp;E179&amp;"|"&amp;F179&amp;"|"&amp;G179&amp;"|"&amp;H179&amp;"|"&amp;I179&amp;"|"&amp;J179&amp;"|"&amp;K179&amp;"|"&amp;L179&amp;"|"&amp;M179&amp;"|"&amp;N179&amp;"|"&amp;O179&amp;"|"&amp;P179</f>
        <v/>
      </c>
      <c r="R179" s="10">
        <f>IF(COUNTIF($Q$2:$Q$1409,Q179)&gt;1,IF(COUNTIF($Q$2:Q179,Q179)=1,"Exact Duplicate - Keep First","Exact Duplicate - Remove"),"Unique")</f>
        <v/>
      </c>
    </row>
    <row r="180" ht="15" customHeight="1" s="11">
      <c r="A180" s="10" t="inlineStr">
        <is>
          <t>USR-100179</t>
        </is>
      </c>
      <c r="B180" s="14" t="n">
        <v>45764</v>
      </c>
      <c r="C180" s="10" t="inlineStr">
        <is>
          <t>Control</t>
        </is>
      </c>
      <c r="D180" s="10" t="inlineStr">
        <is>
          <t>North</t>
        </is>
      </c>
      <c r="E180" s="10" t="inlineStr">
        <is>
          <t>Desktop</t>
        </is>
      </c>
      <c r="F180" s="10" t="inlineStr">
        <is>
          <t>Referral</t>
        </is>
      </c>
      <c r="G180" s="10" t="inlineStr">
        <is>
          <t>Premium</t>
        </is>
      </c>
      <c r="H180" s="10" t="n">
        <v>1</v>
      </c>
      <c r="I180" s="10" t="n">
        <v>1</v>
      </c>
      <c r="J180" s="10" t="n">
        <v>1</v>
      </c>
      <c r="K180" s="10" t="n">
        <v>0</v>
      </c>
      <c r="L180" s="10" t="n">
        <v>0</v>
      </c>
      <c r="M180" s="10" t="n">
        <v>0</v>
      </c>
      <c r="N180" s="10" t="n">
        <v>0</v>
      </c>
      <c r="P180" s="10" t="n">
        <v>38.4</v>
      </c>
      <c r="Q180" s="10">
        <f>A180&amp;"|"&amp;B180&amp;"|"&amp;C180&amp;"|"&amp;D180&amp;"|"&amp;E180&amp;"|"&amp;F180&amp;"|"&amp;G180&amp;"|"&amp;H180&amp;"|"&amp;I180&amp;"|"&amp;J180&amp;"|"&amp;K180&amp;"|"&amp;L180&amp;"|"&amp;M180&amp;"|"&amp;N180&amp;"|"&amp;O180&amp;"|"&amp;P180</f>
        <v/>
      </c>
      <c r="R180" s="10">
        <f>IF(COUNTIF($Q$2:$Q$1409,Q180)&gt;1,IF(COUNTIF($Q$2:Q180,Q180)=1,"Exact Duplicate - Keep First","Exact Duplicate - Remove"),"Unique")</f>
        <v/>
      </c>
    </row>
    <row r="181" ht="15" customHeight="1" s="11">
      <c r="A181" s="10" t="inlineStr">
        <is>
          <t>USR-100180</t>
        </is>
      </c>
      <c r="B181" s="14" t="n">
        <v>45750</v>
      </c>
      <c r="C181" s="10" t="inlineStr">
        <is>
          <t>Control</t>
        </is>
      </c>
      <c r="D181" s="10" t="inlineStr">
        <is>
          <t>South</t>
        </is>
      </c>
      <c r="E181" s="10" t="inlineStr">
        <is>
          <t>Mobile</t>
        </is>
      </c>
      <c r="F181" s="10" t="inlineStr">
        <is>
          <t>Paid Search</t>
        </is>
      </c>
      <c r="G181" s="10" t="inlineStr">
        <is>
          <t>Free</t>
        </is>
      </c>
      <c r="H181" s="10" t="n">
        <v>1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P181" s="10" t="n">
        <v>56.1</v>
      </c>
      <c r="Q181" s="10">
        <f>A181&amp;"|"&amp;B181&amp;"|"&amp;C181&amp;"|"&amp;D181&amp;"|"&amp;E181&amp;"|"&amp;F181&amp;"|"&amp;G181&amp;"|"&amp;H181&amp;"|"&amp;I181&amp;"|"&amp;J181&amp;"|"&amp;K181&amp;"|"&amp;L181&amp;"|"&amp;M181&amp;"|"&amp;N181&amp;"|"&amp;O181&amp;"|"&amp;P181</f>
        <v/>
      </c>
      <c r="R181" s="10">
        <f>IF(COUNTIF($Q$2:$Q$1409,Q181)&gt;1,IF(COUNTIF($Q$2:Q181,Q181)=1,"Exact Duplicate - Keep First","Exact Duplicate - Remove"),"Unique")</f>
        <v/>
      </c>
    </row>
    <row r="182" ht="15" customHeight="1" s="11">
      <c r="A182" s="10" t="inlineStr">
        <is>
          <t>USR-100181</t>
        </is>
      </c>
      <c r="B182" s="14" t="n">
        <v>45772</v>
      </c>
      <c r="C182" s="10" t="inlineStr">
        <is>
          <t>Control</t>
        </is>
      </c>
      <c r="D182" s="10" t="inlineStr">
        <is>
          <t>West</t>
        </is>
      </c>
      <c r="E182" s="10" t="inlineStr">
        <is>
          <t>Mobile</t>
        </is>
      </c>
      <c r="F182" s="10" t="inlineStr">
        <is>
          <t>Paid Search</t>
        </is>
      </c>
      <c r="G182" s="10" t="inlineStr">
        <is>
          <t>Free</t>
        </is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P182" s="10" t="n">
        <v>62.6</v>
      </c>
      <c r="Q182" s="10">
        <f>A182&amp;"|"&amp;B182&amp;"|"&amp;C182&amp;"|"&amp;D182&amp;"|"&amp;E182&amp;"|"&amp;F182&amp;"|"&amp;G182&amp;"|"&amp;H182&amp;"|"&amp;I182&amp;"|"&amp;J182&amp;"|"&amp;K182&amp;"|"&amp;L182&amp;"|"&amp;M182&amp;"|"&amp;N182&amp;"|"&amp;O182&amp;"|"&amp;P182</f>
        <v/>
      </c>
      <c r="R182" s="10">
        <f>IF(COUNTIF($Q$2:$Q$1409,Q182)&gt;1,IF(COUNTIF($Q$2:Q182,Q182)=1,"Exact Duplicate - Keep First","Exact Duplicate - Remove"),"Unique")</f>
        <v/>
      </c>
    </row>
    <row r="183" ht="15" customHeight="1" s="11">
      <c r="A183" s="10" t="inlineStr">
        <is>
          <t>USR-100182</t>
        </is>
      </c>
      <c r="B183" s="14" t="n">
        <v>45777</v>
      </c>
      <c r="C183" s="10" t="inlineStr">
        <is>
          <t>Control</t>
        </is>
      </c>
      <c r="D183" s="10" t="inlineStr">
        <is>
          <t>South</t>
        </is>
      </c>
      <c r="E183" s="10" t="inlineStr">
        <is>
          <t>Mobile</t>
        </is>
      </c>
      <c r="F183" s="10" t="inlineStr">
        <is>
          <t>Organic</t>
        </is>
      </c>
      <c r="G183" s="10" t="inlineStr">
        <is>
          <t>Premium</t>
        </is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0</v>
      </c>
      <c r="P183" s="10" t="n">
        <v>36.3</v>
      </c>
      <c r="Q183" s="10">
        <f>A183&amp;"|"&amp;B183&amp;"|"&amp;C183&amp;"|"&amp;D183&amp;"|"&amp;E183&amp;"|"&amp;F183&amp;"|"&amp;G183&amp;"|"&amp;H183&amp;"|"&amp;I183&amp;"|"&amp;J183&amp;"|"&amp;K183&amp;"|"&amp;L183&amp;"|"&amp;M183&amp;"|"&amp;N183&amp;"|"&amp;O183&amp;"|"&amp;P183</f>
        <v/>
      </c>
      <c r="R183" s="10">
        <f>IF(COUNTIF($Q$2:$Q$1409,Q183)&gt;1,IF(COUNTIF($Q$2:Q183,Q183)=1,"Exact Duplicate - Keep First","Exact Duplicate - Remove"),"Unique")</f>
        <v/>
      </c>
    </row>
    <row r="184" ht="15" customHeight="1" s="11">
      <c r="A184" s="10" t="inlineStr">
        <is>
          <t>USR-100183</t>
        </is>
      </c>
      <c r="B184" s="14" t="n">
        <v>45728</v>
      </c>
      <c r="C184" s="10" t="inlineStr">
        <is>
          <t>Control</t>
        </is>
      </c>
      <c r="D184" s="10" t="inlineStr">
        <is>
          <t>South</t>
        </is>
      </c>
      <c r="E184" s="10" t="inlineStr">
        <is>
          <t>Mobile</t>
        </is>
      </c>
      <c r="F184" s="10" t="inlineStr">
        <is>
          <t>Paid Search</t>
        </is>
      </c>
      <c r="G184" s="10" t="inlineStr">
        <is>
          <t>Free</t>
        </is>
      </c>
      <c r="H184" s="10" t="n">
        <v>1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P184" s="10" t="n">
        <v>52.1</v>
      </c>
      <c r="Q184" s="10">
        <f>A184&amp;"|"&amp;B184&amp;"|"&amp;C184&amp;"|"&amp;D184&amp;"|"&amp;E184&amp;"|"&amp;F184&amp;"|"&amp;G184&amp;"|"&amp;H184&amp;"|"&amp;I184&amp;"|"&amp;J184&amp;"|"&amp;K184&amp;"|"&amp;L184&amp;"|"&amp;M184&amp;"|"&amp;N184&amp;"|"&amp;O184&amp;"|"&amp;P184</f>
        <v/>
      </c>
      <c r="R184" s="10">
        <f>IF(COUNTIF($Q$2:$Q$1409,Q184)&gt;1,IF(COUNTIF($Q$2:Q184,Q184)=1,"Exact Duplicate - Keep First","Exact Duplicate - Remove"),"Unique")</f>
        <v/>
      </c>
    </row>
    <row r="185" ht="15" customHeight="1" s="11">
      <c r="A185" s="10" t="inlineStr">
        <is>
          <t>USR-100184</t>
        </is>
      </c>
      <c r="B185" s="14" t="n">
        <v>45781</v>
      </c>
      <c r="C185" s="10" t="inlineStr">
        <is>
          <t>Control</t>
        </is>
      </c>
      <c r="D185" s="10" t="inlineStr">
        <is>
          <t>South</t>
        </is>
      </c>
      <c r="E185" s="10" t="inlineStr">
        <is>
          <t>Mobile</t>
        </is>
      </c>
      <c r="F185" s="10" t="inlineStr">
        <is>
          <t>Organic</t>
        </is>
      </c>
      <c r="G185" s="10" t="inlineStr">
        <is>
          <t>Free</t>
        </is>
      </c>
      <c r="H185" s="10" t="n">
        <v>1</v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P185" s="10" t="n">
        <v>45.1</v>
      </c>
      <c r="Q185" s="10">
        <f>A185&amp;"|"&amp;B185&amp;"|"&amp;C185&amp;"|"&amp;D185&amp;"|"&amp;E185&amp;"|"&amp;F185&amp;"|"&amp;G185&amp;"|"&amp;H185&amp;"|"&amp;I185&amp;"|"&amp;J185&amp;"|"&amp;K185&amp;"|"&amp;L185&amp;"|"&amp;M185&amp;"|"&amp;N185&amp;"|"&amp;O185&amp;"|"&amp;P185</f>
        <v/>
      </c>
      <c r="R185" s="10">
        <f>IF(COUNTIF($Q$2:$Q$1409,Q185)&gt;1,IF(COUNTIF($Q$2:Q185,Q185)=1,"Exact Duplicate - Keep First","Exact Duplicate - Remove"),"Unique")</f>
        <v/>
      </c>
    </row>
    <row r="186" ht="15" customHeight="1" s="11">
      <c r="A186" s="10" t="inlineStr">
        <is>
          <t>USR-100185</t>
        </is>
      </c>
      <c r="B186" s="14" t="n">
        <v>45695</v>
      </c>
      <c r="C186" s="10" t="inlineStr">
        <is>
          <t>Control</t>
        </is>
      </c>
      <c r="D186" s="10" t="inlineStr">
        <is>
          <t>South</t>
        </is>
      </c>
      <c r="E186" s="10" t="inlineStr">
        <is>
          <t>Tablet</t>
        </is>
      </c>
      <c r="F186" s="10" t="inlineStr">
        <is>
          <t>Paid Search</t>
        </is>
      </c>
      <c r="G186" s="10" t="inlineStr">
        <is>
          <t>Premium</t>
        </is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P186" s="10" t="n">
        <v>67.5</v>
      </c>
      <c r="Q186" s="10">
        <f>A186&amp;"|"&amp;B186&amp;"|"&amp;C186&amp;"|"&amp;D186&amp;"|"&amp;E186&amp;"|"&amp;F186&amp;"|"&amp;G186&amp;"|"&amp;H186&amp;"|"&amp;I186&amp;"|"&amp;J186&amp;"|"&amp;K186&amp;"|"&amp;L186&amp;"|"&amp;M186&amp;"|"&amp;N186&amp;"|"&amp;O186&amp;"|"&amp;P186</f>
        <v/>
      </c>
      <c r="R186" s="10">
        <f>IF(COUNTIF($Q$2:$Q$1409,Q186)&gt;1,IF(COUNTIF($Q$2:Q186,Q186)=1,"Exact Duplicate - Keep First","Exact Duplicate - Remove"),"Unique")</f>
        <v/>
      </c>
    </row>
    <row r="187" ht="15" customHeight="1" s="11">
      <c r="A187" s="10" t="inlineStr">
        <is>
          <t>USR-100186</t>
        </is>
      </c>
      <c r="B187" s="14" t="n">
        <v>45775</v>
      </c>
      <c r="C187" s="10" t="inlineStr">
        <is>
          <t>Control</t>
        </is>
      </c>
      <c r="D187" s="10" t="inlineStr">
        <is>
          <t>East</t>
        </is>
      </c>
      <c r="E187" s="10" t="inlineStr">
        <is>
          <t>Tablet</t>
        </is>
      </c>
      <c r="F187" s="10" t="inlineStr">
        <is>
          <t>Email</t>
        </is>
      </c>
      <c r="G187" s="10" t="inlineStr">
        <is>
          <t>Basic</t>
        </is>
      </c>
      <c r="H187" s="10" t="n">
        <v>1</v>
      </c>
      <c r="I187" s="10" t="n">
        <v>1</v>
      </c>
      <c r="J187" s="10" t="n">
        <v>1</v>
      </c>
      <c r="K187" s="10" t="n">
        <v>0</v>
      </c>
      <c r="L187" s="10" t="n">
        <v>0</v>
      </c>
      <c r="M187" s="10" t="n">
        <v>0</v>
      </c>
      <c r="N187" s="10" t="n">
        <v>0</v>
      </c>
      <c r="P187" s="10" t="n">
        <v>80</v>
      </c>
      <c r="Q187" s="10">
        <f>A187&amp;"|"&amp;B187&amp;"|"&amp;C187&amp;"|"&amp;D187&amp;"|"&amp;E187&amp;"|"&amp;F187&amp;"|"&amp;G187&amp;"|"&amp;H187&amp;"|"&amp;I187&amp;"|"&amp;J187&amp;"|"&amp;K187&amp;"|"&amp;L187&amp;"|"&amp;M187&amp;"|"&amp;N187&amp;"|"&amp;O187&amp;"|"&amp;P187</f>
        <v/>
      </c>
      <c r="R187" s="10">
        <f>IF(COUNTIF($Q$2:$Q$1409,Q187)&gt;1,IF(COUNTIF($Q$2:Q187,Q187)=1,"Exact Duplicate - Keep First","Exact Duplicate - Remove"),"Unique")</f>
        <v/>
      </c>
    </row>
    <row r="188" ht="15" customHeight="1" s="11">
      <c r="A188" s="10" t="inlineStr">
        <is>
          <t>USR-100187</t>
        </is>
      </c>
      <c r="B188" s="14" t="n">
        <v>45792</v>
      </c>
      <c r="C188" s="10" t="inlineStr">
        <is>
          <t>Control</t>
        </is>
      </c>
      <c r="D188" s="10" t="inlineStr">
        <is>
          <t>East</t>
        </is>
      </c>
      <c r="E188" s="10" t="inlineStr">
        <is>
          <t>Desktop</t>
        </is>
      </c>
      <c r="F188" s="10" t="inlineStr">
        <is>
          <t>Referral</t>
        </is>
      </c>
      <c r="G188" s="10" t="inlineStr">
        <is>
          <t>Free</t>
        </is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P188" s="10" t="n">
        <v>56.4</v>
      </c>
      <c r="Q188" s="10">
        <f>A188&amp;"|"&amp;B188&amp;"|"&amp;C188&amp;"|"&amp;D188&amp;"|"&amp;E188&amp;"|"&amp;F188&amp;"|"&amp;G188&amp;"|"&amp;H188&amp;"|"&amp;I188&amp;"|"&amp;J188&amp;"|"&amp;K188&amp;"|"&amp;L188&amp;"|"&amp;M188&amp;"|"&amp;N188&amp;"|"&amp;O188&amp;"|"&amp;P188</f>
        <v/>
      </c>
      <c r="R188" s="10">
        <f>IF(COUNTIF($Q$2:$Q$1409,Q188)&gt;1,IF(COUNTIF($Q$2:Q188,Q188)=1,"Exact Duplicate - Keep First","Exact Duplicate - Remove"),"Unique")</f>
        <v/>
      </c>
    </row>
    <row r="189" ht="15" customHeight="1" s="11">
      <c r="A189" s="10" t="inlineStr">
        <is>
          <t>USR-100188</t>
        </is>
      </c>
      <c r="B189" s="14" t="n">
        <v>45675</v>
      </c>
      <c r="C189" s="10" t="inlineStr">
        <is>
          <t>Control</t>
        </is>
      </c>
      <c r="D189" s="10" t="inlineStr">
        <is>
          <t>West</t>
        </is>
      </c>
      <c r="E189" s="10" t="inlineStr">
        <is>
          <t>Mobile</t>
        </is>
      </c>
      <c r="F189" s="10" t="inlineStr">
        <is>
          <t>Paid Search</t>
        </is>
      </c>
      <c r="G189" s="10" t="inlineStr">
        <is>
          <t>Basic</t>
        </is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P189" s="10" t="n">
        <v>55.4</v>
      </c>
      <c r="Q189" s="10">
        <f>A189&amp;"|"&amp;B189&amp;"|"&amp;C189&amp;"|"&amp;D189&amp;"|"&amp;E189&amp;"|"&amp;F189&amp;"|"&amp;G189&amp;"|"&amp;H189&amp;"|"&amp;I189&amp;"|"&amp;J189&amp;"|"&amp;K189&amp;"|"&amp;L189&amp;"|"&amp;M189&amp;"|"&amp;N189&amp;"|"&amp;O189&amp;"|"&amp;P189</f>
        <v/>
      </c>
      <c r="R189" s="10">
        <f>IF(COUNTIF($Q$2:$Q$1409,Q189)&gt;1,IF(COUNTIF($Q$2:Q189,Q189)=1,"Exact Duplicate - Keep First","Exact Duplicate - Remove"),"Unique")</f>
        <v/>
      </c>
    </row>
    <row r="190" ht="15" customHeight="1" s="11">
      <c r="A190" s="10" t="inlineStr">
        <is>
          <t>USR-100189</t>
        </is>
      </c>
      <c r="B190" s="14" t="n">
        <v>45703</v>
      </c>
      <c r="C190" s="10" t="inlineStr">
        <is>
          <t>Control</t>
        </is>
      </c>
      <c r="D190" s="10" t="inlineStr">
        <is>
          <t>South</t>
        </is>
      </c>
      <c r="E190" s="10" t="inlineStr">
        <is>
          <t>Mobile</t>
        </is>
      </c>
      <c r="F190" s="10" t="inlineStr">
        <is>
          <t>Social</t>
        </is>
      </c>
      <c r="G190" s="10" t="inlineStr">
        <is>
          <t>Basic</t>
        </is>
      </c>
      <c r="H190" s="10" t="n">
        <v>1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P190" s="10" t="n">
        <v>67.90000000000001</v>
      </c>
      <c r="Q190" s="10">
        <f>A190&amp;"|"&amp;B190&amp;"|"&amp;C190&amp;"|"&amp;D190&amp;"|"&amp;E190&amp;"|"&amp;F190&amp;"|"&amp;G190&amp;"|"&amp;H190&amp;"|"&amp;I190&amp;"|"&amp;J190&amp;"|"&amp;K190&amp;"|"&amp;L190&amp;"|"&amp;M190&amp;"|"&amp;N190&amp;"|"&amp;O190&amp;"|"&amp;P190</f>
        <v/>
      </c>
      <c r="R190" s="10">
        <f>IF(COUNTIF($Q$2:$Q$1409,Q190)&gt;1,IF(COUNTIF($Q$2:Q190,Q190)=1,"Exact Duplicate - Keep First","Exact Duplicate - Remove"),"Unique")</f>
        <v/>
      </c>
    </row>
    <row r="191" ht="15" customHeight="1" s="11">
      <c r="A191" s="10" t="inlineStr">
        <is>
          <t>USR-100190</t>
        </is>
      </c>
      <c r="B191" s="14" t="n">
        <v>45706</v>
      </c>
      <c r="C191" s="10" t="inlineStr">
        <is>
          <t>Control</t>
        </is>
      </c>
      <c r="D191" s="10" t="inlineStr">
        <is>
          <t>North</t>
        </is>
      </c>
      <c r="E191" s="10" t="inlineStr">
        <is>
          <t>Tablet</t>
        </is>
      </c>
      <c r="F191" s="10" t="inlineStr">
        <is>
          <t>Email</t>
        </is>
      </c>
      <c r="G191" s="10" t="inlineStr">
        <is>
          <t>Free</t>
        </is>
      </c>
      <c r="H191" s="10" t="n">
        <v>1</v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  <c r="N191" s="10" t="n">
        <v>0</v>
      </c>
      <c r="P191" s="10" t="n">
        <v>62.5</v>
      </c>
      <c r="Q191" s="10">
        <f>A191&amp;"|"&amp;B191&amp;"|"&amp;C191&amp;"|"&amp;D191&amp;"|"&amp;E191&amp;"|"&amp;F191&amp;"|"&amp;G191&amp;"|"&amp;H191&amp;"|"&amp;I191&amp;"|"&amp;J191&amp;"|"&amp;K191&amp;"|"&amp;L191&amp;"|"&amp;M191&amp;"|"&amp;N191&amp;"|"&amp;O191&amp;"|"&amp;P191</f>
        <v/>
      </c>
      <c r="R191" s="10">
        <f>IF(COUNTIF($Q$2:$Q$1409,Q191)&gt;1,IF(COUNTIF($Q$2:Q191,Q191)=1,"Exact Duplicate - Keep First","Exact Duplicate - Remove"),"Unique")</f>
        <v/>
      </c>
    </row>
    <row r="192" ht="15" customHeight="1" s="11">
      <c r="A192" s="10" t="inlineStr">
        <is>
          <t>USR-100191</t>
        </is>
      </c>
      <c r="B192" s="14" t="n">
        <v>45687</v>
      </c>
      <c r="C192" s="10" t="inlineStr">
        <is>
          <t>Control</t>
        </is>
      </c>
      <c r="D192" s="10" t="inlineStr">
        <is>
          <t>South</t>
        </is>
      </c>
      <c r="E192" s="10" t="inlineStr">
        <is>
          <t>Desktop</t>
        </is>
      </c>
      <c r="F192" s="10" t="inlineStr">
        <is>
          <t>Email</t>
        </is>
      </c>
      <c r="G192" s="10" t="inlineStr">
        <is>
          <t>Basic</t>
        </is>
      </c>
      <c r="H192" s="10" t="n">
        <v>1</v>
      </c>
      <c r="I192" s="10" t="n">
        <v>1</v>
      </c>
      <c r="J192" s="10" t="n">
        <v>1</v>
      </c>
      <c r="K192" s="10" t="n">
        <v>0</v>
      </c>
      <c r="L192" s="10" t="n">
        <v>0</v>
      </c>
      <c r="M192" s="10" t="n">
        <v>0</v>
      </c>
      <c r="N192" s="10" t="n">
        <v>0</v>
      </c>
      <c r="P192" s="10" t="n">
        <v>54.3</v>
      </c>
      <c r="Q192" s="10">
        <f>A192&amp;"|"&amp;B192&amp;"|"&amp;C192&amp;"|"&amp;D192&amp;"|"&amp;E192&amp;"|"&amp;F192&amp;"|"&amp;G192&amp;"|"&amp;H192&amp;"|"&amp;I192&amp;"|"&amp;J192&amp;"|"&amp;K192&amp;"|"&amp;L192&amp;"|"&amp;M192&amp;"|"&amp;N192&amp;"|"&amp;O192&amp;"|"&amp;P192</f>
        <v/>
      </c>
      <c r="R192" s="10">
        <f>IF(COUNTIF($Q$2:$Q$1409,Q192)&gt;1,IF(COUNTIF($Q$2:Q192,Q192)=1,"Exact Duplicate - Keep First","Exact Duplicate - Remove"),"Unique")</f>
        <v/>
      </c>
    </row>
    <row r="193" ht="15" customHeight="1" s="11">
      <c r="A193" s="10" t="inlineStr">
        <is>
          <t>USR-100192</t>
        </is>
      </c>
      <c r="B193" s="14" t="n">
        <v>45697</v>
      </c>
      <c r="C193" s="10" t="inlineStr">
        <is>
          <t>Control</t>
        </is>
      </c>
      <c r="D193" s="10" t="inlineStr">
        <is>
          <t>South</t>
        </is>
      </c>
      <c r="E193" s="10" t="inlineStr">
        <is>
          <t>Desktop</t>
        </is>
      </c>
      <c r="F193" s="10" t="inlineStr">
        <is>
          <t>Organic</t>
        </is>
      </c>
      <c r="G193" s="10" t="inlineStr">
        <is>
          <t>Basic</t>
        </is>
      </c>
      <c r="H193" s="10" t="n">
        <v>1</v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0</v>
      </c>
      <c r="N193" s="10" t="n">
        <v>0</v>
      </c>
      <c r="P193" s="10" t="n">
        <v>37.5</v>
      </c>
      <c r="Q193" s="10">
        <f>A193&amp;"|"&amp;B193&amp;"|"&amp;C193&amp;"|"&amp;D193&amp;"|"&amp;E193&amp;"|"&amp;F193&amp;"|"&amp;G193&amp;"|"&amp;H193&amp;"|"&amp;I193&amp;"|"&amp;J193&amp;"|"&amp;K193&amp;"|"&amp;L193&amp;"|"&amp;M193&amp;"|"&amp;N193&amp;"|"&amp;O193&amp;"|"&amp;P193</f>
        <v/>
      </c>
      <c r="R193" s="10">
        <f>IF(COUNTIF($Q$2:$Q$1409,Q193)&gt;1,IF(COUNTIF($Q$2:Q193,Q193)=1,"Exact Duplicate - Keep First","Exact Duplicate - Remove"),"Unique")</f>
        <v/>
      </c>
    </row>
    <row r="194" ht="15" customHeight="1" s="11">
      <c r="A194" s="10" t="inlineStr">
        <is>
          <t>USR-100193</t>
        </is>
      </c>
      <c r="B194" s="14" t="n">
        <v>45732</v>
      </c>
      <c r="C194" s="10" t="inlineStr">
        <is>
          <t>Control</t>
        </is>
      </c>
      <c r="D194" s="10" t="inlineStr">
        <is>
          <t>West</t>
        </is>
      </c>
      <c r="E194" s="10" t="inlineStr">
        <is>
          <t>Mobile</t>
        </is>
      </c>
      <c r="F194" s="10" t="inlineStr">
        <is>
          <t>Paid Search</t>
        </is>
      </c>
      <c r="G194" s="10" t="inlineStr">
        <is>
          <t>Basic</t>
        </is>
      </c>
      <c r="H194" s="10" t="n">
        <v>1</v>
      </c>
      <c r="I194" s="10" t="n">
        <v>0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P194" s="10" t="n">
        <v>52.6</v>
      </c>
      <c r="Q194" s="10">
        <f>A194&amp;"|"&amp;B194&amp;"|"&amp;C194&amp;"|"&amp;D194&amp;"|"&amp;E194&amp;"|"&amp;F194&amp;"|"&amp;G194&amp;"|"&amp;H194&amp;"|"&amp;I194&amp;"|"&amp;J194&amp;"|"&amp;K194&amp;"|"&amp;L194&amp;"|"&amp;M194&amp;"|"&amp;N194&amp;"|"&amp;O194&amp;"|"&amp;P194</f>
        <v/>
      </c>
      <c r="R194" s="10">
        <f>IF(COUNTIF($Q$2:$Q$1409,Q194)&gt;1,IF(COUNTIF($Q$2:Q194,Q194)=1,"Exact Duplicate - Keep First","Exact Duplicate - Remove"),"Unique")</f>
        <v/>
      </c>
    </row>
    <row r="195" ht="15" customHeight="1" s="11">
      <c r="A195" s="10" t="inlineStr">
        <is>
          <t>USR-100194</t>
        </is>
      </c>
      <c r="B195" s="14" t="n">
        <v>45796</v>
      </c>
      <c r="C195" s="10" t="inlineStr">
        <is>
          <t>Control</t>
        </is>
      </c>
      <c r="D195" s="10" t="inlineStr">
        <is>
          <t>North</t>
        </is>
      </c>
      <c r="E195" s="10" t="inlineStr">
        <is>
          <t>Mobile</t>
        </is>
      </c>
      <c r="F195" s="10" t="inlineStr">
        <is>
          <t>Paid Search</t>
        </is>
      </c>
      <c r="G195" s="10" t="inlineStr">
        <is>
          <t>Free</t>
        </is>
      </c>
      <c r="H195" s="10" t="n">
        <v>1</v>
      </c>
      <c r="I195" s="10" t="n">
        <v>0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0</v>
      </c>
      <c r="P195" s="10" t="n">
        <v>46.1</v>
      </c>
      <c r="Q195" s="10">
        <f>A195&amp;"|"&amp;B195&amp;"|"&amp;C195&amp;"|"&amp;D195&amp;"|"&amp;E195&amp;"|"&amp;F195&amp;"|"&amp;G195&amp;"|"&amp;H195&amp;"|"&amp;I195&amp;"|"&amp;J195&amp;"|"&amp;K195&amp;"|"&amp;L195&amp;"|"&amp;M195&amp;"|"&amp;N195&amp;"|"&amp;O195&amp;"|"&amp;P195</f>
        <v/>
      </c>
      <c r="R195" s="10">
        <f>IF(COUNTIF($Q$2:$Q$1409,Q195)&gt;1,IF(COUNTIF($Q$2:Q195,Q195)=1,"Exact Duplicate - Keep First","Exact Duplicate - Remove"),"Unique")</f>
        <v/>
      </c>
    </row>
    <row r="196" ht="15" customHeight="1" s="11">
      <c r="A196" s="10" t="inlineStr">
        <is>
          <t>USR-100195</t>
        </is>
      </c>
      <c r="B196" s="14" t="n">
        <v>45793</v>
      </c>
      <c r="C196" s="10" t="inlineStr">
        <is>
          <t>Control</t>
        </is>
      </c>
      <c r="D196" s="10" t="inlineStr">
        <is>
          <t>South</t>
        </is>
      </c>
      <c r="E196" s="10" t="inlineStr">
        <is>
          <t>Desktop</t>
        </is>
      </c>
      <c r="F196" s="10" t="inlineStr">
        <is>
          <t>Organic</t>
        </is>
      </c>
      <c r="G196" s="10" t="inlineStr">
        <is>
          <t>Basic</t>
        </is>
      </c>
      <c r="H196" s="10" t="n">
        <v>1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P196" s="10" t="n">
        <v>54.7</v>
      </c>
      <c r="Q196" s="10">
        <f>A196&amp;"|"&amp;B196&amp;"|"&amp;C196&amp;"|"&amp;D196&amp;"|"&amp;E196&amp;"|"&amp;F196&amp;"|"&amp;G196&amp;"|"&amp;H196&amp;"|"&amp;I196&amp;"|"&amp;J196&amp;"|"&amp;K196&amp;"|"&amp;L196&amp;"|"&amp;M196&amp;"|"&amp;N196&amp;"|"&amp;O196&amp;"|"&amp;P196</f>
        <v/>
      </c>
      <c r="R196" s="10">
        <f>IF(COUNTIF($Q$2:$Q$1409,Q196)&gt;1,IF(COUNTIF($Q$2:Q196,Q196)=1,"Exact Duplicate - Keep First","Exact Duplicate - Remove"),"Unique")</f>
        <v/>
      </c>
    </row>
    <row r="197" ht="15" customHeight="1" s="11">
      <c r="A197" s="10" t="inlineStr">
        <is>
          <t>USR-100196</t>
        </is>
      </c>
      <c r="B197" s="14" t="n">
        <v>45772</v>
      </c>
      <c r="C197" s="10" t="inlineStr">
        <is>
          <t>Control</t>
        </is>
      </c>
      <c r="D197" s="10" t="inlineStr">
        <is>
          <t>West</t>
        </is>
      </c>
      <c r="E197" s="10" t="inlineStr">
        <is>
          <t>Desktop</t>
        </is>
      </c>
      <c r="F197" s="10" t="inlineStr">
        <is>
          <t>Referral</t>
        </is>
      </c>
      <c r="G197" s="10" t="inlineStr">
        <is>
          <t>Basic</t>
        </is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P197" s="10" t="n">
        <v>74.2</v>
      </c>
      <c r="Q197" s="10">
        <f>A197&amp;"|"&amp;B197&amp;"|"&amp;C197&amp;"|"&amp;D197&amp;"|"&amp;E197&amp;"|"&amp;F197&amp;"|"&amp;G197&amp;"|"&amp;H197&amp;"|"&amp;I197&amp;"|"&amp;J197&amp;"|"&amp;K197&amp;"|"&amp;L197&amp;"|"&amp;M197&amp;"|"&amp;N197&amp;"|"&amp;O197&amp;"|"&amp;P197</f>
        <v/>
      </c>
      <c r="R197" s="10">
        <f>IF(COUNTIF($Q$2:$Q$1409,Q197)&gt;1,IF(COUNTIF($Q$2:Q197,Q197)=1,"Exact Duplicate - Keep First","Exact Duplicate - Remove"),"Unique")</f>
        <v/>
      </c>
    </row>
    <row r="198" ht="15" customHeight="1" s="11">
      <c r="A198" s="10" t="inlineStr">
        <is>
          <t>USR-100197</t>
        </is>
      </c>
      <c r="B198" s="14" t="n">
        <v>45715</v>
      </c>
      <c r="C198" s="10" t="inlineStr">
        <is>
          <t>Control</t>
        </is>
      </c>
      <c r="D198" s="10" t="inlineStr">
        <is>
          <t>North</t>
        </is>
      </c>
      <c r="E198" s="10" t="inlineStr">
        <is>
          <t>Mobile</t>
        </is>
      </c>
      <c r="F198" s="10" t="inlineStr">
        <is>
          <t>Social</t>
        </is>
      </c>
      <c r="G198" s="10" t="inlineStr">
        <is>
          <t>Basic</t>
        </is>
      </c>
      <c r="H198" s="10" t="n">
        <v>1</v>
      </c>
      <c r="I198" s="10" t="n">
        <v>1</v>
      </c>
      <c r="J198" s="10" t="n">
        <v>1</v>
      </c>
      <c r="K198" s="10" t="n">
        <v>1</v>
      </c>
      <c r="L198" s="10" t="n">
        <v>1052.8</v>
      </c>
      <c r="M198" s="10" t="n">
        <v>2</v>
      </c>
      <c r="N198" s="10" t="n">
        <v>0</v>
      </c>
      <c r="O198" s="10" t="n">
        <v>6</v>
      </c>
      <c r="P198" s="10" t="n">
        <v>64.7</v>
      </c>
      <c r="Q198" s="10">
        <f>A198&amp;"|"&amp;B198&amp;"|"&amp;C198&amp;"|"&amp;D198&amp;"|"&amp;E198&amp;"|"&amp;F198&amp;"|"&amp;G198&amp;"|"&amp;H198&amp;"|"&amp;I198&amp;"|"&amp;J198&amp;"|"&amp;K198&amp;"|"&amp;L198&amp;"|"&amp;M198&amp;"|"&amp;N198&amp;"|"&amp;O198&amp;"|"&amp;P198</f>
        <v/>
      </c>
      <c r="R198" s="10">
        <f>IF(COUNTIF($Q$2:$Q$1409,Q198)&gt;1,IF(COUNTIF($Q$2:Q198,Q198)=1,"Exact Duplicate - Keep First","Exact Duplicate - Remove"),"Unique")</f>
        <v/>
      </c>
    </row>
    <row r="199" ht="15" customHeight="1" s="11">
      <c r="A199" s="10" t="inlineStr">
        <is>
          <t>USR-100198</t>
        </is>
      </c>
      <c r="B199" s="14" t="n">
        <v>45773</v>
      </c>
      <c r="C199" s="10" t="inlineStr">
        <is>
          <t>Control</t>
        </is>
      </c>
      <c r="D199" s="10" t="inlineStr">
        <is>
          <t>South</t>
        </is>
      </c>
      <c r="E199" s="10" t="inlineStr">
        <is>
          <t>Mobile</t>
        </is>
      </c>
      <c r="F199" s="10" t="inlineStr">
        <is>
          <t>Paid Search</t>
        </is>
      </c>
      <c r="G199" s="10" t="inlineStr">
        <is>
          <t>Basic</t>
        </is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0</v>
      </c>
      <c r="P199" s="10" t="n">
        <v>65.90000000000001</v>
      </c>
      <c r="Q199" s="10">
        <f>A199&amp;"|"&amp;B199&amp;"|"&amp;C199&amp;"|"&amp;D199&amp;"|"&amp;E199&amp;"|"&amp;F199&amp;"|"&amp;G199&amp;"|"&amp;H199&amp;"|"&amp;I199&amp;"|"&amp;J199&amp;"|"&amp;K199&amp;"|"&amp;L199&amp;"|"&amp;M199&amp;"|"&amp;N199&amp;"|"&amp;O199&amp;"|"&amp;P199</f>
        <v/>
      </c>
      <c r="R199" s="10">
        <f>IF(COUNTIF($Q$2:$Q$1409,Q199)&gt;1,IF(COUNTIF($Q$2:Q199,Q199)=1,"Exact Duplicate - Keep First","Exact Duplicate - Remove"),"Unique")</f>
        <v/>
      </c>
    </row>
    <row r="200" ht="15" customHeight="1" s="11">
      <c r="A200" s="10" t="inlineStr">
        <is>
          <t>USR-100199</t>
        </is>
      </c>
      <c r="B200" s="14" t="n">
        <v>45791</v>
      </c>
      <c r="C200" s="10" t="inlineStr">
        <is>
          <t>Control</t>
        </is>
      </c>
      <c r="D200" s="10" t="inlineStr">
        <is>
          <t>North</t>
        </is>
      </c>
      <c r="E200" s="10" t="inlineStr">
        <is>
          <t>Mobile</t>
        </is>
      </c>
      <c r="F200" s="10" t="inlineStr">
        <is>
          <t>Organic</t>
        </is>
      </c>
      <c r="G200" s="10" t="inlineStr">
        <is>
          <t>Basic</t>
        </is>
      </c>
      <c r="H200" s="10" t="n">
        <v>1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P200" s="10" t="n">
        <v>64</v>
      </c>
      <c r="Q200" s="10">
        <f>A200&amp;"|"&amp;B200&amp;"|"&amp;C200&amp;"|"&amp;D200&amp;"|"&amp;E200&amp;"|"&amp;F200&amp;"|"&amp;G200&amp;"|"&amp;H200&amp;"|"&amp;I200&amp;"|"&amp;J200&amp;"|"&amp;K200&amp;"|"&amp;L200&amp;"|"&amp;M200&amp;"|"&amp;N200&amp;"|"&amp;O200&amp;"|"&amp;P200</f>
        <v/>
      </c>
      <c r="R200" s="10">
        <f>IF(COUNTIF($Q$2:$Q$1409,Q200)&gt;1,IF(COUNTIF($Q$2:Q200,Q200)=1,"Exact Duplicate - Keep First","Exact Duplicate - Remove"),"Unique")</f>
        <v/>
      </c>
    </row>
    <row r="201" ht="15" customHeight="1" s="11">
      <c r="A201" s="10" t="inlineStr">
        <is>
          <t>USR-100200</t>
        </is>
      </c>
      <c r="B201" s="14" t="n">
        <v>45721</v>
      </c>
      <c r="C201" s="10" t="inlineStr">
        <is>
          <t>Control</t>
        </is>
      </c>
      <c r="D201" s="10" t="inlineStr">
        <is>
          <t>North</t>
        </is>
      </c>
      <c r="E201" s="10" t="inlineStr">
        <is>
          <t>Mobile</t>
        </is>
      </c>
      <c r="F201" s="10" t="inlineStr">
        <is>
          <t>Organic</t>
        </is>
      </c>
      <c r="G201" s="10" t="inlineStr">
        <is>
          <t>Premium</t>
        </is>
      </c>
      <c r="H201" s="10" t="n">
        <v>1</v>
      </c>
      <c r="I201" s="10" t="n">
        <v>0</v>
      </c>
      <c r="J201" s="10" t="n">
        <v>0</v>
      </c>
      <c r="K201" s="10" t="n">
        <v>0</v>
      </c>
      <c r="L201" s="10" t="n">
        <v>0</v>
      </c>
      <c r="M201" s="10" t="n">
        <v>0</v>
      </c>
      <c r="N201" s="10" t="n">
        <v>0</v>
      </c>
      <c r="P201" s="10" t="n">
        <v>57.2</v>
      </c>
      <c r="Q201" s="10">
        <f>A201&amp;"|"&amp;B201&amp;"|"&amp;C201&amp;"|"&amp;D201&amp;"|"&amp;E201&amp;"|"&amp;F201&amp;"|"&amp;G201&amp;"|"&amp;H201&amp;"|"&amp;I201&amp;"|"&amp;J201&amp;"|"&amp;K201&amp;"|"&amp;L201&amp;"|"&amp;M201&amp;"|"&amp;N201&amp;"|"&amp;O201&amp;"|"&amp;P201</f>
        <v/>
      </c>
      <c r="R201" s="10">
        <f>IF(COUNTIF($Q$2:$Q$1409,Q201)&gt;1,IF(COUNTIF($Q$2:Q201,Q201)=1,"Exact Duplicate - Keep First","Exact Duplicate - Remove"),"Unique")</f>
        <v/>
      </c>
    </row>
    <row r="202" ht="15" customHeight="1" s="11">
      <c r="A202" s="10" t="inlineStr">
        <is>
          <t>USR-100201</t>
        </is>
      </c>
      <c r="B202" s="14" t="n">
        <v>45749</v>
      </c>
      <c r="C202" s="10" t="inlineStr">
        <is>
          <t>Control</t>
        </is>
      </c>
      <c r="D202" s="10" t="inlineStr">
        <is>
          <t>West</t>
        </is>
      </c>
      <c r="E202" s="10" t="inlineStr">
        <is>
          <t>Desktop</t>
        </is>
      </c>
      <c r="F202" s="10" t="inlineStr">
        <is>
          <t>Organic</t>
        </is>
      </c>
      <c r="G202" s="10" t="inlineStr">
        <is>
          <t>Free</t>
        </is>
      </c>
      <c r="H202" s="10" t="n">
        <v>1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P202" s="10" t="n">
        <v>80.5</v>
      </c>
      <c r="Q202" s="10">
        <f>A202&amp;"|"&amp;B202&amp;"|"&amp;C202&amp;"|"&amp;D202&amp;"|"&amp;E202&amp;"|"&amp;F202&amp;"|"&amp;G202&amp;"|"&amp;H202&amp;"|"&amp;I202&amp;"|"&amp;J202&amp;"|"&amp;K202&amp;"|"&amp;L202&amp;"|"&amp;M202&amp;"|"&amp;N202&amp;"|"&amp;O202&amp;"|"&amp;P202</f>
        <v/>
      </c>
      <c r="R202" s="10">
        <f>IF(COUNTIF($Q$2:$Q$1409,Q202)&gt;1,IF(COUNTIF($Q$2:Q202,Q202)=1,"Exact Duplicate - Keep First","Exact Duplicate - Remove"),"Unique")</f>
        <v/>
      </c>
    </row>
    <row r="203" ht="15" customHeight="1" s="11">
      <c r="A203" s="10" t="inlineStr">
        <is>
          <t>USR-100202</t>
        </is>
      </c>
      <c r="B203" s="14" t="n">
        <v>45791</v>
      </c>
      <c r="C203" s="10" t="inlineStr">
        <is>
          <t>Control</t>
        </is>
      </c>
      <c r="D203" s="10" t="inlineStr">
        <is>
          <t>South</t>
        </is>
      </c>
      <c r="E203" s="10" t="inlineStr">
        <is>
          <t>Tablet</t>
        </is>
      </c>
      <c r="F203" s="10" t="inlineStr">
        <is>
          <t>Organic</t>
        </is>
      </c>
      <c r="G203" s="10" t="inlineStr">
        <is>
          <t>Free</t>
        </is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0</v>
      </c>
      <c r="P203" s="10" t="n">
        <v>53.9</v>
      </c>
      <c r="Q203" s="10">
        <f>A203&amp;"|"&amp;B203&amp;"|"&amp;C203&amp;"|"&amp;D203&amp;"|"&amp;E203&amp;"|"&amp;F203&amp;"|"&amp;G203&amp;"|"&amp;H203&amp;"|"&amp;I203&amp;"|"&amp;J203&amp;"|"&amp;K203&amp;"|"&amp;L203&amp;"|"&amp;M203&amp;"|"&amp;N203&amp;"|"&amp;O203&amp;"|"&amp;P203</f>
        <v/>
      </c>
      <c r="R203" s="10">
        <f>IF(COUNTIF($Q$2:$Q$1409,Q203)&gt;1,IF(COUNTIF($Q$2:Q203,Q203)=1,"Exact Duplicate - Keep First","Exact Duplicate - Remove"),"Unique")</f>
        <v/>
      </c>
    </row>
    <row r="204" ht="15" customHeight="1" s="11">
      <c r="A204" s="10" t="inlineStr">
        <is>
          <t>USR-100203</t>
        </is>
      </c>
      <c r="B204" s="14" t="n">
        <v>45798</v>
      </c>
      <c r="C204" s="10" t="inlineStr">
        <is>
          <t>Control</t>
        </is>
      </c>
      <c r="D204" s="10" t="inlineStr">
        <is>
          <t>North</t>
        </is>
      </c>
      <c r="E204" s="10" t="inlineStr">
        <is>
          <t>Mobile</t>
        </is>
      </c>
      <c r="F204" s="10" t="inlineStr">
        <is>
          <t>Paid Search</t>
        </is>
      </c>
      <c r="G204" s="10" t="inlineStr">
        <is>
          <t>Free</t>
        </is>
      </c>
      <c r="H204" s="10" t="n">
        <v>1</v>
      </c>
      <c r="I204" s="10" t="n">
        <v>1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P204" s="10" t="n">
        <v>77.5</v>
      </c>
      <c r="Q204" s="10">
        <f>A204&amp;"|"&amp;B204&amp;"|"&amp;C204&amp;"|"&amp;D204&amp;"|"&amp;E204&amp;"|"&amp;F204&amp;"|"&amp;G204&amp;"|"&amp;H204&amp;"|"&amp;I204&amp;"|"&amp;J204&amp;"|"&amp;K204&amp;"|"&amp;L204&amp;"|"&amp;M204&amp;"|"&amp;N204&amp;"|"&amp;O204&amp;"|"&amp;P204</f>
        <v/>
      </c>
      <c r="R204" s="10">
        <f>IF(COUNTIF($Q$2:$Q$1409,Q204)&gt;1,IF(COUNTIF($Q$2:Q204,Q204)=1,"Exact Duplicate - Keep First","Exact Duplicate - Remove"),"Unique")</f>
        <v/>
      </c>
    </row>
    <row r="205" ht="15" customHeight="1" s="11">
      <c r="A205" s="10" t="inlineStr">
        <is>
          <t>USR-100204</t>
        </is>
      </c>
      <c r="B205" s="14" t="n">
        <v>45684</v>
      </c>
      <c r="C205" s="10" t="inlineStr">
        <is>
          <t>Control</t>
        </is>
      </c>
      <c r="D205" s="10" t="inlineStr">
        <is>
          <t>East</t>
        </is>
      </c>
      <c r="E205" s="10" t="inlineStr">
        <is>
          <t>Mobile</t>
        </is>
      </c>
      <c r="F205" s="10" t="inlineStr">
        <is>
          <t>Social</t>
        </is>
      </c>
      <c r="G205" s="10" t="inlineStr">
        <is>
          <t>Basic</t>
        </is>
      </c>
      <c r="H205" s="10" t="n">
        <v>0</v>
      </c>
      <c r="I205" s="10" t="n">
        <v>0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P205" s="10" t="n">
        <v>84.2</v>
      </c>
      <c r="Q205" s="10">
        <f>A205&amp;"|"&amp;B205&amp;"|"&amp;C205&amp;"|"&amp;D205&amp;"|"&amp;E205&amp;"|"&amp;F205&amp;"|"&amp;G205&amp;"|"&amp;H205&amp;"|"&amp;I205&amp;"|"&amp;J205&amp;"|"&amp;K205&amp;"|"&amp;L205&amp;"|"&amp;M205&amp;"|"&amp;N205&amp;"|"&amp;O205&amp;"|"&amp;P205</f>
        <v/>
      </c>
      <c r="R205" s="10">
        <f>IF(COUNTIF($Q$2:$Q$1409,Q205)&gt;1,IF(COUNTIF($Q$2:Q205,Q205)=1,"Exact Duplicate - Keep First","Exact Duplicate - Remove"),"Unique")</f>
        <v/>
      </c>
    </row>
    <row r="206" ht="15" customHeight="1" s="11">
      <c r="A206" s="10" t="inlineStr">
        <is>
          <t>USR-100205</t>
        </is>
      </c>
      <c r="B206" s="14" t="n">
        <v>45799</v>
      </c>
      <c r="C206" s="10" t="inlineStr">
        <is>
          <t>Control</t>
        </is>
      </c>
      <c r="D206" s="10" t="inlineStr">
        <is>
          <t>West</t>
        </is>
      </c>
      <c r="E206" s="10" t="inlineStr">
        <is>
          <t>Desktop</t>
        </is>
      </c>
      <c r="F206" s="10" t="inlineStr">
        <is>
          <t>Organic</t>
        </is>
      </c>
      <c r="G206" s="10" t="inlineStr">
        <is>
          <t>Free</t>
        </is>
      </c>
      <c r="H206" s="10" t="n">
        <v>1</v>
      </c>
      <c r="I206" s="10" t="n">
        <v>1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P206" s="10" t="n">
        <v>54.9</v>
      </c>
      <c r="Q206" s="10">
        <f>A206&amp;"|"&amp;B206&amp;"|"&amp;C206&amp;"|"&amp;D206&amp;"|"&amp;E206&amp;"|"&amp;F206&amp;"|"&amp;G206&amp;"|"&amp;H206&amp;"|"&amp;I206&amp;"|"&amp;J206&amp;"|"&amp;K206&amp;"|"&amp;L206&amp;"|"&amp;M206&amp;"|"&amp;N206&amp;"|"&amp;O206&amp;"|"&amp;P206</f>
        <v/>
      </c>
      <c r="R206" s="10">
        <f>IF(COUNTIF($Q$2:$Q$1409,Q206)&gt;1,IF(COUNTIF($Q$2:Q206,Q206)=1,"Exact Duplicate - Keep First","Exact Duplicate - Remove"),"Unique")</f>
        <v/>
      </c>
    </row>
    <row r="207" ht="15" customHeight="1" s="11">
      <c r="A207" s="10" t="inlineStr">
        <is>
          <t>USR-100206</t>
        </is>
      </c>
      <c r="B207" s="14" t="n">
        <v>45796</v>
      </c>
      <c r="C207" s="10" t="inlineStr">
        <is>
          <t>Control</t>
        </is>
      </c>
      <c r="D207" s="10" t="inlineStr">
        <is>
          <t>South</t>
        </is>
      </c>
      <c r="E207" s="10" t="inlineStr">
        <is>
          <t>Mobile</t>
        </is>
      </c>
      <c r="F207" s="10" t="inlineStr">
        <is>
          <t>Paid Search</t>
        </is>
      </c>
      <c r="G207" s="10" t="inlineStr">
        <is>
          <t>Free</t>
        </is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0</v>
      </c>
      <c r="M207" s="10" t="n">
        <v>0</v>
      </c>
      <c r="N207" s="10" t="n">
        <v>0</v>
      </c>
      <c r="P207" s="10" t="n">
        <v>69.3</v>
      </c>
      <c r="Q207" s="10">
        <f>A207&amp;"|"&amp;B207&amp;"|"&amp;C207&amp;"|"&amp;D207&amp;"|"&amp;E207&amp;"|"&amp;F207&amp;"|"&amp;G207&amp;"|"&amp;H207&amp;"|"&amp;I207&amp;"|"&amp;J207&amp;"|"&amp;K207&amp;"|"&amp;L207&amp;"|"&amp;M207&amp;"|"&amp;N207&amp;"|"&amp;O207&amp;"|"&amp;P207</f>
        <v/>
      </c>
      <c r="R207" s="10">
        <f>IF(COUNTIF($Q$2:$Q$1409,Q207)&gt;1,IF(COUNTIF($Q$2:Q207,Q207)=1,"Exact Duplicate - Keep First","Exact Duplicate - Remove"),"Unique")</f>
        <v/>
      </c>
    </row>
    <row r="208" ht="15" customHeight="1" s="11">
      <c r="A208" s="10" t="inlineStr">
        <is>
          <t>USR-100207</t>
        </is>
      </c>
      <c r="B208" s="14" t="n">
        <v>45671</v>
      </c>
      <c r="C208" s="10" t="inlineStr">
        <is>
          <t>Control</t>
        </is>
      </c>
      <c r="D208" s="10" t="inlineStr">
        <is>
          <t>South</t>
        </is>
      </c>
      <c r="E208" s="10" t="inlineStr">
        <is>
          <t>Desktop</t>
        </is>
      </c>
      <c r="F208" s="10" t="inlineStr">
        <is>
          <t>Paid Search</t>
        </is>
      </c>
      <c r="G208" s="10" t="inlineStr">
        <is>
          <t>Free</t>
        </is>
      </c>
      <c r="H208" s="10" t="n">
        <v>1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2</v>
      </c>
      <c r="N208" s="10" t="n">
        <v>0</v>
      </c>
      <c r="P208" s="10" t="n">
        <v>42.3</v>
      </c>
      <c r="Q208" s="10">
        <f>A208&amp;"|"&amp;B208&amp;"|"&amp;C208&amp;"|"&amp;D208&amp;"|"&amp;E208&amp;"|"&amp;F208&amp;"|"&amp;G208&amp;"|"&amp;H208&amp;"|"&amp;I208&amp;"|"&amp;J208&amp;"|"&amp;K208&amp;"|"&amp;L208&amp;"|"&amp;M208&amp;"|"&amp;N208&amp;"|"&amp;O208&amp;"|"&amp;P208</f>
        <v/>
      </c>
      <c r="R208" s="10">
        <f>IF(COUNTIF($Q$2:$Q$1409,Q208)&gt;1,IF(COUNTIF($Q$2:Q208,Q208)=1,"Exact Duplicate - Keep First","Exact Duplicate - Remove"),"Unique")</f>
        <v/>
      </c>
    </row>
    <row r="209" ht="15" customHeight="1" s="11">
      <c r="A209" s="10" t="inlineStr">
        <is>
          <t>USR-100208</t>
        </is>
      </c>
      <c r="B209" s="14" t="n">
        <v>45678</v>
      </c>
      <c r="C209" s="10" t="inlineStr">
        <is>
          <t>Control</t>
        </is>
      </c>
      <c r="D209" s="10" t="inlineStr">
        <is>
          <t>North</t>
        </is>
      </c>
      <c r="E209" s="10" t="inlineStr">
        <is>
          <t>Desktop</t>
        </is>
      </c>
      <c r="F209" s="10" t="inlineStr">
        <is>
          <t>Referral</t>
        </is>
      </c>
      <c r="G209" s="10" t="inlineStr">
        <is>
          <t>Premium</t>
        </is>
      </c>
      <c r="H209" s="10" t="n">
        <v>1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1</v>
      </c>
      <c r="N209" s="10" t="n">
        <v>0</v>
      </c>
      <c r="P209" s="10" t="n">
        <v>69.59999999999999</v>
      </c>
      <c r="Q209" s="10">
        <f>A209&amp;"|"&amp;B209&amp;"|"&amp;C209&amp;"|"&amp;D209&amp;"|"&amp;E209&amp;"|"&amp;F209&amp;"|"&amp;G209&amp;"|"&amp;H209&amp;"|"&amp;I209&amp;"|"&amp;J209&amp;"|"&amp;K209&amp;"|"&amp;L209&amp;"|"&amp;M209&amp;"|"&amp;N209&amp;"|"&amp;O209&amp;"|"&amp;P209</f>
        <v/>
      </c>
      <c r="R209" s="10">
        <f>IF(COUNTIF($Q$2:$Q$1409,Q209)&gt;1,IF(COUNTIF($Q$2:Q209,Q209)=1,"Exact Duplicate - Keep First","Exact Duplicate - Remove"),"Unique")</f>
        <v/>
      </c>
    </row>
    <row r="210" ht="15" customHeight="1" s="11">
      <c r="A210" s="10" t="inlineStr">
        <is>
          <t>USR-100209</t>
        </is>
      </c>
      <c r="B210" s="14" t="n">
        <v>45793</v>
      </c>
      <c r="C210" s="10" t="inlineStr">
        <is>
          <t>Control</t>
        </is>
      </c>
      <c r="D210" s="10" t="inlineStr">
        <is>
          <t>East</t>
        </is>
      </c>
      <c r="E210" s="10" t="inlineStr">
        <is>
          <t>Mobile</t>
        </is>
      </c>
      <c r="F210" s="10" t="inlineStr">
        <is>
          <t>Organic</t>
        </is>
      </c>
      <c r="G210" s="10" t="inlineStr">
        <is>
          <t>Free</t>
        </is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P210" s="10" t="n">
        <v>40.7</v>
      </c>
      <c r="Q210" s="10">
        <f>A210&amp;"|"&amp;B210&amp;"|"&amp;C210&amp;"|"&amp;D210&amp;"|"&amp;E210&amp;"|"&amp;F210&amp;"|"&amp;G210&amp;"|"&amp;H210&amp;"|"&amp;I210&amp;"|"&amp;J210&amp;"|"&amp;K210&amp;"|"&amp;L210&amp;"|"&amp;M210&amp;"|"&amp;N210&amp;"|"&amp;O210&amp;"|"&amp;P210</f>
        <v/>
      </c>
      <c r="R210" s="10">
        <f>IF(COUNTIF($Q$2:$Q$1409,Q210)&gt;1,IF(COUNTIF($Q$2:Q210,Q210)=1,"Exact Duplicate - Keep First","Exact Duplicate - Remove"),"Unique")</f>
        <v/>
      </c>
    </row>
    <row r="211" ht="15" customHeight="1" s="11">
      <c r="A211" s="10" t="inlineStr">
        <is>
          <t>USR-100210</t>
        </is>
      </c>
      <c r="B211" s="14" t="n">
        <v>45690</v>
      </c>
      <c r="C211" s="10" t="inlineStr">
        <is>
          <t>Control</t>
        </is>
      </c>
      <c r="D211" s="10" t="inlineStr">
        <is>
          <t>North</t>
        </is>
      </c>
      <c r="E211" s="10" t="inlineStr">
        <is>
          <t>Mobile</t>
        </is>
      </c>
      <c r="F211" s="10" t="inlineStr">
        <is>
          <t>Email</t>
        </is>
      </c>
      <c r="G211" s="10" t="inlineStr">
        <is>
          <t>Free</t>
        </is>
      </c>
      <c r="H211" s="10" t="n">
        <v>1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P211" s="10" t="n">
        <v>54</v>
      </c>
      <c r="Q211" s="10">
        <f>A211&amp;"|"&amp;B211&amp;"|"&amp;C211&amp;"|"&amp;D211&amp;"|"&amp;E211&amp;"|"&amp;F211&amp;"|"&amp;G211&amp;"|"&amp;H211&amp;"|"&amp;I211&amp;"|"&amp;J211&amp;"|"&amp;K211&amp;"|"&amp;L211&amp;"|"&amp;M211&amp;"|"&amp;N211&amp;"|"&amp;O211&amp;"|"&amp;P211</f>
        <v/>
      </c>
      <c r="R211" s="10">
        <f>IF(COUNTIF($Q$2:$Q$1409,Q211)&gt;1,IF(COUNTIF($Q$2:Q211,Q211)=1,"Exact Duplicate - Keep First","Exact Duplicate - Remove"),"Unique")</f>
        <v/>
      </c>
    </row>
    <row r="212" ht="15" customHeight="1" s="11">
      <c r="A212" s="10" t="inlineStr">
        <is>
          <t>USR-100211</t>
        </is>
      </c>
      <c r="B212" s="14" t="n">
        <v>45739</v>
      </c>
      <c r="C212" s="10" t="inlineStr">
        <is>
          <t>Control</t>
        </is>
      </c>
      <c r="D212" s="10" t="inlineStr">
        <is>
          <t>East</t>
        </is>
      </c>
      <c r="F212" s="10" t="inlineStr">
        <is>
          <t>Referral</t>
        </is>
      </c>
      <c r="G212" s="10" t="inlineStr">
        <is>
          <t>Free</t>
        </is>
      </c>
      <c r="H212" s="10" t="n">
        <v>1</v>
      </c>
      <c r="I212" s="10" t="n">
        <v>1</v>
      </c>
      <c r="J212" s="10" t="n">
        <v>1</v>
      </c>
      <c r="K212" s="10" t="n">
        <v>1</v>
      </c>
      <c r="L212" s="10" t="n">
        <v>553.37</v>
      </c>
      <c r="M212" s="10" t="n">
        <v>0</v>
      </c>
      <c r="N212" s="10" t="n">
        <v>0</v>
      </c>
      <c r="O212" s="10" t="n">
        <v>5</v>
      </c>
      <c r="P212" s="10" t="n">
        <v>46.3</v>
      </c>
      <c r="Q212" s="10">
        <f>A212&amp;"|"&amp;B212&amp;"|"&amp;C212&amp;"|"&amp;D212&amp;"|"&amp;E212&amp;"|"&amp;F212&amp;"|"&amp;G212&amp;"|"&amp;H212&amp;"|"&amp;I212&amp;"|"&amp;J212&amp;"|"&amp;K212&amp;"|"&amp;L212&amp;"|"&amp;M212&amp;"|"&amp;N212&amp;"|"&amp;O212&amp;"|"&amp;P212</f>
        <v/>
      </c>
      <c r="R212" s="10">
        <f>IF(COUNTIF($Q$2:$Q$1409,Q212)&gt;1,IF(COUNTIF($Q$2:Q212,Q212)=1,"Exact Duplicate - Keep First","Exact Duplicate - Remove"),"Unique")</f>
        <v/>
      </c>
    </row>
    <row r="213" ht="15" customHeight="1" s="11">
      <c r="A213" s="10" t="inlineStr">
        <is>
          <t>USR-100212</t>
        </is>
      </c>
      <c r="B213" s="14" t="n">
        <v>45681</v>
      </c>
      <c r="C213" s="10" t="inlineStr">
        <is>
          <t>Control</t>
        </is>
      </c>
      <c r="D213" s="10" t="inlineStr">
        <is>
          <t>East</t>
        </is>
      </c>
      <c r="E213" s="10" t="inlineStr">
        <is>
          <t>Mobile</t>
        </is>
      </c>
      <c r="F213" s="10" t="inlineStr">
        <is>
          <t>Organic</t>
        </is>
      </c>
      <c r="G213" s="10" t="inlineStr">
        <is>
          <t>Free</t>
        </is>
      </c>
      <c r="H213" s="10" t="n">
        <v>1</v>
      </c>
      <c r="I213" s="10" t="n">
        <v>0</v>
      </c>
      <c r="J213" s="10" t="n">
        <v>0</v>
      </c>
      <c r="K213" s="10" t="n">
        <v>0</v>
      </c>
      <c r="L213" s="10" t="n">
        <v>0</v>
      </c>
      <c r="M213" s="10" t="n">
        <v>0</v>
      </c>
      <c r="N213" s="10" t="n">
        <v>0</v>
      </c>
      <c r="P213" s="10" t="n">
        <v>64.2</v>
      </c>
      <c r="Q213" s="10">
        <f>A213&amp;"|"&amp;B213&amp;"|"&amp;C213&amp;"|"&amp;D213&amp;"|"&amp;E213&amp;"|"&amp;F213&amp;"|"&amp;G213&amp;"|"&amp;H213&amp;"|"&amp;I213&amp;"|"&amp;J213&amp;"|"&amp;K213&amp;"|"&amp;L213&amp;"|"&amp;M213&amp;"|"&amp;N213&amp;"|"&amp;O213&amp;"|"&amp;P213</f>
        <v/>
      </c>
      <c r="R213" s="10">
        <f>IF(COUNTIF($Q$2:$Q$1409,Q213)&gt;1,IF(COUNTIF($Q$2:Q213,Q213)=1,"Exact Duplicate - Keep First","Exact Duplicate - Remove"),"Unique")</f>
        <v/>
      </c>
    </row>
    <row r="214" ht="15" customHeight="1" s="11">
      <c r="A214" s="10" t="inlineStr">
        <is>
          <t>USR-100213</t>
        </is>
      </c>
      <c r="B214" s="14" t="n">
        <v>45759</v>
      </c>
      <c r="C214" s="10" t="inlineStr">
        <is>
          <t>Control</t>
        </is>
      </c>
      <c r="D214" s="10" t="inlineStr">
        <is>
          <t>North</t>
        </is>
      </c>
      <c r="E214" s="10" t="inlineStr">
        <is>
          <t>Desktop</t>
        </is>
      </c>
      <c r="F214" s="10" t="inlineStr">
        <is>
          <t>Organic</t>
        </is>
      </c>
      <c r="G214" s="10" t="inlineStr">
        <is>
          <t>Free</t>
        </is>
      </c>
      <c r="H214" s="10" t="n">
        <v>1</v>
      </c>
      <c r="I214" s="10" t="n">
        <v>0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P214" s="10" t="n">
        <v>75.2</v>
      </c>
      <c r="Q214" s="10">
        <f>A214&amp;"|"&amp;B214&amp;"|"&amp;C214&amp;"|"&amp;D214&amp;"|"&amp;E214&amp;"|"&amp;F214&amp;"|"&amp;G214&amp;"|"&amp;H214&amp;"|"&amp;I214&amp;"|"&amp;J214&amp;"|"&amp;K214&amp;"|"&amp;L214&amp;"|"&amp;M214&amp;"|"&amp;N214&amp;"|"&amp;O214&amp;"|"&amp;P214</f>
        <v/>
      </c>
      <c r="R214" s="10">
        <f>IF(COUNTIF($Q$2:$Q$1409,Q214)&gt;1,IF(COUNTIF($Q$2:Q214,Q214)=1,"Exact Duplicate - Keep First","Exact Duplicate - Remove"),"Unique")</f>
        <v/>
      </c>
    </row>
    <row r="215" ht="15" customHeight="1" s="11">
      <c r="A215" s="10" t="inlineStr">
        <is>
          <t>USR-100214</t>
        </is>
      </c>
      <c r="B215" s="14" t="n">
        <v>45706</v>
      </c>
      <c r="C215" s="10" t="inlineStr">
        <is>
          <t>Control</t>
        </is>
      </c>
      <c r="D215" s="10" t="inlineStr">
        <is>
          <t>East</t>
        </is>
      </c>
      <c r="E215" s="10" t="inlineStr">
        <is>
          <t>Desktop</t>
        </is>
      </c>
      <c r="F215" s="10" t="inlineStr">
        <is>
          <t>Paid Search</t>
        </is>
      </c>
      <c r="G215" s="10" t="inlineStr">
        <is>
          <t>Free</t>
        </is>
      </c>
      <c r="H215" s="10" t="n">
        <v>1</v>
      </c>
      <c r="I215" s="10" t="n">
        <v>1</v>
      </c>
      <c r="J215" s="10" t="n">
        <v>0</v>
      </c>
      <c r="K215" s="10" t="n">
        <v>0</v>
      </c>
      <c r="L215" s="10" t="n">
        <v>0</v>
      </c>
      <c r="M215" s="10" t="n">
        <v>0</v>
      </c>
      <c r="N215" s="10" t="n">
        <v>0</v>
      </c>
      <c r="P215" s="10" t="n">
        <v>60.9</v>
      </c>
      <c r="Q215" s="10">
        <f>A215&amp;"|"&amp;B215&amp;"|"&amp;C215&amp;"|"&amp;D215&amp;"|"&amp;E215&amp;"|"&amp;F215&amp;"|"&amp;G215&amp;"|"&amp;H215&amp;"|"&amp;I215&amp;"|"&amp;J215&amp;"|"&amp;K215&amp;"|"&amp;L215&amp;"|"&amp;M215&amp;"|"&amp;N215&amp;"|"&amp;O215&amp;"|"&amp;P215</f>
        <v/>
      </c>
      <c r="R215" s="10">
        <f>IF(COUNTIF($Q$2:$Q$1409,Q215)&gt;1,IF(COUNTIF($Q$2:Q215,Q215)=1,"Exact Duplicate - Keep First","Exact Duplicate - Remove"),"Unique")</f>
        <v/>
      </c>
    </row>
    <row r="216" ht="15" customHeight="1" s="11">
      <c r="A216" s="10" t="inlineStr">
        <is>
          <t>USR-100215</t>
        </is>
      </c>
      <c r="B216" s="14" t="n">
        <v>45805</v>
      </c>
      <c r="C216" s="10" t="inlineStr">
        <is>
          <t>Control</t>
        </is>
      </c>
      <c r="D216" s="10" t="inlineStr">
        <is>
          <t>South</t>
        </is>
      </c>
      <c r="E216" s="10" t="inlineStr">
        <is>
          <t>Mobile</t>
        </is>
      </c>
      <c r="F216" s="10" t="inlineStr">
        <is>
          <t>Email</t>
        </is>
      </c>
      <c r="G216" s="10" t="inlineStr">
        <is>
          <t>Basic</t>
        </is>
      </c>
      <c r="H216" s="10" t="n">
        <v>1</v>
      </c>
      <c r="I216" s="10" t="n">
        <v>1</v>
      </c>
      <c r="J216" s="10" t="n">
        <v>1</v>
      </c>
      <c r="K216" s="10" t="n">
        <v>0</v>
      </c>
      <c r="L216" s="10" t="n">
        <v>0</v>
      </c>
      <c r="M216" s="10" t="n">
        <v>0</v>
      </c>
      <c r="N216" s="10" t="n">
        <v>0</v>
      </c>
      <c r="P216" s="10" t="n">
        <v>62.1</v>
      </c>
      <c r="Q216" s="10">
        <f>A216&amp;"|"&amp;B216&amp;"|"&amp;C216&amp;"|"&amp;D216&amp;"|"&amp;E216&amp;"|"&amp;F216&amp;"|"&amp;G216&amp;"|"&amp;H216&amp;"|"&amp;I216&amp;"|"&amp;J216&amp;"|"&amp;K216&amp;"|"&amp;L216&amp;"|"&amp;M216&amp;"|"&amp;N216&amp;"|"&amp;O216&amp;"|"&amp;P216</f>
        <v/>
      </c>
      <c r="R216" s="10">
        <f>IF(COUNTIF($Q$2:$Q$1409,Q216)&gt;1,IF(COUNTIF($Q$2:Q216,Q216)=1,"Exact Duplicate - Keep First","Exact Duplicate - Remove"),"Unique")</f>
        <v/>
      </c>
    </row>
    <row r="217" ht="15" customHeight="1" s="11">
      <c r="A217" s="10" t="inlineStr">
        <is>
          <t>USR-100216</t>
        </is>
      </c>
      <c r="B217" s="14" t="n">
        <v>45765</v>
      </c>
      <c r="C217" s="10" t="inlineStr">
        <is>
          <t>Control</t>
        </is>
      </c>
      <c r="D217" s="10" t="inlineStr">
        <is>
          <t>South</t>
        </is>
      </c>
      <c r="E217" s="10" t="inlineStr">
        <is>
          <t>Mobile</t>
        </is>
      </c>
      <c r="F217" s="10" t="inlineStr">
        <is>
          <t>Social</t>
        </is>
      </c>
      <c r="G217" s="10" t="inlineStr">
        <is>
          <t>Basic</t>
        </is>
      </c>
      <c r="H217" s="10" t="n">
        <v>0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0</v>
      </c>
      <c r="N217" s="10" t="n">
        <v>0</v>
      </c>
      <c r="P217" s="10" t="n">
        <v>45.4</v>
      </c>
      <c r="Q217" s="10">
        <f>A217&amp;"|"&amp;B217&amp;"|"&amp;C217&amp;"|"&amp;D217&amp;"|"&amp;E217&amp;"|"&amp;F217&amp;"|"&amp;G217&amp;"|"&amp;H217&amp;"|"&amp;I217&amp;"|"&amp;J217&amp;"|"&amp;K217&amp;"|"&amp;L217&amp;"|"&amp;M217&amp;"|"&amp;N217&amp;"|"&amp;O217&amp;"|"&amp;P217</f>
        <v/>
      </c>
      <c r="R217" s="10">
        <f>IF(COUNTIF($Q$2:$Q$1409,Q217)&gt;1,IF(COUNTIF($Q$2:Q217,Q217)=1,"Exact Duplicate - Keep First","Exact Duplicate - Remove"),"Unique")</f>
        <v/>
      </c>
    </row>
    <row r="218" ht="15" customHeight="1" s="11">
      <c r="A218" s="10" t="inlineStr">
        <is>
          <t>USR-100217</t>
        </is>
      </c>
      <c r="B218" s="14" t="n">
        <v>45743</v>
      </c>
      <c r="C218" s="10" t="inlineStr">
        <is>
          <t>Control</t>
        </is>
      </c>
      <c r="D218" s="10" t="inlineStr">
        <is>
          <t>North</t>
        </is>
      </c>
      <c r="E218" s="10" t="inlineStr">
        <is>
          <t>Mobile</t>
        </is>
      </c>
      <c r="F218" s="10" t="inlineStr">
        <is>
          <t>Paid Search</t>
        </is>
      </c>
      <c r="G218" s="10" t="inlineStr">
        <is>
          <t>Basic</t>
        </is>
      </c>
      <c r="H218" s="10" t="n">
        <v>1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P218" s="10" t="n">
        <v>53.3</v>
      </c>
      <c r="Q218" s="10">
        <f>A218&amp;"|"&amp;B218&amp;"|"&amp;C218&amp;"|"&amp;D218&amp;"|"&amp;E218&amp;"|"&amp;F218&amp;"|"&amp;G218&amp;"|"&amp;H218&amp;"|"&amp;I218&amp;"|"&amp;J218&amp;"|"&amp;K218&amp;"|"&amp;L218&amp;"|"&amp;M218&amp;"|"&amp;N218&amp;"|"&amp;O218&amp;"|"&amp;P218</f>
        <v/>
      </c>
      <c r="R218" s="10">
        <f>IF(COUNTIF($Q$2:$Q$1409,Q218)&gt;1,IF(COUNTIF($Q$2:Q218,Q218)=1,"Exact Duplicate - Keep First","Exact Duplicate - Remove"),"Unique")</f>
        <v/>
      </c>
    </row>
    <row r="219" ht="15" customHeight="1" s="11">
      <c r="A219" s="10" t="inlineStr">
        <is>
          <t>USR-100218</t>
        </is>
      </c>
      <c r="B219" s="14" t="n">
        <v>45713</v>
      </c>
      <c r="C219" s="10" t="inlineStr">
        <is>
          <t>Control</t>
        </is>
      </c>
      <c r="D219" s="10" t="inlineStr">
        <is>
          <t>North</t>
        </is>
      </c>
      <c r="E219" s="10" t="inlineStr">
        <is>
          <t>Tablet</t>
        </is>
      </c>
      <c r="F219" s="10" t="inlineStr">
        <is>
          <t>Social</t>
        </is>
      </c>
      <c r="G219" s="10" t="inlineStr">
        <is>
          <t>Free</t>
        </is>
      </c>
      <c r="H219" s="10" t="n">
        <v>1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Q219" s="10">
        <f>A219&amp;"|"&amp;B219&amp;"|"&amp;C219&amp;"|"&amp;D219&amp;"|"&amp;E219&amp;"|"&amp;F219&amp;"|"&amp;G219&amp;"|"&amp;H219&amp;"|"&amp;I219&amp;"|"&amp;J219&amp;"|"&amp;K219&amp;"|"&amp;L219&amp;"|"&amp;M219&amp;"|"&amp;N219&amp;"|"&amp;O219&amp;"|"&amp;P219</f>
        <v/>
      </c>
      <c r="R219" s="10">
        <f>IF(COUNTIF($Q$2:$Q$1409,Q219)&gt;1,IF(COUNTIF($Q$2:Q219,Q219)=1,"Exact Duplicate - Keep First","Exact Duplicate - Remove"),"Unique")</f>
        <v/>
      </c>
    </row>
    <row r="220" ht="15" customHeight="1" s="11">
      <c r="A220" s="10" t="inlineStr">
        <is>
          <t>USR-100219</t>
        </is>
      </c>
      <c r="B220" s="14" t="n">
        <v>45707</v>
      </c>
      <c r="C220" s="10" t="inlineStr">
        <is>
          <t>Control</t>
        </is>
      </c>
      <c r="D220" s="10" t="inlineStr">
        <is>
          <t>East</t>
        </is>
      </c>
      <c r="E220" s="10" t="inlineStr">
        <is>
          <t>Mobile</t>
        </is>
      </c>
      <c r="F220" s="10" t="inlineStr">
        <is>
          <t>Paid Search</t>
        </is>
      </c>
      <c r="G220" s="10" t="inlineStr">
        <is>
          <t>Free</t>
        </is>
      </c>
      <c r="H220" s="10" t="n">
        <v>0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1</v>
      </c>
      <c r="N220" s="10" t="n">
        <v>0</v>
      </c>
      <c r="P220" s="10" t="n">
        <v>38.2</v>
      </c>
      <c r="Q220" s="10">
        <f>A220&amp;"|"&amp;B220&amp;"|"&amp;C220&amp;"|"&amp;D220&amp;"|"&amp;E220&amp;"|"&amp;F220&amp;"|"&amp;G220&amp;"|"&amp;H220&amp;"|"&amp;I220&amp;"|"&amp;J220&amp;"|"&amp;K220&amp;"|"&amp;L220&amp;"|"&amp;M220&amp;"|"&amp;N220&amp;"|"&amp;O220&amp;"|"&amp;P220</f>
        <v/>
      </c>
      <c r="R220" s="10">
        <f>IF(COUNTIF($Q$2:$Q$1409,Q220)&gt;1,IF(COUNTIF($Q$2:Q220,Q220)=1,"Exact Duplicate - Keep First","Exact Duplicate - Remove"),"Unique")</f>
        <v/>
      </c>
    </row>
    <row r="221" ht="15" customHeight="1" s="11">
      <c r="A221" s="10" t="inlineStr">
        <is>
          <t>USR-100220</t>
        </is>
      </c>
      <c r="B221" s="14" t="n">
        <v>45758</v>
      </c>
      <c r="C221" s="10" t="inlineStr">
        <is>
          <t>Control</t>
        </is>
      </c>
      <c r="D221" s="10" t="inlineStr">
        <is>
          <t>West</t>
        </is>
      </c>
      <c r="E221" s="10" t="inlineStr">
        <is>
          <t>Mobile</t>
        </is>
      </c>
      <c r="F221" s="10" t="inlineStr">
        <is>
          <t>Paid Search</t>
        </is>
      </c>
      <c r="G221" s="10" t="inlineStr">
        <is>
          <t>Free</t>
        </is>
      </c>
      <c r="H221" s="10" t="n">
        <v>1</v>
      </c>
      <c r="I221" s="10" t="n">
        <v>1</v>
      </c>
      <c r="J221" s="10" t="n">
        <v>0</v>
      </c>
      <c r="K221" s="10" t="n">
        <v>0</v>
      </c>
      <c r="L221" s="10" t="n">
        <v>0</v>
      </c>
      <c r="M221" s="10" t="n">
        <v>3</v>
      </c>
      <c r="N221" s="10" t="n">
        <v>0</v>
      </c>
      <c r="P221" s="10" t="n">
        <v>59</v>
      </c>
      <c r="Q221" s="10">
        <f>A221&amp;"|"&amp;B221&amp;"|"&amp;C221&amp;"|"&amp;D221&amp;"|"&amp;E221&amp;"|"&amp;F221&amp;"|"&amp;G221&amp;"|"&amp;H221&amp;"|"&amp;I221&amp;"|"&amp;J221&amp;"|"&amp;K221&amp;"|"&amp;L221&amp;"|"&amp;M221&amp;"|"&amp;N221&amp;"|"&amp;O221&amp;"|"&amp;P221</f>
        <v/>
      </c>
      <c r="R221" s="10">
        <f>IF(COUNTIF($Q$2:$Q$1409,Q221)&gt;1,IF(COUNTIF($Q$2:Q221,Q221)=1,"Exact Duplicate - Keep First","Exact Duplicate - Remove"),"Unique")</f>
        <v/>
      </c>
    </row>
    <row r="222" ht="15" customHeight="1" s="11">
      <c r="A222" s="10" t="inlineStr">
        <is>
          <t>USR-100221</t>
        </is>
      </c>
      <c r="B222" s="14" t="n">
        <v>45679</v>
      </c>
      <c r="C222" s="10" t="inlineStr">
        <is>
          <t>Control</t>
        </is>
      </c>
      <c r="D222" s="10" t="inlineStr">
        <is>
          <t>East</t>
        </is>
      </c>
      <c r="E222" s="10" t="inlineStr">
        <is>
          <t>Tablet</t>
        </is>
      </c>
      <c r="F222" s="10" t="inlineStr">
        <is>
          <t>Referral</t>
        </is>
      </c>
      <c r="G222" s="10" t="inlineStr">
        <is>
          <t>Premium</t>
        </is>
      </c>
      <c r="H222" s="10" t="n">
        <v>1</v>
      </c>
      <c r="I222" s="10" t="n">
        <v>1</v>
      </c>
      <c r="J222" s="10" t="n">
        <v>1</v>
      </c>
      <c r="K222" s="10" t="n">
        <v>0</v>
      </c>
      <c r="L222" s="10" t="n">
        <v>0</v>
      </c>
      <c r="M222" s="10" t="n">
        <v>0</v>
      </c>
      <c r="N222" s="10" t="n">
        <v>0</v>
      </c>
      <c r="P222" s="10" t="n">
        <v>80.59999999999999</v>
      </c>
      <c r="Q222" s="10">
        <f>A222&amp;"|"&amp;B222&amp;"|"&amp;C222&amp;"|"&amp;D222&amp;"|"&amp;E222&amp;"|"&amp;F222&amp;"|"&amp;G222&amp;"|"&amp;H222&amp;"|"&amp;I222&amp;"|"&amp;J222&amp;"|"&amp;K222&amp;"|"&amp;L222&amp;"|"&amp;M222&amp;"|"&amp;N222&amp;"|"&amp;O222&amp;"|"&amp;P222</f>
        <v/>
      </c>
      <c r="R222" s="10">
        <f>IF(COUNTIF($Q$2:$Q$1409,Q222)&gt;1,IF(COUNTIF($Q$2:Q222,Q222)=1,"Exact Duplicate - Keep First","Exact Duplicate - Remove"),"Unique")</f>
        <v/>
      </c>
    </row>
    <row r="223" ht="15" customHeight="1" s="11">
      <c r="A223" s="10" t="inlineStr">
        <is>
          <t>USR-100222</t>
        </is>
      </c>
      <c r="B223" s="14" t="n">
        <v>45669</v>
      </c>
      <c r="C223" s="10" t="inlineStr">
        <is>
          <t>Control</t>
        </is>
      </c>
      <c r="D223" s="10" t="inlineStr">
        <is>
          <t>South</t>
        </is>
      </c>
      <c r="E223" s="10" t="inlineStr">
        <is>
          <t>Mobile</t>
        </is>
      </c>
      <c r="F223" s="10" t="inlineStr">
        <is>
          <t>Social</t>
        </is>
      </c>
      <c r="G223" s="10" t="inlineStr">
        <is>
          <t>Free</t>
        </is>
      </c>
      <c r="H223" s="10" t="n">
        <v>1</v>
      </c>
      <c r="I223" s="10" t="n">
        <v>0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P223" s="10" t="n">
        <v>67</v>
      </c>
      <c r="Q223" s="10">
        <f>A223&amp;"|"&amp;B223&amp;"|"&amp;C223&amp;"|"&amp;D223&amp;"|"&amp;E223&amp;"|"&amp;F223&amp;"|"&amp;G223&amp;"|"&amp;H223&amp;"|"&amp;I223&amp;"|"&amp;J223&amp;"|"&amp;K223&amp;"|"&amp;L223&amp;"|"&amp;M223&amp;"|"&amp;N223&amp;"|"&amp;O223&amp;"|"&amp;P223</f>
        <v/>
      </c>
      <c r="R223" s="10">
        <f>IF(COUNTIF($Q$2:$Q$1409,Q223)&gt;1,IF(COUNTIF($Q$2:Q223,Q223)=1,"Exact Duplicate - Keep First","Exact Duplicate - Remove"),"Unique")</f>
        <v/>
      </c>
    </row>
    <row r="224" ht="15" customHeight="1" s="11">
      <c r="A224" s="10" t="inlineStr">
        <is>
          <t>USR-100223</t>
        </is>
      </c>
      <c r="B224" s="14" t="n">
        <v>45705</v>
      </c>
      <c r="C224" s="10" t="inlineStr">
        <is>
          <t>Control</t>
        </is>
      </c>
      <c r="D224" s="10" t="inlineStr">
        <is>
          <t>West</t>
        </is>
      </c>
      <c r="E224" s="10" t="inlineStr">
        <is>
          <t>Mobile</t>
        </is>
      </c>
      <c r="F224" s="10" t="inlineStr">
        <is>
          <t>Email</t>
        </is>
      </c>
      <c r="G224" s="10" t="inlineStr">
        <is>
          <t>Free</t>
        </is>
      </c>
      <c r="H224" s="10" t="n">
        <v>1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1</v>
      </c>
      <c r="N224" s="10" t="n">
        <v>0</v>
      </c>
      <c r="P224" s="10" t="n">
        <v>72.09999999999999</v>
      </c>
      <c r="Q224" s="10">
        <f>A224&amp;"|"&amp;B224&amp;"|"&amp;C224&amp;"|"&amp;D224&amp;"|"&amp;E224&amp;"|"&amp;F224&amp;"|"&amp;G224&amp;"|"&amp;H224&amp;"|"&amp;I224&amp;"|"&amp;J224&amp;"|"&amp;K224&amp;"|"&amp;L224&amp;"|"&amp;M224&amp;"|"&amp;N224&amp;"|"&amp;O224&amp;"|"&amp;P224</f>
        <v/>
      </c>
      <c r="R224" s="10">
        <f>IF(COUNTIF($Q$2:$Q$1409,Q224)&gt;1,IF(COUNTIF($Q$2:Q224,Q224)=1,"Exact Duplicate - Keep First","Exact Duplicate - Remove"),"Unique")</f>
        <v/>
      </c>
    </row>
    <row r="225" ht="15" customHeight="1" s="11">
      <c r="A225" s="10" t="inlineStr">
        <is>
          <t>USR-100224</t>
        </is>
      </c>
      <c r="B225" s="14" t="n">
        <v>45758</v>
      </c>
      <c r="C225" s="10" t="inlineStr">
        <is>
          <t>Control</t>
        </is>
      </c>
      <c r="D225" s="10" t="inlineStr">
        <is>
          <t>West</t>
        </is>
      </c>
      <c r="E225" s="10" t="inlineStr">
        <is>
          <t>Desktop</t>
        </is>
      </c>
      <c r="F225" s="10" t="inlineStr">
        <is>
          <t>Organic</t>
        </is>
      </c>
      <c r="G225" s="10" t="inlineStr">
        <is>
          <t>Free</t>
        </is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P225" s="10" t="n">
        <v>74.09999999999999</v>
      </c>
      <c r="Q225" s="10">
        <f>A225&amp;"|"&amp;B225&amp;"|"&amp;C225&amp;"|"&amp;D225&amp;"|"&amp;E225&amp;"|"&amp;F225&amp;"|"&amp;G225&amp;"|"&amp;H225&amp;"|"&amp;I225&amp;"|"&amp;J225&amp;"|"&amp;K225&amp;"|"&amp;L225&amp;"|"&amp;M225&amp;"|"&amp;N225&amp;"|"&amp;O225&amp;"|"&amp;P225</f>
        <v/>
      </c>
      <c r="R225" s="10">
        <f>IF(COUNTIF($Q$2:$Q$1409,Q225)&gt;1,IF(COUNTIF($Q$2:Q225,Q225)=1,"Exact Duplicate - Keep First","Exact Duplicate - Remove"),"Unique")</f>
        <v/>
      </c>
    </row>
    <row r="226" ht="15" customHeight="1" s="11">
      <c r="A226" s="10" t="inlineStr">
        <is>
          <t>USR-100225</t>
        </is>
      </c>
      <c r="B226" s="14" t="n">
        <v>45802</v>
      </c>
      <c r="C226" s="10" t="inlineStr">
        <is>
          <t>Control</t>
        </is>
      </c>
      <c r="D226" s="10" t="inlineStr">
        <is>
          <t>South</t>
        </is>
      </c>
      <c r="E226" s="10" t="inlineStr">
        <is>
          <t>Mobile</t>
        </is>
      </c>
      <c r="F226" s="10" t="inlineStr">
        <is>
          <t>Referral</t>
        </is>
      </c>
      <c r="G226" s="10" t="inlineStr">
        <is>
          <t>Premium</t>
        </is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P226" s="10" t="n">
        <v>84.8</v>
      </c>
      <c r="Q226" s="10">
        <f>A226&amp;"|"&amp;B226&amp;"|"&amp;C226&amp;"|"&amp;D226&amp;"|"&amp;E226&amp;"|"&amp;F226&amp;"|"&amp;G226&amp;"|"&amp;H226&amp;"|"&amp;I226&amp;"|"&amp;J226&amp;"|"&amp;K226&amp;"|"&amp;L226&amp;"|"&amp;M226&amp;"|"&amp;N226&amp;"|"&amp;O226&amp;"|"&amp;P226</f>
        <v/>
      </c>
      <c r="R226" s="10">
        <f>IF(COUNTIF($Q$2:$Q$1409,Q226)&gt;1,IF(COUNTIF($Q$2:Q226,Q226)=1,"Exact Duplicate - Keep First","Exact Duplicate - Remove"),"Unique")</f>
        <v/>
      </c>
    </row>
    <row r="227" ht="15" customHeight="1" s="11">
      <c r="A227" s="10" t="inlineStr">
        <is>
          <t>USR-100226</t>
        </is>
      </c>
      <c r="B227" s="14" t="n">
        <v>45728</v>
      </c>
      <c r="C227" s="10" t="inlineStr">
        <is>
          <t>Control</t>
        </is>
      </c>
      <c r="D227" s="10" t="inlineStr">
        <is>
          <t>South</t>
        </is>
      </c>
      <c r="E227" s="10" t="inlineStr">
        <is>
          <t>Mobile</t>
        </is>
      </c>
      <c r="F227" s="10" t="inlineStr">
        <is>
          <t>Organic</t>
        </is>
      </c>
      <c r="G227" s="10" t="inlineStr">
        <is>
          <t>Basic</t>
        </is>
      </c>
      <c r="H227" s="10" t="n">
        <v>1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P227" s="10" t="n">
        <v>33</v>
      </c>
      <c r="Q227" s="10">
        <f>A227&amp;"|"&amp;B227&amp;"|"&amp;C227&amp;"|"&amp;D227&amp;"|"&amp;E227&amp;"|"&amp;F227&amp;"|"&amp;G227&amp;"|"&amp;H227&amp;"|"&amp;I227&amp;"|"&amp;J227&amp;"|"&amp;K227&amp;"|"&amp;L227&amp;"|"&amp;M227&amp;"|"&amp;N227&amp;"|"&amp;O227&amp;"|"&amp;P227</f>
        <v/>
      </c>
      <c r="R227" s="10">
        <f>IF(COUNTIF($Q$2:$Q$1409,Q227)&gt;1,IF(COUNTIF($Q$2:Q227,Q227)=1,"Exact Duplicate - Keep First","Exact Duplicate - Remove"),"Unique")</f>
        <v/>
      </c>
    </row>
    <row r="228" ht="15" customHeight="1" s="11">
      <c r="A228" s="10" t="inlineStr">
        <is>
          <t>USR-100227</t>
        </is>
      </c>
      <c r="B228" s="14" t="n">
        <v>45767</v>
      </c>
      <c r="C228" s="10" t="inlineStr">
        <is>
          <t>Control</t>
        </is>
      </c>
      <c r="D228" s="10" t="inlineStr">
        <is>
          <t>North</t>
        </is>
      </c>
      <c r="E228" s="10" t="inlineStr">
        <is>
          <t>Tablet</t>
        </is>
      </c>
      <c r="F228" s="10" t="inlineStr">
        <is>
          <t>Email</t>
        </is>
      </c>
      <c r="G228" s="10" t="inlineStr">
        <is>
          <t>Free</t>
        </is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P228" s="10" t="n">
        <v>52.5</v>
      </c>
      <c r="Q228" s="10">
        <f>A228&amp;"|"&amp;B228&amp;"|"&amp;C228&amp;"|"&amp;D228&amp;"|"&amp;E228&amp;"|"&amp;F228&amp;"|"&amp;G228&amp;"|"&amp;H228&amp;"|"&amp;I228&amp;"|"&amp;J228&amp;"|"&amp;K228&amp;"|"&amp;L228&amp;"|"&amp;M228&amp;"|"&amp;N228&amp;"|"&amp;O228&amp;"|"&amp;P228</f>
        <v/>
      </c>
      <c r="R228" s="10">
        <f>IF(COUNTIF($Q$2:$Q$1409,Q228)&gt;1,IF(COUNTIF($Q$2:Q228,Q228)=1,"Exact Duplicate - Keep First","Exact Duplicate - Remove"),"Unique")</f>
        <v/>
      </c>
    </row>
    <row r="229" ht="15" customHeight="1" s="11">
      <c r="A229" s="10" t="inlineStr">
        <is>
          <t>USR-100228</t>
        </is>
      </c>
      <c r="B229" s="14" t="n">
        <v>45711</v>
      </c>
      <c r="C229" s="10" t="inlineStr">
        <is>
          <t>Control</t>
        </is>
      </c>
      <c r="D229" s="10" t="inlineStr">
        <is>
          <t>North</t>
        </is>
      </c>
      <c r="E229" s="10" t="inlineStr">
        <is>
          <t>Tablet</t>
        </is>
      </c>
      <c r="F229" s="10" t="inlineStr">
        <is>
          <t>Organic</t>
        </is>
      </c>
      <c r="G229" s="10" t="inlineStr">
        <is>
          <t>Free</t>
        </is>
      </c>
      <c r="H229" s="10" t="n">
        <v>0</v>
      </c>
      <c r="I229" s="10" t="n">
        <v>0</v>
      </c>
      <c r="J229" s="10" t="n">
        <v>0</v>
      </c>
      <c r="K229" s="10" t="n">
        <v>0</v>
      </c>
      <c r="L229" s="10" t="n">
        <v>0</v>
      </c>
      <c r="M229" s="10" t="n">
        <v>0</v>
      </c>
      <c r="N229" s="10" t="n">
        <v>0</v>
      </c>
      <c r="P229" s="10" t="n">
        <v>66.90000000000001</v>
      </c>
      <c r="Q229" s="10">
        <f>A229&amp;"|"&amp;B229&amp;"|"&amp;C229&amp;"|"&amp;D229&amp;"|"&amp;E229&amp;"|"&amp;F229&amp;"|"&amp;G229&amp;"|"&amp;H229&amp;"|"&amp;I229&amp;"|"&amp;J229&amp;"|"&amp;K229&amp;"|"&amp;L229&amp;"|"&amp;M229&amp;"|"&amp;N229&amp;"|"&amp;O229&amp;"|"&amp;P229</f>
        <v/>
      </c>
      <c r="R229" s="10">
        <f>IF(COUNTIF($Q$2:$Q$1409,Q229)&gt;1,IF(COUNTIF($Q$2:Q229,Q229)=1,"Exact Duplicate - Keep First","Exact Duplicate - Remove"),"Unique")</f>
        <v/>
      </c>
    </row>
    <row r="230" ht="15" customHeight="1" s="11">
      <c r="A230" s="10" t="inlineStr">
        <is>
          <t>USR-100229</t>
        </is>
      </c>
      <c r="B230" s="14" t="n">
        <v>45681</v>
      </c>
      <c r="C230" s="10" t="inlineStr">
        <is>
          <t>Control</t>
        </is>
      </c>
      <c r="D230" s="10" t="inlineStr">
        <is>
          <t>North</t>
        </is>
      </c>
      <c r="E230" s="10" t="inlineStr">
        <is>
          <t>Mobile</t>
        </is>
      </c>
      <c r="F230" s="10" t="inlineStr">
        <is>
          <t>Organic</t>
        </is>
      </c>
      <c r="G230" s="10" t="inlineStr">
        <is>
          <t>Basic</t>
        </is>
      </c>
      <c r="H230" s="10" t="n">
        <v>1</v>
      </c>
      <c r="I230" s="10" t="n">
        <v>1</v>
      </c>
      <c r="J230" s="10" t="n">
        <v>1</v>
      </c>
      <c r="K230" s="10" t="n">
        <v>0</v>
      </c>
      <c r="L230" s="10" t="n">
        <v>0</v>
      </c>
      <c r="M230" s="10" t="n">
        <v>1</v>
      </c>
      <c r="N230" s="10" t="n">
        <v>0</v>
      </c>
      <c r="P230" s="10" t="n">
        <v>32.7</v>
      </c>
      <c r="Q230" s="10">
        <f>A230&amp;"|"&amp;B230&amp;"|"&amp;C230&amp;"|"&amp;D230&amp;"|"&amp;E230&amp;"|"&amp;F230&amp;"|"&amp;G230&amp;"|"&amp;H230&amp;"|"&amp;I230&amp;"|"&amp;J230&amp;"|"&amp;K230&amp;"|"&amp;L230&amp;"|"&amp;M230&amp;"|"&amp;N230&amp;"|"&amp;O230&amp;"|"&amp;P230</f>
        <v/>
      </c>
      <c r="R230" s="10">
        <f>IF(COUNTIF($Q$2:$Q$1409,Q230)&gt;1,IF(COUNTIF($Q$2:Q230,Q230)=1,"Exact Duplicate - Keep First","Exact Duplicate - Remove"),"Unique")</f>
        <v/>
      </c>
    </row>
    <row r="231" ht="15" customHeight="1" s="11">
      <c r="A231" s="10" t="inlineStr">
        <is>
          <t>USR-100230</t>
        </is>
      </c>
      <c r="B231" s="14" t="n">
        <v>45673</v>
      </c>
      <c r="C231" s="10" t="inlineStr">
        <is>
          <t>Control</t>
        </is>
      </c>
      <c r="D231" s="10" t="inlineStr">
        <is>
          <t>West</t>
        </is>
      </c>
      <c r="E231" s="10" t="inlineStr">
        <is>
          <t>Mobile</t>
        </is>
      </c>
      <c r="F231" s="10" t="inlineStr">
        <is>
          <t>Organic</t>
        </is>
      </c>
      <c r="G231" s="10" t="inlineStr">
        <is>
          <t>Premium</t>
        </is>
      </c>
      <c r="H231" s="10" t="n">
        <v>1</v>
      </c>
      <c r="I231" s="10" t="n">
        <v>1</v>
      </c>
      <c r="J231" s="10" t="n">
        <v>1</v>
      </c>
      <c r="K231" s="10" t="n">
        <v>0</v>
      </c>
      <c r="L231" s="10" t="n">
        <v>0</v>
      </c>
      <c r="M231" s="10" t="n">
        <v>1</v>
      </c>
      <c r="N231" s="10" t="n">
        <v>0</v>
      </c>
      <c r="P231" s="10" t="n">
        <v>70.59999999999999</v>
      </c>
      <c r="Q231" s="10">
        <f>A231&amp;"|"&amp;B231&amp;"|"&amp;C231&amp;"|"&amp;D231&amp;"|"&amp;E231&amp;"|"&amp;F231&amp;"|"&amp;G231&amp;"|"&amp;H231&amp;"|"&amp;I231&amp;"|"&amp;J231&amp;"|"&amp;K231&amp;"|"&amp;L231&amp;"|"&amp;M231&amp;"|"&amp;N231&amp;"|"&amp;O231&amp;"|"&amp;P231</f>
        <v/>
      </c>
      <c r="R231" s="10">
        <f>IF(COUNTIF($Q$2:$Q$1409,Q231)&gt;1,IF(COUNTIF($Q$2:Q231,Q231)=1,"Exact Duplicate - Keep First","Exact Duplicate - Remove"),"Unique")</f>
        <v/>
      </c>
    </row>
    <row r="232" ht="15" customHeight="1" s="11">
      <c r="A232" s="10" t="inlineStr">
        <is>
          <t>USR-100231</t>
        </is>
      </c>
      <c r="B232" s="14" t="n">
        <v>45705</v>
      </c>
      <c r="C232" s="10" t="inlineStr">
        <is>
          <t>Control</t>
        </is>
      </c>
      <c r="D232" s="10" t="inlineStr">
        <is>
          <t>North</t>
        </is>
      </c>
      <c r="E232" s="10" t="inlineStr">
        <is>
          <t>Mobile</t>
        </is>
      </c>
      <c r="F232" s="10" t="inlineStr">
        <is>
          <t>Social</t>
        </is>
      </c>
      <c r="G232" s="10" t="inlineStr">
        <is>
          <t>Free</t>
        </is>
      </c>
      <c r="H232" s="10" t="n">
        <v>0</v>
      </c>
      <c r="I232" s="10" t="n">
        <v>0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P232" s="10" t="n">
        <v>69.40000000000001</v>
      </c>
      <c r="Q232" s="10">
        <f>A232&amp;"|"&amp;B232&amp;"|"&amp;C232&amp;"|"&amp;D232&amp;"|"&amp;E232&amp;"|"&amp;F232&amp;"|"&amp;G232&amp;"|"&amp;H232&amp;"|"&amp;I232&amp;"|"&amp;J232&amp;"|"&amp;K232&amp;"|"&amp;L232&amp;"|"&amp;M232&amp;"|"&amp;N232&amp;"|"&amp;O232&amp;"|"&amp;P232</f>
        <v/>
      </c>
      <c r="R232" s="10">
        <f>IF(COUNTIF($Q$2:$Q$1409,Q232)&gt;1,IF(COUNTIF($Q$2:Q232,Q232)=1,"Exact Duplicate - Keep First","Exact Duplicate - Remove"),"Unique")</f>
        <v/>
      </c>
    </row>
    <row r="233" ht="15" customHeight="1" s="11">
      <c r="A233" s="10" t="inlineStr">
        <is>
          <t>USR-100232</t>
        </is>
      </c>
      <c r="B233" s="14" t="n">
        <v>45781</v>
      </c>
      <c r="C233" s="10" t="inlineStr">
        <is>
          <t>Control</t>
        </is>
      </c>
      <c r="D233" s="10" t="inlineStr">
        <is>
          <t>North</t>
        </is>
      </c>
      <c r="E233" s="10" t="inlineStr">
        <is>
          <t>Desktop</t>
        </is>
      </c>
      <c r="F233" s="10" t="inlineStr">
        <is>
          <t>Organic</t>
        </is>
      </c>
      <c r="G233" s="10" t="inlineStr">
        <is>
          <t>Basic</t>
        </is>
      </c>
      <c r="H233" s="10" t="n">
        <v>1</v>
      </c>
      <c r="I233" s="10" t="n">
        <v>0</v>
      </c>
      <c r="J233" s="10" t="n">
        <v>0</v>
      </c>
      <c r="K233" s="10" t="n">
        <v>0</v>
      </c>
      <c r="L233" s="10" t="n">
        <v>0</v>
      </c>
      <c r="M233" s="10" t="n">
        <v>0</v>
      </c>
      <c r="N233" s="10" t="n">
        <v>0</v>
      </c>
      <c r="P233" s="10" t="n">
        <v>56.1</v>
      </c>
      <c r="Q233" s="10">
        <f>A233&amp;"|"&amp;B233&amp;"|"&amp;C233&amp;"|"&amp;D233&amp;"|"&amp;E233&amp;"|"&amp;F233&amp;"|"&amp;G233&amp;"|"&amp;H233&amp;"|"&amp;I233&amp;"|"&amp;J233&amp;"|"&amp;K233&amp;"|"&amp;L233&amp;"|"&amp;M233&amp;"|"&amp;N233&amp;"|"&amp;O233&amp;"|"&amp;P233</f>
        <v/>
      </c>
      <c r="R233" s="10">
        <f>IF(COUNTIF($Q$2:$Q$1409,Q233)&gt;1,IF(COUNTIF($Q$2:Q233,Q233)=1,"Exact Duplicate - Keep First","Exact Duplicate - Remove"),"Unique")</f>
        <v/>
      </c>
    </row>
    <row r="234" ht="15" customHeight="1" s="11">
      <c r="A234" s="10" t="inlineStr">
        <is>
          <t>USR-100233</t>
        </is>
      </c>
      <c r="B234" s="14" t="n">
        <v>45669</v>
      </c>
      <c r="C234" s="10" t="inlineStr">
        <is>
          <t>Control</t>
        </is>
      </c>
      <c r="D234" s="10" t="inlineStr">
        <is>
          <t>West</t>
        </is>
      </c>
      <c r="E234" s="10" t="inlineStr">
        <is>
          <t>Mobile</t>
        </is>
      </c>
      <c r="F234" s="10" t="inlineStr">
        <is>
          <t>Organic</t>
        </is>
      </c>
      <c r="G234" s="10" t="inlineStr">
        <is>
          <t>Basic</t>
        </is>
      </c>
      <c r="H234" s="10" t="n">
        <v>0</v>
      </c>
      <c r="I234" s="10" t="n">
        <v>0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P234" s="10" t="n">
        <v>55.8</v>
      </c>
      <c r="Q234" s="10">
        <f>A234&amp;"|"&amp;B234&amp;"|"&amp;C234&amp;"|"&amp;D234&amp;"|"&amp;E234&amp;"|"&amp;F234&amp;"|"&amp;G234&amp;"|"&amp;H234&amp;"|"&amp;I234&amp;"|"&amp;J234&amp;"|"&amp;K234&amp;"|"&amp;L234&amp;"|"&amp;M234&amp;"|"&amp;N234&amp;"|"&amp;O234&amp;"|"&amp;P234</f>
        <v/>
      </c>
      <c r="R234" s="10">
        <f>IF(COUNTIF($Q$2:$Q$1409,Q234)&gt;1,IF(COUNTIF($Q$2:Q234,Q234)=1,"Exact Duplicate - Keep First","Exact Duplicate - Remove"),"Unique")</f>
        <v/>
      </c>
    </row>
    <row r="235" ht="15" customHeight="1" s="11">
      <c r="A235" s="10" t="inlineStr">
        <is>
          <t>USR-100234</t>
        </is>
      </c>
      <c r="B235" s="14" t="n">
        <v>45775</v>
      </c>
      <c r="C235" s="10" t="inlineStr">
        <is>
          <t>Control</t>
        </is>
      </c>
      <c r="D235" s="10" t="inlineStr">
        <is>
          <t>North</t>
        </is>
      </c>
      <c r="E235" s="10" t="inlineStr">
        <is>
          <t>Tablet</t>
        </is>
      </c>
      <c r="F235" s="10" t="inlineStr">
        <is>
          <t>Organic</t>
        </is>
      </c>
      <c r="G235" s="10" t="inlineStr">
        <is>
          <t>Free</t>
        </is>
      </c>
      <c r="H235" s="10" t="n">
        <v>0</v>
      </c>
      <c r="I235" s="10" t="n">
        <v>0</v>
      </c>
      <c r="J235" s="10" t="n">
        <v>0</v>
      </c>
      <c r="K235" s="10" t="n">
        <v>0</v>
      </c>
      <c r="L235" s="10" t="n">
        <v>0</v>
      </c>
      <c r="M235" s="10" t="n">
        <v>0</v>
      </c>
      <c r="N235" s="10" t="n">
        <v>0</v>
      </c>
      <c r="P235" s="10" t="n">
        <v>49.3</v>
      </c>
      <c r="Q235" s="10">
        <f>A235&amp;"|"&amp;B235&amp;"|"&amp;C235&amp;"|"&amp;D235&amp;"|"&amp;E235&amp;"|"&amp;F235&amp;"|"&amp;G235&amp;"|"&amp;H235&amp;"|"&amp;I235&amp;"|"&amp;J235&amp;"|"&amp;K235&amp;"|"&amp;L235&amp;"|"&amp;M235&amp;"|"&amp;N235&amp;"|"&amp;O235&amp;"|"&amp;P235</f>
        <v/>
      </c>
      <c r="R235" s="10">
        <f>IF(COUNTIF($Q$2:$Q$1409,Q235)&gt;1,IF(COUNTIF($Q$2:Q235,Q235)=1,"Exact Duplicate - Keep First","Exact Duplicate - Remove"),"Unique")</f>
        <v/>
      </c>
    </row>
    <row r="236" ht="15" customHeight="1" s="11">
      <c r="A236" s="10" t="inlineStr">
        <is>
          <t>USR-100235</t>
        </is>
      </c>
      <c r="B236" s="14" t="n">
        <v>45714</v>
      </c>
      <c r="C236" s="10" t="inlineStr">
        <is>
          <t>Control</t>
        </is>
      </c>
      <c r="D236" s="10" t="inlineStr">
        <is>
          <t>North</t>
        </is>
      </c>
      <c r="E236" s="10" t="inlineStr">
        <is>
          <t>Mobile</t>
        </is>
      </c>
      <c r="F236" s="10" t="inlineStr">
        <is>
          <t>Organic</t>
        </is>
      </c>
      <c r="G236" s="10" t="inlineStr">
        <is>
          <t>Free</t>
        </is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P236" s="10" t="n">
        <v>71.8</v>
      </c>
      <c r="Q236" s="10">
        <f>A236&amp;"|"&amp;B236&amp;"|"&amp;C236&amp;"|"&amp;D236&amp;"|"&amp;E236&amp;"|"&amp;F236&amp;"|"&amp;G236&amp;"|"&amp;H236&amp;"|"&amp;I236&amp;"|"&amp;J236&amp;"|"&amp;K236&amp;"|"&amp;L236&amp;"|"&amp;M236&amp;"|"&amp;N236&amp;"|"&amp;O236&amp;"|"&amp;P236</f>
        <v/>
      </c>
      <c r="R236" s="10">
        <f>IF(COUNTIF($Q$2:$Q$1409,Q236)&gt;1,IF(COUNTIF($Q$2:Q236,Q236)=1,"Exact Duplicate - Keep First","Exact Duplicate - Remove"),"Unique")</f>
        <v/>
      </c>
    </row>
    <row r="237" ht="15" customHeight="1" s="11">
      <c r="A237" s="10" t="inlineStr">
        <is>
          <t>USR-100236</t>
        </is>
      </c>
      <c r="B237" s="14" t="n">
        <v>45734</v>
      </c>
      <c r="C237" s="10" t="inlineStr">
        <is>
          <t>Control</t>
        </is>
      </c>
      <c r="D237" s="10" t="inlineStr">
        <is>
          <t>West</t>
        </is>
      </c>
      <c r="E237" s="10" t="inlineStr">
        <is>
          <t>Mobile</t>
        </is>
      </c>
      <c r="F237" s="10" t="inlineStr">
        <is>
          <t>Social</t>
        </is>
      </c>
      <c r="G237" s="10" t="inlineStr">
        <is>
          <t>Free</t>
        </is>
      </c>
      <c r="H237" s="10" t="n">
        <v>1</v>
      </c>
      <c r="I237" s="10" t="n">
        <v>0</v>
      </c>
      <c r="J237" s="10" t="n">
        <v>0</v>
      </c>
      <c r="K237" s="10" t="n">
        <v>0</v>
      </c>
      <c r="L237" s="10" t="n">
        <v>0</v>
      </c>
      <c r="M237" s="10" t="n">
        <v>3</v>
      </c>
      <c r="N237" s="10" t="n">
        <v>0</v>
      </c>
      <c r="P237" s="10" t="n">
        <v>39.7</v>
      </c>
      <c r="Q237" s="10">
        <f>A237&amp;"|"&amp;B237&amp;"|"&amp;C237&amp;"|"&amp;D237&amp;"|"&amp;E237&amp;"|"&amp;F237&amp;"|"&amp;G237&amp;"|"&amp;H237&amp;"|"&amp;I237&amp;"|"&amp;J237&amp;"|"&amp;K237&amp;"|"&amp;L237&amp;"|"&amp;M237&amp;"|"&amp;N237&amp;"|"&amp;O237&amp;"|"&amp;P237</f>
        <v/>
      </c>
      <c r="R237" s="10">
        <f>IF(COUNTIF($Q$2:$Q$1409,Q237)&gt;1,IF(COUNTIF($Q$2:Q237,Q237)=1,"Exact Duplicate - Keep First","Exact Duplicate - Remove"),"Unique")</f>
        <v/>
      </c>
    </row>
    <row r="238" ht="15" customHeight="1" s="11">
      <c r="A238" s="10" t="inlineStr">
        <is>
          <t>USR-100237</t>
        </is>
      </c>
      <c r="B238" s="14" t="n">
        <v>45717</v>
      </c>
      <c r="C238" s="10" t="inlineStr">
        <is>
          <t>Control</t>
        </is>
      </c>
      <c r="D238" s="10" t="inlineStr">
        <is>
          <t>South</t>
        </is>
      </c>
      <c r="E238" s="10" t="inlineStr">
        <is>
          <t>Desktop</t>
        </is>
      </c>
      <c r="F238" s="10" t="inlineStr">
        <is>
          <t>Organic</t>
        </is>
      </c>
      <c r="G238" s="10" t="inlineStr">
        <is>
          <t>Premium</t>
        </is>
      </c>
      <c r="H238" s="10" t="n">
        <v>1</v>
      </c>
      <c r="I238" s="10" t="n">
        <v>0</v>
      </c>
      <c r="J238" s="10" t="n">
        <v>0</v>
      </c>
      <c r="K238" s="10" t="n">
        <v>0</v>
      </c>
      <c r="L238" s="10" t="n">
        <v>0</v>
      </c>
      <c r="M238" s="10" t="n">
        <v>0</v>
      </c>
      <c r="N238" s="10" t="n">
        <v>0</v>
      </c>
      <c r="P238" s="10" t="n">
        <v>45.4</v>
      </c>
      <c r="Q238" s="10">
        <f>A238&amp;"|"&amp;B238&amp;"|"&amp;C238&amp;"|"&amp;D238&amp;"|"&amp;E238&amp;"|"&amp;F238&amp;"|"&amp;G238&amp;"|"&amp;H238&amp;"|"&amp;I238&amp;"|"&amp;J238&amp;"|"&amp;K238&amp;"|"&amp;L238&amp;"|"&amp;M238&amp;"|"&amp;N238&amp;"|"&amp;O238&amp;"|"&amp;P238</f>
        <v/>
      </c>
      <c r="R238" s="10">
        <f>IF(COUNTIF($Q$2:$Q$1409,Q238)&gt;1,IF(COUNTIF($Q$2:Q238,Q238)=1,"Exact Duplicate - Keep First","Exact Duplicate - Remove"),"Unique")</f>
        <v/>
      </c>
    </row>
    <row r="239" ht="15" customHeight="1" s="11">
      <c r="A239" s="10" t="inlineStr">
        <is>
          <t>USR-100238</t>
        </is>
      </c>
      <c r="B239" s="14" t="n">
        <v>45752</v>
      </c>
      <c r="C239" s="10" t="inlineStr">
        <is>
          <t>Control</t>
        </is>
      </c>
      <c r="D239" s="10" t="inlineStr">
        <is>
          <t>North</t>
        </is>
      </c>
      <c r="E239" s="10" t="inlineStr">
        <is>
          <t>Desktop</t>
        </is>
      </c>
      <c r="F239" s="10" t="inlineStr">
        <is>
          <t>Social</t>
        </is>
      </c>
      <c r="G239" s="10" t="inlineStr">
        <is>
          <t>Premium</t>
        </is>
      </c>
      <c r="H239" s="10" t="n">
        <v>1</v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0</v>
      </c>
      <c r="N239" s="10" t="n">
        <v>0</v>
      </c>
      <c r="P239" s="10" t="n">
        <v>69.90000000000001</v>
      </c>
      <c r="Q239" s="10">
        <f>A239&amp;"|"&amp;B239&amp;"|"&amp;C239&amp;"|"&amp;D239&amp;"|"&amp;E239&amp;"|"&amp;F239&amp;"|"&amp;G239&amp;"|"&amp;H239&amp;"|"&amp;I239&amp;"|"&amp;J239&amp;"|"&amp;K239&amp;"|"&amp;L239&amp;"|"&amp;M239&amp;"|"&amp;N239&amp;"|"&amp;O239&amp;"|"&amp;P239</f>
        <v/>
      </c>
      <c r="R239" s="10">
        <f>IF(COUNTIF($Q$2:$Q$1409,Q239)&gt;1,IF(COUNTIF($Q$2:Q239,Q239)=1,"Exact Duplicate - Keep First","Exact Duplicate - Remove"),"Unique")</f>
        <v/>
      </c>
    </row>
    <row r="240" ht="15" customHeight="1" s="11">
      <c r="A240" s="10" t="inlineStr">
        <is>
          <t>USR-100239</t>
        </is>
      </c>
      <c r="B240" s="14" t="n">
        <v>45728</v>
      </c>
      <c r="C240" s="10" t="inlineStr">
        <is>
          <t>Control</t>
        </is>
      </c>
      <c r="D240" s="10" t="inlineStr">
        <is>
          <t>North</t>
        </is>
      </c>
      <c r="E240" s="10" t="inlineStr">
        <is>
          <t>Desktop</t>
        </is>
      </c>
      <c r="F240" s="10" t="inlineStr">
        <is>
          <t>Social</t>
        </is>
      </c>
      <c r="G240" s="10" t="inlineStr">
        <is>
          <t>Free</t>
        </is>
      </c>
      <c r="H240" s="10" t="n">
        <v>1</v>
      </c>
      <c r="I240" s="10" t="n">
        <v>1</v>
      </c>
      <c r="J240" s="10" t="n">
        <v>1</v>
      </c>
      <c r="K240" s="10" t="n">
        <v>0</v>
      </c>
      <c r="L240" s="10" t="n">
        <v>0</v>
      </c>
      <c r="M240" s="10" t="n">
        <v>0</v>
      </c>
      <c r="N240" s="10" t="n">
        <v>0</v>
      </c>
      <c r="P240" s="10" t="n">
        <v>56.1</v>
      </c>
      <c r="Q240" s="10">
        <f>A240&amp;"|"&amp;B240&amp;"|"&amp;C240&amp;"|"&amp;D240&amp;"|"&amp;E240&amp;"|"&amp;F240&amp;"|"&amp;G240&amp;"|"&amp;H240&amp;"|"&amp;I240&amp;"|"&amp;J240&amp;"|"&amp;K240&amp;"|"&amp;L240&amp;"|"&amp;M240&amp;"|"&amp;N240&amp;"|"&amp;O240&amp;"|"&amp;P240</f>
        <v/>
      </c>
      <c r="R240" s="10">
        <f>IF(COUNTIF($Q$2:$Q$1409,Q240)&gt;1,IF(COUNTIF($Q$2:Q240,Q240)=1,"Exact Duplicate - Keep First","Exact Duplicate - Remove"),"Unique")</f>
        <v/>
      </c>
    </row>
    <row r="241" ht="15" customHeight="1" s="11">
      <c r="A241" s="10" t="inlineStr">
        <is>
          <t>USR-100240</t>
        </is>
      </c>
      <c r="B241" s="14" t="n">
        <v>45731</v>
      </c>
      <c r="C241" s="10" t="inlineStr">
        <is>
          <t>Control</t>
        </is>
      </c>
      <c r="D241" s="10" t="inlineStr">
        <is>
          <t>West</t>
        </is>
      </c>
      <c r="E241" s="10" t="inlineStr">
        <is>
          <t>Mobile</t>
        </is>
      </c>
      <c r="F241" s="10" t="inlineStr">
        <is>
          <t>Referral</t>
        </is>
      </c>
      <c r="G241" s="10" t="inlineStr">
        <is>
          <t>Basic</t>
        </is>
      </c>
      <c r="H241" s="10" t="n">
        <v>1</v>
      </c>
      <c r="I241" s="10" t="n">
        <v>1</v>
      </c>
      <c r="J241" s="10" t="n">
        <v>0</v>
      </c>
      <c r="K241" s="10" t="n">
        <v>0</v>
      </c>
      <c r="L241" s="10" t="n">
        <v>0</v>
      </c>
      <c r="M241" s="10" t="n">
        <v>0</v>
      </c>
      <c r="N241" s="10" t="n">
        <v>0</v>
      </c>
      <c r="P241" s="10" t="n">
        <v>45.9</v>
      </c>
      <c r="Q241" s="10">
        <f>A241&amp;"|"&amp;B241&amp;"|"&amp;C241&amp;"|"&amp;D241&amp;"|"&amp;E241&amp;"|"&amp;F241&amp;"|"&amp;G241&amp;"|"&amp;H241&amp;"|"&amp;I241&amp;"|"&amp;J241&amp;"|"&amp;K241&amp;"|"&amp;L241&amp;"|"&amp;M241&amp;"|"&amp;N241&amp;"|"&amp;O241&amp;"|"&amp;P241</f>
        <v/>
      </c>
      <c r="R241" s="10">
        <f>IF(COUNTIF($Q$2:$Q$1409,Q241)&gt;1,IF(COUNTIF($Q$2:Q241,Q241)=1,"Exact Duplicate - Keep First","Exact Duplicate - Remove"),"Unique")</f>
        <v/>
      </c>
    </row>
    <row r="242" ht="15" customHeight="1" s="11">
      <c r="A242" s="10" t="inlineStr">
        <is>
          <t>USR-100241</t>
        </is>
      </c>
      <c r="B242" s="14" t="n">
        <v>45711</v>
      </c>
      <c r="C242" s="10" t="inlineStr">
        <is>
          <t>Control</t>
        </is>
      </c>
      <c r="D242" s="10" t="inlineStr">
        <is>
          <t>West</t>
        </is>
      </c>
      <c r="E242" s="10" t="inlineStr">
        <is>
          <t>Mobile</t>
        </is>
      </c>
      <c r="F242" s="10" t="inlineStr">
        <is>
          <t>Email</t>
        </is>
      </c>
      <c r="G242" s="10" t="inlineStr">
        <is>
          <t>Free</t>
        </is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P242" s="10" t="n">
        <v>65.8</v>
      </c>
      <c r="Q242" s="10">
        <f>A242&amp;"|"&amp;B242&amp;"|"&amp;C242&amp;"|"&amp;D242&amp;"|"&amp;E242&amp;"|"&amp;F242&amp;"|"&amp;G242&amp;"|"&amp;H242&amp;"|"&amp;I242&amp;"|"&amp;J242&amp;"|"&amp;K242&amp;"|"&amp;L242&amp;"|"&amp;M242&amp;"|"&amp;N242&amp;"|"&amp;O242&amp;"|"&amp;P242</f>
        <v/>
      </c>
      <c r="R242" s="10">
        <f>IF(COUNTIF($Q$2:$Q$1409,Q242)&gt;1,IF(COUNTIF($Q$2:Q242,Q242)=1,"Exact Duplicate - Keep First","Exact Duplicate - Remove"),"Unique")</f>
        <v/>
      </c>
    </row>
    <row r="243" ht="15" customHeight="1" s="11">
      <c r="A243" s="10" t="inlineStr">
        <is>
          <t>USR-100242</t>
        </is>
      </c>
      <c r="B243" s="14" t="n">
        <v>45769</v>
      </c>
      <c r="C243" s="10" t="inlineStr">
        <is>
          <t>Control</t>
        </is>
      </c>
      <c r="D243" s="10" t="inlineStr">
        <is>
          <t>North</t>
        </is>
      </c>
      <c r="E243" s="10" t="inlineStr">
        <is>
          <t>Mobile</t>
        </is>
      </c>
      <c r="F243" s="10" t="inlineStr">
        <is>
          <t>Organic</t>
        </is>
      </c>
      <c r="G243" s="10" t="inlineStr">
        <is>
          <t>Basic</t>
        </is>
      </c>
      <c r="H243" s="10" t="n">
        <v>1</v>
      </c>
      <c r="I243" s="10" t="n">
        <v>0</v>
      </c>
      <c r="J243" s="10" t="n">
        <v>0</v>
      </c>
      <c r="K243" s="10" t="n">
        <v>0</v>
      </c>
      <c r="L243" s="10" t="n">
        <v>0</v>
      </c>
      <c r="M243" s="10" t="n">
        <v>0</v>
      </c>
      <c r="N243" s="10" t="n">
        <v>0</v>
      </c>
      <c r="P243" s="10" t="n">
        <v>48.2</v>
      </c>
      <c r="Q243" s="10">
        <f>A243&amp;"|"&amp;B243&amp;"|"&amp;C243&amp;"|"&amp;D243&amp;"|"&amp;E243&amp;"|"&amp;F243&amp;"|"&amp;G243&amp;"|"&amp;H243&amp;"|"&amp;I243&amp;"|"&amp;J243&amp;"|"&amp;K243&amp;"|"&amp;L243&amp;"|"&amp;M243&amp;"|"&amp;N243&amp;"|"&amp;O243&amp;"|"&amp;P243</f>
        <v/>
      </c>
      <c r="R243" s="10">
        <f>IF(COUNTIF($Q$2:$Q$1409,Q243)&gt;1,IF(COUNTIF($Q$2:Q243,Q243)=1,"Exact Duplicate - Keep First","Exact Duplicate - Remove"),"Unique")</f>
        <v/>
      </c>
    </row>
    <row r="244" ht="15" customHeight="1" s="11">
      <c r="A244" s="10" t="inlineStr">
        <is>
          <t>USR-100243</t>
        </is>
      </c>
      <c r="B244" s="14" t="n">
        <v>45666</v>
      </c>
      <c r="C244" s="10" t="inlineStr">
        <is>
          <t>Control</t>
        </is>
      </c>
      <c r="D244" s="10" t="inlineStr">
        <is>
          <t>East</t>
        </is>
      </c>
      <c r="E244" s="10" t="inlineStr">
        <is>
          <t>Mobile</t>
        </is>
      </c>
      <c r="F244" s="10" t="inlineStr">
        <is>
          <t>Organic</t>
        </is>
      </c>
      <c r="G244" s="10" t="inlineStr">
        <is>
          <t>Basic</t>
        </is>
      </c>
      <c r="H244" s="10" t="n">
        <v>1</v>
      </c>
      <c r="I244" s="10" t="n">
        <v>1</v>
      </c>
      <c r="J244" s="10" t="n">
        <v>1</v>
      </c>
      <c r="K244" s="10" t="n">
        <v>0</v>
      </c>
      <c r="L244" s="10" t="n">
        <v>0</v>
      </c>
      <c r="M244" s="10" t="n">
        <v>0</v>
      </c>
      <c r="N244" s="10" t="n">
        <v>0</v>
      </c>
      <c r="P244" s="10" t="n">
        <v>81.09999999999999</v>
      </c>
      <c r="Q244" s="10">
        <f>A244&amp;"|"&amp;B244&amp;"|"&amp;C244&amp;"|"&amp;D244&amp;"|"&amp;E244&amp;"|"&amp;F244&amp;"|"&amp;G244&amp;"|"&amp;H244&amp;"|"&amp;I244&amp;"|"&amp;J244&amp;"|"&amp;K244&amp;"|"&amp;L244&amp;"|"&amp;M244&amp;"|"&amp;N244&amp;"|"&amp;O244&amp;"|"&amp;P244</f>
        <v/>
      </c>
      <c r="R244" s="10">
        <f>IF(COUNTIF($Q$2:$Q$1409,Q244)&gt;1,IF(COUNTIF($Q$2:Q244,Q244)=1,"Exact Duplicate - Keep First","Exact Duplicate - Remove"),"Unique")</f>
        <v/>
      </c>
    </row>
    <row r="245" ht="15" customHeight="1" s="11">
      <c r="A245" s="10" t="inlineStr">
        <is>
          <t>USR-100244</t>
        </is>
      </c>
      <c r="B245" s="14" t="n">
        <v>45721</v>
      </c>
      <c r="C245" s="10" t="inlineStr">
        <is>
          <t>Control</t>
        </is>
      </c>
      <c r="D245" s="10" t="inlineStr">
        <is>
          <t>East</t>
        </is>
      </c>
      <c r="E245" s="10" t="inlineStr">
        <is>
          <t>Tablet</t>
        </is>
      </c>
      <c r="F245" s="10" t="inlineStr">
        <is>
          <t>Social</t>
        </is>
      </c>
      <c r="G245" s="10" t="inlineStr">
        <is>
          <t>Premium</t>
        </is>
      </c>
      <c r="H245" s="10" t="n">
        <v>1</v>
      </c>
      <c r="I245" s="10" t="n">
        <v>1</v>
      </c>
      <c r="J245" s="10" t="n">
        <v>0</v>
      </c>
      <c r="K245" s="10" t="n">
        <v>0</v>
      </c>
      <c r="L245" s="10" t="n">
        <v>0</v>
      </c>
      <c r="M245" s="10" t="n">
        <v>0</v>
      </c>
      <c r="N245" s="10" t="n">
        <v>0</v>
      </c>
      <c r="P245" s="10" t="n">
        <v>53.2</v>
      </c>
      <c r="Q245" s="10">
        <f>A245&amp;"|"&amp;B245&amp;"|"&amp;C245&amp;"|"&amp;D245&amp;"|"&amp;E245&amp;"|"&amp;F245&amp;"|"&amp;G245&amp;"|"&amp;H245&amp;"|"&amp;I245&amp;"|"&amp;J245&amp;"|"&amp;K245&amp;"|"&amp;L245&amp;"|"&amp;M245&amp;"|"&amp;N245&amp;"|"&amp;O245&amp;"|"&amp;P245</f>
        <v/>
      </c>
      <c r="R245" s="10">
        <f>IF(COUNTIF($Q$2:$Q$1409,Q245)&gt;1,IF(COUNTIF($Q$2:Q245,Q245)=1,"Exact Duplicate - Keep First","Exact Duplicate - Remove"),"Unique")</f>
        <v/>
      </c>
    </row>
    <row r="246" ht="15" customHeight="1" s="11">
      <c r="A246" s="10" t="inlineStr">
        <is>
          <t>USR-100245</t>
        </is>
      </c>
      <c r="B246" s="14" t="n">
        <v>45685</v>
      </c>
      <c r="C246" s="10" t="inlineStr">
        <is>
          <t>Control</t>
        </is>
      </c>
      <c r="D246" s="10" t="inlineStr">
        <is>
          <t>North</t>
        </is>
      </c>
      <c r="E246" s="10" t="inlineStr">
        <is>
          <t>Mobile</t>
        </is>
      </c>
      <c r="F246" s="10" t="inlineStr">
        <is>
          <t>Social</t>
        </is>
      </c>
      <c r="G246" s="10" t="inlineStr">
        <is>
          <t>Free</t>
        </is>
      </c>
      <c r="H246" s="10" t="n">
        <v>1</v>
      </c>
      <c r="I246" s="10" t="n">
        <v>1</v>
      </c>
      <c r="J246" s="10" t="n">
        <v>1</v>
      </c>
      <c r="K246" s="10" t="n">
        <v>0</v>
      </c>
      <c r="L246" s="10" t="n">
        <v>0</v>
      </c>
      <c r="M246" s="10" t="n">
        <v>0</v>
      </c>
      <c r="N246" s="10" t="n">
        <v>0</v>
      </c>
      <c r="P246" s="10" t="n">
        <v>57.7</v>
      </c>
      <c r="Q246" s="10">
        <f>A246&amp;"|"&amp;B246&amp;"|"&amp;C246&amp;"|"&amp;D246&amp;"|"&amp;E246&amp;"|"&amp;F246&amp;"|"&amp;G246&amp;"|"&amp;H246&amp;"|"&amp;I246&amp;"|"&amp;J246&amp;"|"&amp;K246&amp;"|"&amp;L246&amp;"|"&amp;M246&amp;"|"&amp;N246&amp;"|"&amp;O246&amp;"|"&amp;P246</f>
        <v/>
      </c>
      <c r="R246" s="10">
        <f>IF(COUNTIF($Q$2:$Q$1409,Q246)&gt;1,IF(COUNTIF($Q$2:Q246,Q246)=1,"Exact Duplicate - Keep First","Exact Duplicate - Remove"),"Unique")</f>
        <v/>
      </c>
    </row>
    <row r="247" ht="15" customHeight="1" s="11">
      <c r="A247" s="10" t="inlineStr">
        <is>
          <t>USR-100246</t>
        </is>
      </c>
      <c r="B247" s="14" t="n">
        <v>45678</v>
      </c>
      <c r="C247" s="10" t="inlineStr">
        <is>
          <t>Control</t>
        </is>
      </c>
      <c r="D247" s="10" t="inlineStr">
        <is>
          <t>West</t>
        </is>
      </c>
      <c r="E247" s="10" t="inlineStr">
        <is>
          <t>Mobile</t>
        </is>
      </c>
      <c r="F247" s="10" t="inlineStr">
        <is>
          <t>Paid Search</t>
        </is>
      </c>
      <c r="G247" s="10" t="inlineStr">
        <is>
          <t>Premium</t>
        </is>
      </c>
      <c r="H247" s="10" t="n">
        <v>1</v>
      </c>
      <c r="I247" s="10" t="n">
        <v>1</v>
      </c>
      <c r="J247" s="10" t="n">
        <v>0</v>
      </c>
      <c r="K247" s="10" t="n">
        <v>0</v>
      </c>
      <c r="L247" s="10" t="n">
        <v>0</v>
      </c>
      <c r="M247" s="10" t="n">
        <v>0</v>
      </c>
      <c r="N247" s="10" t="n">
        <v>0</v>
      </c>
      <c r="P247" s="10" t="n">
        <v>78.90000000000001</v>
      </c>
      <c r="Q247" s="10">
        <f>A247&amp;"|"&amp;B247&amp;"|"&amp;C247&amp;"|"&amp;D247&amp;"|"&amp;E247&amp;"|"&amp;F247&amp;"|"&amp;G247&amp;"|"&amp;H247&amp;"|"&amp;I247&amp;"|"&amp;J247&amp;"|"&amp;K247&amp;"|"&amp;L247&amp;"|"&amp;M247&amp;"|"&amp;N247&amp;"|"&amp;O247&amp;"|"&amp;P247</f>
        <v/>
      </c>
      <c r="R247" s="10">
        <f>IF(COUNTIF($Q$2:$Q$1409,Q247)&gt;1,IF(COUNTIF($Q$2:Q247,Q247)=1,"Exact Duplicate - Keep First","Exact Duplicate - Remove"),"Unique")</f>
        <v/>
      </c>
    </row>
    <row r="248" ht="15" customHeight="1" s="11">
      <c r="A248" s="10" t="inlineStr">
        <is>
          <t>USR-100247</t>
        </is>
      </c>
      <c r="B248" s="14" t="n">
        <v>45730</v>
      </c>
      <c r="C248" s="10" t="inlineStr">
        <is>
          <t>Control</t>
        </is>
      </c>
      <c r="D248" s="10" t="inlineStr">
        <is>
          <t>South</t>
        </is>
      </c>
      <c r="E248" s="10" t="inlineStr">
        <is>
          <t>Mobile</t>
        </is>
      </c>
      <c r="F248" s="10" t="inlineStr">
        <is>
          <t>Referral</t>
        </is>
      </c>
      <c r="G248" s="10" t="inlineStr">
        <is>
          <t>Basic</t>
        </is>
      </c>
      <c r="H248" s="10" t="n">
        <v>0</v>
      </c>
      <c r="I248" s="10" t="n">
        <v>0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P248" s="10" t="n">
        <v>55.7</v>
      </c>
      <c r="Q248" s="10">
        <f>A248&amp;"|"&amp;B248&amp;"|"&amp;C248&amp;"|"&amp;D248&amp;"|"&amp;E248&amp;"|"&amp;F248&amp;"|"&amp;G248&amp;"|"&amp;H248&amp;"|"&amp;I248&amp;"|"&amp;J248&amp;"|"&amp;K248&amp;"|"&amp;L248&amp;"|"&amp;M248&amp;"|"&amp;N248&amp;"|"&amp;O248&amp;"|"&amp;P248</f>
        <v/>
      </c>
      <c r="R248" s="10">
        <f>IF(COUNTIF($Q$2:$Q$1409,Q248)&gt;1,IF(COUNTIF($Q$2:Q248,Q248)=1,"Exact Duplicate - Keep First","Exact Duplicate - Remove"),"Unique")</f>
        <v/>
      </c>
    </row>
    <row r="249" ht="15" customHeight="1" s="11">
      <c r="A249" s="10" t="inlineStr">
        <is>
          <t>USR-100248</t>
        </is>
      </c>
      <c r="B249" s="14" t="n">
        <v>45691</v>
      </c>
      <c r="C249" s="10" t="inlineStr">
        <is>
          <t>Control</t>
        </is>
      </c>
      <c r="D249" s="10" t="inlineStr">
        <is>
          <t>West</t>
        </is>
      </c>
      <c r="E249" s="10" t="inlineStr">
        <is>
          <t>Mobile</t>
        </is>
      </c>
      <c r="F249" s="10" t="inlineStr">
        <is>
          <t>Paid Search</t>
        </is>
      </c>
      <c r="G249" s="10" t="inlineStr">
        <is>
          <t>Free</t>
        </is>
      </c>
      <c r="H249" s="10" t="n">
        <v>0</v>
      </c>
      <c r="I249" s="10" t="n">
        <v>0</v>
      </c>
      <c r="J249" s="10" t="n">
        <v>0</v>
      </c>
      <c r="K249" s="10" t="n">
        <v>0</v>
      </c>
      <c r="L249" s="10" t="n">
        <v>0</v>
      </c>
      <c r="M249" s="10" t="n">
        <v>0</v>
      </c>
      <c r="N249" s="10" t="n">
        <v>0</v>
      </c>
      <c r="P249" s="10" t="n">
        <v>52.3</v>
      </c>
      <c r="Q249" s="10">
        <f>A249&amp;"|"&amp;B249&amp;"|"&amp;C249&amp;"|"&amp;D249&amp;"|"&amp;E249&amp;"|"&amp;F249&amp;"|"&amp;G249&amp;"|"&amp;H249&amp;"|"&amp;I249&amp;"|"&amp;J249&amp;"|"&amp;K249&amp;"|"&amp;L249&amp;"|"&amp;M249&amp;"|"&amp;N249&amp;"|"&amp;O249&amp;"|"&amp;P249</f>
        <v/>
      </c>
      <c r="R249" s="10">
        <f>IF(COUNTIF($Q$2:$Q$1409,Q249)&gt;1,IF(COUNTIF($Q$2:Q249,Q249)=1,"Exact Duplicate - Keep First","Exact Duplicate - Remove"),"Unique")</f>
        <v/>
      </c>
    </row>
    <row r="250" ht="15" customHeight="1" s="11">
      <c r="A250" s="10" t="inlineStr">
        <is>
          <t>USR-100249</t>
        </is>
      </c>
      <c r="B250" s="14" t="n">
        <v>45799</v>
      </c>
      <c r="C250" s="10" t="inlineStr">
        <is>
          <t>Control</t>
        </is>
      </c>
      <c r="D250" s="10" t="inlineStr">
        <is>
          <t>North</t>
        </is>
      </c>
      <c r="E250" s="10" t="inlineStr">
        <is>
          <t>Mobile</t>
        </is>
      </c>
      <c r="F250" s="10" t="inlineStr">
        <is>
          <t>Social</t>
        </is>
      </c>
      <c r="G250" s="10" t="inlineStr">
        <is>
          <t>Free</t>
        </is>
      </c>
      <c r="H250" s="10" t="n">
        <v>1</v>
      </c>
      <c r="I250" s="10" t="n">
        <v>0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P250" s="10" t="n">
        <v>51.5</v>
      </c>
      <c r="Q250" s="10">
        <f>A250&amp;"|"&amp;B250&amp;"|"&amp;C250&amp;"|"&amp;D250&amp;"|"&amp;E250&amp;"|"&amp;F250&amp;"|"&amp;G250&amp;"|"&amp;H250&amp;"|"&amp;I250&amp;"|"&amp;J250&amp;"|"&amp;K250&amp;"|"&amp;L250&amp;"|"&amp;M250&amp;"|"&amp;N250&amp;"|"&amp;O250&amp;"|"&amp;P250</f>
        <v/>
      </c>
      <c r="R250" s="10">
        <f>IF(COUNTIF($Q$2:$Q$1409,Q250)&gt;1,IF(COUNTIF($Q$2:Q250,Q250)=1,"Exact Duplicate - Keep First","Exact Duplicate - Remove"),"Unique")</f>
        <v/>
      </c>
    </row>
    <row r="251" ht="15" customHeight="1" s="11">
      <c r="A251" s="10" t="inlineStr">
        <is>
          <t>USR-100250</t>
        </is>
      </c>
      <c r="B251" s="14" t="n">
        <v>45772</v>
      </c>
      <c r="C251" s="10" t="inlineStr">
        <is>
          <t>Control</t>
        </is>
      </c>
      <c r="D251" s="10" t="inlineStr">
        <is>
          <t>North</t>
        </is>
      </c>
      <c r="E251" s="10" t="inlineStr">
        <is>
          <t>Desktop</t>
        </is>
      </c>
      <c r="F251" s="10" t="inlineStr">
        <is>
          <t>Email</t>
        </is>
      </c>
      <c r="G251" s="10" t="inlineStr">
        <is>
          <t>Free</t>
        </is>
      </c>
      <c r="H251" s="10" t="n">
        <v>1</v>
      </c>
      <c r="I251" s="10" t="n">
        <v>0</v>
      </c>
      <c r="J251" s="10" t="n">
        <v>0</v>
      </c>
      <c r="K251" s="10" t="n">
        <v>0</v>
      </c>
      <c r="L251" s="10" t="n">
        <v>0</v>
      </c>
      <c r="M251" s="10" t="n">
        <v>0</v>
      </c>
      <c r="N251" s="10" t="n">
        <v>0</v>
      </c>
      <c r="P251" s="10" t="n">
        <v>70.8</v>
      </c>
      <c r="Q251" s="10">
        <f>A251&amp;"|"&amp;B251&amp;"|"&amp;C251&amp;"|"&amp;D251&amp;"|"&amp;E251&amp;"|"&amp;F251&amp;"|"&amp;G251&amp;"|"&amp;H251&amp;"|"&amp;I251&amp;"|"&amp;J251&amp;"|"&amp;K251&amp;"|"&amp;L251&amp;"|"&amp;M251&amp;"|"&amp;N251&amp;"|"&amp;O251&amp;"|"&amp;P251</f>
        <v/>
      </c>
      <c r="R251" s="10">
        <f>IF(COUNTIF($Q$2:$Q$1409,Q251)&gt;1,IF(COUNTIF($Q$2:Q251,Q251)=1,"Exact Duplicate - Keep First","Exact Duplicate - Remove"),"Unique")</f>
        <v/>
      </c>
    </row>
    <row r="252" ht="15" customHeight="1" s="11">
      <c r="A252" s="10" t="inlineStr">
        <is>
          <t>USR-100251</t>
        </is>
      </c>
      <c r="B252" s="14" t="n">
        <v>45687</v>
      </c>
      <c r="C252" s="10" t="inlineStr">
        <is>
          <t>Control</t>
        </is>
      </c>
      <c r="D252" s="10" t="inlineStr">
        <is>
          <t>North</t>
        </is>
      </c>
      <c r="E252" s="10" t="inlineStr">
        <is>
          <t>Desktop</t>
        </is>
      </c>
      <c r="F252" s="10" t="inlineStr">
        <is>
          <t>Email</t>
        </is>
      </c>
      <c r="G252" s="10" t="inlineStr">
        <is>
          <t>Basic</t>
        </is>
      </c>
      <c r="H252" s="10" t="n">
        <v>1</v>
      </c>
      <c r="I252" s="10" t="n">
        <v>1</v>
      </c>
      <c r="J252" s="10" t="n">
        <v>1</v>
      </c>
      <c r="K252" s="10" t="n">
        <v>1</v>
      </c>
      <c r="L252" s="10" t="n">
        <v>1250.78</v>
      </c>
      <c r="M252" s="10" t="n">
        <v>0</v>
      </c>
      <c r="N252" s="10" t="n">
        <v>0</v>
      </c>
      <c r="O252" s="10" t="n">
        <v>10</v>
      </c>
      <c r="P252" s="10" t="n">
        <v>39</v>
      </c>
      <c r="Q252" s="10">
        <f>A252&amp;"|"&amp;B252&amp;"|"&amp;C252&amp;"|"&amp;D252&amp;"|"&amp;E252&amp;"|"&amp;F252&amp;"|"&amp;G252&amp;"|"&amp;H252&amp;"|"&amp;I252&amp;"|"&amp;J252&amp;"|"&amp;K252&amp;"|"&amp;L252&amp;"|"&amp;M252&amp;"|"&amp;N252&amp;"|"&amp;O252&amp;"|"&amp;P252</f>
        <v/>
      </c>
      <c r="R252" s="10">
        <f>IF(COUNTIF($Q$2:$Q$1409,Q252)&gt;1,IF(COUNTIF($Q$2:Q252,Q252)=1,"Exact Duplicate - Keep First","Exact Duplicate - Remove"),"Unique")</f>
        <v/>
      </c>
    </row>
    <row r="253" ht="15" customHeight="1" s="11">
      <c r="A253" s="10" t="inlineStr">
        <is>
          <t>USR-100252</t>
        </is>
      </c>
      <c r="B253" s="14" t="n">
        <v>45800</v>
      </c>
      <c r="C253" s="10" t="inlineStr">
        <is>
          <t>Control</t>
        </is>
      </c>
      <c r="D253" s="10" t="inlineStr">
        <is>
          <t>West</t>
        </is>
      </c>
      <c r="E253" s="10" t="inlineStr">
        <is>
          <t>Mobile</t>
        </is>
      </c>
      <c r="F253" s="10" t="inlineStr">
        <is>
          <t>Organic</t>
        </is>
      </c>
      <c r="G253" s="10" t="inlineStr">
        <is>
          <t>Free</t>
        </is>
      </c>
      <c r="H253" s="10" t="n">
        <v>1</v>
      </c>
      <c r="I253" s="10" t="n">
        <v>0</v>
      </c>
      <c r="J253" s="10" t="n">
        <v>0</v>
      </c>
      <c r="K253" s="10" t="n">
        <v>0</v>
      </c>
      <c r="L253" s="10" t="n">
        <v>0</v>
      </c>
      <c r="M253" s="10" t="n">
        <v>0</v>
      </c>
      <c r="N253" s="10" t="n">
        <v>0</v>
      </c>
      <c r="P253" s="10" t="n">
        <v>61.6</v>
      </c>
      <c r="Q253" s="10">
        <f>A253&amp;"|"&amp;B253&amp;"|"&amp;C253&amp;"|"&amp;D253&amp;"|"&amp;E253&amp;"|"&amp;F253&amp;"|"&amp;G253&amp;"|"&amp;H253&amp;"|"&amp;I253&amp;"|"&amp;J253&amp;"|"&amp;K253&amp;"|"&amp;L253&amp;"|"&amp;M253&amp;"|"&amp;N253&amp;"|"&amp;O253&amp;"|"&amp;P253</f>
        <v/>
      </c>
      <c r="R253" s="10">
        <f>IF(COUNTIF($Q$2:$Q$1409,Q253)&gt;1,IF(COUNTIF($Q$2:Q253,Q253)=1,"Exact Duplicate - Keep First","Exact Duplicate - Remove"),"Unique")</f>
        <v/>
      </c>
    </row>
    <row r="254" ht="15" customHeight="1" s="11">
      <c r="A254" s="10" t="inlineStr">
        <is>
          <t>USR-100253</t>
        </is>
      </c>
      <c r="B254" s="14" t="n">
        <v>45702</v>
      </c>
      <c r="C254" s="10" t="inlineStr">
        <is>
          <t>Control</t>
        </is>
      </c>
      <c r="D254" s="10" t="inlineStr">
        <is>
          <t>East</t>
        </is>
      </c>
      <c r="E254" s="10" t="inlineStr">
        <is>
          <t>Desktop</t>
        </is>
      </c>
      <c r="F254" s="10" t="inlineStr">
        <is>
          <t>Organic</t>
        </is>
      </c>
      <c r="G254" s="10" t="inlineStr">
        <is>
          <t>Free</t>
        </is>
      </c>
      <c r="H254" s="10" t="n">
        <v>1</v>
      </c>
      <c r="I254" s="10" t="n">
        <v>1</v>
      </c>
      <c r="J254" s="10" t="n">
        <v>1</v>
      </c>
      <c r="K254" s="10" t="n">
        <v>0</v>
      </c>
      <c r="L254" s="10" t="n">
        <v>0</v>
      </c>
      <c r="M254" s="10" t="n">
        <v>0</v>
      </c>
      <c r="N254" s="10" t="n">
        <v>0</v>
      </c>
      <c r="P254" s="10" t="n">
        <v>46.8</v>
      </c>
      <c r="Q254" s="10">
        <f>A254&amp;"|"&amp;B254&amp;"|"&amp;C254&amp;"|"&amp;D254&amp;"|"&amp;E254&amp;"|"&amp;F254&amp;"|"&amp;G254&amp;"|"&amp;H254&amp;"|"&amp;I254&amp;"|"&amp;J254&amp;"|"&amp;K254&amp;"|"&amp;L254&amp;"|"&amp;M254&amp;"|"&amp;N254&amp;"|"&amp;O254&amp;"|"&amp;P254</f>
        <v/>
      </c>
      <c r="R254" s="10">
        <f>IF(COUNTIF($Q$2:$Q$1409,Q254)&gt;1,IF(COUNTIF($Q$2:Q254,Q254)=1,"Exact Duplicate - Keep First","Exact Duplicate - Remove"),"Unique")</f>
        <v/>
      </c>
    </row>
    <row r="255" ht="15" customHeight="1" s="11">
      <c r="A255" s="10" t="inlineStr">
        <is>
          <t>USR-100254</t>
        </is>
      </c>
      <c r="B255" s="14" t="n">
        <v>45721</v>
      </c>
      <c r="C255" s="10" t="inlineStr">
        <is>
          <t>Control</t>
        </is>
      </c>
      <c r="D255" s="10" t="inlineStr">
        <is>
          <t>North</t>
        </is>
      </c>
      <c r="E255" s="10" t="inlineStr">
        <is>
          <t>Mobile</t>
        </is>
      </c>
      <c r="F255" s="10" t="inlineStr">
        <is>
          <t>Paid Search</t>
        </is>
      </c>
      <c r="G255" s="10" t="inlineStr">
        <is>
          <t>Premium</t>
        </is>
      </c>
      <c r="H255" s="10" t="n">
        <v>0</v>
      </c>
      <c r="I255" s="10" t="n">
        <v>0</v>
      </c>
      <c r="J255" s="10" t="n">
        <v>0</v>
      </c>
      <c r="K255" s="10" t="n">
        <v>0</v>
      </c>
      <c r="L255" s="10" t="n">
        <v>0</v>
      </c>
      <c r="M255" s="10" t="n">
        <v>1</v>
      </c>
      <c r="N255" s="10" t="n">
        <v>0</v>
      </c>
      <c r="P255" s="10" t="n">
        <v>58.5</v>
      </c>
      <c r="Q255" s="10">
        <f>A255&amp;"|"&amp;B255&amp;"|"&amp;C255&amp;"|"&amp;D255&amp;"|"&amp;E255&amp;"|"&amp;F255&amp;"|"&amp;G255&amp;"|"&amp;H255&amp;"|"&amp;I255&amp;"|"&amp;J255&amp;"|"&amp;K255&amp;"|"&amp;L255&amp;"|"&amp;M255&amp;"|"&amp;N255&amp;"|"&amp;O255&amp;"|"&amp;P255</f>
        <v/>
      </c>
      <c r="R255" s="10">
        <f>IF(COUNTIF($Q$2:$Q$1409,Q255)&gt;1,IF(COUNTIF($Q$2:Q255,Q255)=1,"Exact Duplicate - Keep First","Exact Duplicate - Remove"),"Unique")</f>
        <v/>
      </c>
    </row>
    <row r="256" ht="15" customHeight="1" s="11">
      <c r="A256" s="10" t="inlineStr">
        <is>
          <t>USR-100255</t>
        </is>
      </c>
      <c r="B256" s="14" t="n">
        <v>45804</v>
      </c>
      <c r="C256" s="10" t="inlineStr">
        <is>
          <t>Control</t>
        </is>
      </c>
      <c r="D256" s="10" t="inlineStr">
        <is>
          <t>North</t>
        </is>
      </c>
      <c r="E256" s="10" t="inlineStr">
        <is>
          <t>Mobile</t>
        </is>
      </c>
      <c r="F256" s="10" t="inlineStr">
        <is>
          <t>Paid Search</t>
        </is>
      </c>
      <c r="G256" s="10" t="inlineStr">
        <is>
          <t>Basic</t>
        </is>
      </c>
      <c r="H256" s="10" t="n">
        <v>0</v>
      </c>
      <c r="I256" s="10" t="n">
        <v>0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P256" s="10" t="n">
        <v>70.90000000000001</v>
      </c>
      <c r="Q256" s="10">
        <f>A256&amp;"|"&amp;B256&amp;"|"&amp;C256&amp;"|"&amp;D256&amp;"|"&amp;E256&amp;"|"&amp;F256&amp;"|"&amp;G256&amp;"|"&amp;H256&amp;"|"&amp;I256&amp;"|"&amp;J256&amp;"|"&amp;K256&amp;"|"&amp;L256&amp;"|"&amp;M256&amp;"|"&amp;N256&amp;"|"&amp;O256&amp;"|"&amp;P256</f>
        <v/>
      </c>
      <c r="R256" s="10">
        <f>IF(COUNTIF($Q$2:$Q$1409,Q256)&gt;1,IF(COUNTIF($Q$2:Q256,Q256)=1,"Exact Duplicate - Keep First","Exact Duplicate - Remove"),"Unique")</f>
        <v/>
      </c>
    </row>
    <row r="257" ht="15" customHeight="1" s="11">
      <c r="A257" s="10" t="inlineStr">
        <is>
          <t>USR-100256</t>
        </is>
      </c>
      <c r="B257" s="14" t="n">
        <v>45664</v>
      </c>
      <c r="C257" s="10" t="inlineStr">
        <is>
          <t>Control</t>
        </is>
      </c>
      <c r="D257" s="10" t="inlineStr">
        <is>
          <t>South</t>
        </is>
      </c>
      <c r="E257" s="10" t="inlineStr">
        <is>
          <t>Mobile</t>
        </is>
      </c>
      <c r="F257" s="10" t="inlineStr">
        <is>
          <t>Paid Search</t>
        </is>
      </c>
      <c r="G257" s="10" t="inlineStr">
        <is>
          <t>Free</t>
        </is>
      </c>
      <c r="H257" s="10" t="n">
        <v>1</v>
      </c>
      <c r="I257" s="10" t="n">
        <v>0</v>
      </c>
      <c r="J257" s="10" t="n">
        <v>0</v>
      </c>
      <c r="K257" s="10" t="n">
        <v>0</v>
      </c>
      <c r="L257" s="10" t="n">
        <v>0</v>
      </c>
      <c r="M257" s="10" t="n">
        <v>0</v>
      </c>
      <c r="N257" s="10" t="n">
        <v>0</v>
      </c>
      <c r="P257" s="10" t="n">
        <v>48.4</v>
      </c>
      <c r="Q257" s="10">
        <f>A257&amp;"|"&amp;B257&amp;"|"&amp;C257&amp;"|"&amp;D257&amp;"|"&amp;E257&amp;"|"&amp;F257&amp;"|"&amp;G257&amp;"|"&amp;H257&amp;"|"&amp;I257&amp;"|"&amp;J257&amp;"|"&amp;K257&amp;"|"&amp;L257&amp;"|"&amp;M257&amp;"|"&amp;N257&amp;"|"&amp;O257&amp;"|"&amp;P257</f>
        <v/>
      </c>
      <c r="R257" s="10">
        <f>IF(COUNTIF($Q$2:$Q$1409,Q257)&gt;1,IF(COUNTIF($Q$2:Q257,Q257)=1,"Exact Duplicate - Keep First","Exact Duplicate - Remove"),"Unique")</f>
        <v/>
      </c>
    </row>
    <row r="258" ht="15" customHeight="1" s="11">
      <c r="A258" s="10" t="inlineStr">
        <is>
          <t>USR-100257</t>
        </is>
      </c>
      <c r="B258" s="14" t="n">
        <v>45768</v>
      </c>
      <c r="C258" s="10" t="inlineStr">
        <is>
          <t>Control</t>
        </is>
      </c>
      <c r="D258" s="10" t="inlineStr">
        <is>
          <t>North</t>
        </is>
      </c>
      <c r="E258" s="10" t="inlineStr">
        <is>
          <t>Mobile</t>
        </is>
      </c>
      <c r="F258" s="10" t="inlineStr">
        <is>
          <t>Email</t>
        </is>
      </c>
      <c r="G258" s="10" t="inlineStr">
        <is>
          <t>Free</t>
        </is>
      </c>
      <c r="H258" s="10" t="n">
        <v>1</v>
      </c>
      <c r="I258" s="10" t="n">
        <v>0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P258" s="10" t="n">
        <v>58</v>
      </c>
      <c r="Q258" s="10">
        <f>A258&amp;"|"&amp;B258&amp;"|"&amp;C258&amp;"|"&amp;D258&amp;"|"&amp;E258&amp;"|"&amp;F258&amp;"|"&amp;G258&amp;"|"&amp;H258&amp;"|"&amp;I258&amp;"|"&amp;J258&amp;"|"&amp;K258&amp;"|"&amp;L258&amp;"|"&amp;M258&amp;"|"&amp;N258&amp;"|"&amp;O258&amp;"|"&amp;P258</f>
        <v/>
      </c>
      <c r="R258" s="10">
        <f>IF(COUNTIF($Q$2:$Q$1409,Q258)&gt;1,IF(COUNTIF($Q$2:Q258,Q258)=1,"Exact Duplicate - Keep First","Exact Duplicate - Remove"),"Unique")</f>
        <v/>
      </c>
    </row>
    <row r="259" ht="15" customHeight="1" s="11">
      <c r="A259" s="10" t="inlineStr">
        <is>
          <t>USR-100258</t>
        </is>
      </c>
      <c r="B259" s="14" t="n">
        <v>45790</v>
      </c>
      <c r="C259" s="10" t="inlineStr">
        <is>
          <t>Control</t>
        </is>
      </c>
      <c r="D259" s="10" t="inlineStr">
        <is>
          <t>North</t>
        </is>
      </c>
      <c r="E259" s="10" t="inlineStr">
        <is>
          <t>Mobile</t>
        </is>
      </c>
      <c r="F259" s="10" t="inlineStr">
        <is>
          <t>Paid Search</t>
        </is>
      </c>
      <c r="G259" s="10" t="inlineStr">
        <is>
          <t>Free</t>
        </is>
      </c>
      <c r="H259" s="10" t="n">
        <v>0</v>
      </c>
      <c r="I259" s="10" t="n">
        <v>0</v>
      </c>
      <c r="J259" s="10" t="n">
        <v>0</v>
      </c>
      <c r="K259" s="10" t="n">
        <v>0</v>
      </c>
      <c r="L259" s="10" t="n">
        <v>0</v>
      </c>
      <c r="M259" s="10" t="n">
        <v>0</v>
      </c>
      <c r="N259" s="10" t="n">
        <v>0</v>
      </c>
      <c r="P259" s="10" t="n">
        <v>61.6</v>
      </c>
      <c r="Q259" s="10">
        <f>A259&amp;"|"&amp;B259&amp;"|"&amp;C259&amp;"|"&amp;D259&amp;"|"&amp;E259&amp;"|"&amp;F259&amp;"|"&amp;G259&amp;"|"&amp;H259&amp;"|"&amp;I259&amp;"|"&amp;J259&amp;"|"&amp;K259&amp;"|"&amp;L259&amp;"|"&amp;M259&amp;"|"&amp;N259&amp;"|"&amp;O259&amp;"|"&amp;P259</f>
        <v/>
      </c>
      <c r="R259" s="10">
        <f>IF(COUNTIF($Q$2:$Q$1409,Q259)&gt;1,IF(COUNTIF($Q$2:Q259,Q259)=1,"Exact Duplicate - Keep First","Exact Duplicate - Remove"),"Unique")</f>
        <v/>
      </c>
    </row>
    <row r="260" ht="15" customHeight="1" s="11">
      <c r="A260" s="10" t="inlineStr">
        <is>
          <t>USR-100259</t>
        </is>
      </c>
      <c r="B260" s="14" t="n">
        <v>45685</v>
      </c>
      <c r="C260" s="10" t="inlineStr">
        <is>
          <t>Control</t>
        </is>
      </c>
      <c r="D260" s="10" t="inlineStr">
        <is>
          <t>East</t>
        </is>
      </c>
      <c r="E260" s="10" t="inlineStr">
        <is>
          <t>Desktop</t>
        </is>
      </c>
      <c r="F260" s="10" t="inlineStr">
        <is>
          <t>Organic</t>
        </is>
      </c>
      <c r="G260" s="10" t="inlineStr">
        <is>
          <t>Free</t>
        </is>
      </c>
      <c r="H260" s="10" t="n">
        <v>1</v>
      </c>
      <c r="I260" s="10" t="n">
        <v>0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P260" s="10" t="n">
        <v>43.2</v>
      </c>
      <c r="Q260" s="10">
        <f>A260&amp;"|"&amp;B260&amp;"|"&amp;C260&amp;"|"&amp;D260&amp;"|"&amp;E260&amp;"|"&amp;F260&amp;"|"&amp;G260&amp;"|"&amp;H260&amp;"|"&amp;I260&amp;"|"&amp;J260&amp;"|"&amp;K260&amp;"|"&amp;L260&amp;"|"&amp;M260&amp;"|"&amp;N260&amp;"|"&amp;O260&amp;"|"&amp;P260</f>
        <v/>
      </c>
      <c r="R260" s="10">
        <f>IF(COUNTIF($Q$2:$Q$1409,Q260)&gt;1,IF(COUNTIF($Q$2:Q260,Q260)=1,"Exact Duplicate - Keep First","Exact Duplicate - Remove"),"Unique")</f>
        <v/>
      </c>
    </row>
    <row r="261" ht="15" customHeight="1" s="11">
      <c r="A261" s="10" t="inlineStr">
        <is>
          <t>USR-100260</t>
        </is>
      </c>
      <c r="B261" s="14" t="n">
        <v>45732</v>
      </c>
      <c r="C261" s="10" t="inlineStr">
        <is>
          <t>Control</t>
        </is>
      </c>
      <c r="D261" s="10" t="inlineStr">
        <is>
          <t>East</t>
        </is>
      </c>
      <c r="E261" s="10" t="inlineStr">
        <is>
          <t>Desktop</t>
        </is>
      </c>
      <c r="F261" s="10" t="inlineStr">
        <is>
          <t>Paid Search</t>
        </is>
      </c>
      <c r="G261" s="10" t="inlineStr">
        <is>
          <t>Basic</t>
        </is>
      </c>
      <c r="H261" s="10" t="n">
        <v>1</v>
      </c>
      <c r="I261" s="10" t="n">
        <v>0</v>
      </c>
      <c r="J261" s="10" t="n">
        <v>0</v>
      </c>
      <c r="K261" s="10" t="n">
        <v>0</v>
      </c>
      <c r="L261" s="10" t="n">
        <v>0</v>
      </c>
      <c r="M261" s="10" t="n">
        <v>1</v>
      </c>
      <c r="N261" s="10" t="n">
        <v>0</v>
      </c>
      <c r="P261" s="10" t="n">
        <v>53.3</v>
      </c>
      <c r="Q261" s="10">
        <f>A261&amp;"|"&amp;B261&amp;"|"&amp;C261&amp;"|"&amp;D261&amp;"|"&amp;E261&amp;"|"&amp;F261&amp;"|"&amp;G261&amp;"|"&amp;H261&amp;"|"&amp;I261&amp;"|"&amp;J261&amp;"|"&amp;K261&amp;"|"&amp;L261&amp;"|"&amp;M261&amp;"|"&amp;N261&amp;"|"&amp;O261&amp;"|"&amp;P261</f>
        <v/>
      </c>
      <c r="R261" s="10">
        <f>IF(COUNTIF($Q$2:$Q$1409,Q261)&gt;1,IF(COUNTIF($Q$2:Q261,Q261)=1,"Exact Duplicate - Keep First","Exact Duplicate - Remove"),"Unique")</f>
        <v/>
      </c>
    </row>
    <row r="262" ht="15" customHeight="1" s="11">
      <c r="A262" s="10" t="inlineStr">
        <is>
          <t>USR-100261</t>
        </is>
      </c>
      <c r="B262" s="14" t="n">
        <v>45757</v>
      </c>
      <c r="C262" s="10" t="inlineStr">
        <is>
          <t>Control</t>
        </is>
      </c>
      <c r="D262" s="10" t="inlineStr">
        <is>
          <t>East</t>
        </is>
      </c>
      <c r="E262" s="10" t="inlineStr">
        <is>
          <t>Desktop</t>
        </is>
      </c>
      <c r="F262" s="10" t="inlineStr">
        <is>
          <t>Social</t>
        </is>
      </c>
      <c r="G262" s="10" t="inlineStr">
        <is>
          <t>Basic</t>
        </is>
      </c>
      <c r="H262" s="10" t="n">
        <v>0</v>
      </c>
      <c r="I262" s="10" t="n">
        <v>0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P262" s="10" t="n">
        <v>33.9</v>
      </c>
      <c r="Q262" s="10">
        <f>A262&amp;"|"&amp;B262&amp;"|"&amp;C262&amp;"|"&amp;D262&amp;"|"&amp;E262&amp;"|"&amp;F262&amp;"|"&amp;G262&amp;"|"&amp;H262&amp;"|"&amp;I262&amp;"|"&amp;J262&amp;"|"&amp;K262&amp;"|"&amp;L262&amp;"|"&amp;M262&amp;"|"&amp;N262&amp;"|"&amp;O262&amp;"|"&amp;P262</f>
        <v/>
      </c>
      <c r="R262" s="10">
        <f>IF(COUNTIF($Q$2:$Q$1409,Q262)&gt;1,IF(COUNTIF($Q$2:Q262,Q262)=1,"Exact Duplicate - Keep First","Exact Duplicate - Remove"),"Unique")</f>
        <v/>
      </c>
    </row>
    <row r="263" ht="15" customHeight="1" s="11">
      <c r="A263" s="10" t="inlineStr">
        <is>
          <t>USR-100262</t>
        </is>
      </c>
      <c r="B263" s="14" t="n">
        <v>45731</v>
      </c>
      <c r="C263" s="10" t="inlineStr">
        <is>
          <t>Control</t>
        </is>
      </c>
      <c r="D263" s="10" t="inlineStr">
        <is>
          <t>East</t>
        </is>
      </c>
      <c r="E263" s="10" t="inlineStr">
        <is>
          <t>Desktop</t>
        </is>
      </c>
      <c r="F263" s="10" t="inlineStr">
        <is>
          <t>Referral</t>
        </is>
      </c>
      <c r="G263" s="10" t="inlineStr">
        <is>
          <t>Free</t>
        </is>
      </c>
      <c r="H263" s="10" t="n">
        <v>1</v>
      </c>
      <c r="I263" s="10" t="n">
        <v>1</v>
      </c>
      <c r="J263" s="10" t="n">
        <v>1</v>
      </c>
      <c r="K263" s="10" t="n">
        <v>0</v>
      </c>
      <c r="L263" s="10" t="n">
        <v>0</v>
      </c>
      <c r="M263" s="10" t="n">
        <v>0</v>
      </c>
      <c r="N263" s="10" t="n">
        <v>0</v>
      </c>
      <c r="P263" s="10" t="n">
        <v>35.4</v>
      </c>
      <c r="Q263" s="10">
        <f>A263&amp;"|"&amp;B263&amp;"|"&amp;C263&amp;"|"&amp;D263&amp;"|"&amp;E263&amp;"|"&amp;F263&amp;"|"&amp;G263&amp;"|"&amp;H263&amp;"|"&amp;I263&amp;"|"&amp;J263&amp;"|"&amp;K263&amp;"|"&amp;L263&amp;"|"&amp;M263&amp;"|"&amp;N263&amp;"|"&amp;O263&amp;"|"&amp;P263</f>
        <v/>
      </c>
      <c r="R263" s="10">
        <f>IF(COUNTIF($Q$2:$Q$1409,Q263)&gt;1,IF(COUNTIF($Q$2:Q263,Q263)=1,"Exact Duplicate - Keep First","Exact Duplicate - Remove"),"Unique")</f>
        <v/>
      </c>
    </row>
    <row r="264" ht="15" customHeight="1" s="11">
      <c r="A264" s="10" t="inlineStr">
        <is>
          <t>USR-100263</t>
        </is>
      </c>
      <c r="B264" s="14" t="n">
        <v>45754</v>
      </c>
      <c r="C264" s="10" t="inlineStr">
        <is>
          <t>Control</t>
        </is>
      </c>
      <c r="D264" s="10" t="inlineStr">
        <is>
          <t>West</t>
        </is>
      </c>
      <c r="E264" s="10" t="inlineStr">
        <is>
          <t>Desktop</t>
        </is>
      </c>
      <c r="F264" s="10" t="inlineStr">
        <is>
          <t>Organic</t>
        </is>
      </c>
      <c r="G264" s="10" t="inlineStr">
        <is>
          <t>Basic</t>
        </is>
      </c>
      <c r="H264" s="10" t="n">
        <v>1</v>
      </c>
      <c r="I264" s="10" t="n">
        <v>0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P264" s="10" t="n">
        <v>45</v>
      </c>
      <c r="Q264" s="10">
        <f>A264&amp;"|"&amp;B264&amp;"|"&amp;C264&amp;"|"&amp;D264&amp;"|"&amp;E264&amp;"|"&amp;F264&amp;"|"&amp;G264&amp;"|"&amp;H264&amp;"|"&amp;I264&amp;"|"&amp;J264&amp;"|"&amp;K264&amp;"|"&amp;L264&amp;"|"&amp;M264&amp;"|"&amp;N264&amp;"|"&amp;O264&amp;"|"&amp;P264</f>
        <v/>
      </c>
      <c r="R264" s="10">
        <f>IF(COUNTIF($Q$2:$Q$1409,Q264)&gt;1,IF(COUNTIF($Q$2:Q264,Q264)=1,"Exact Duplicate - Keep First","Exact Duplicate - Remove"),"Unique")</f>
        <v/>
      </c>
    </row>
    <row r="265" ht="15" customHeight="1" s="11">
      <c r="A265" s="10" t="inlineStr">
        <is>
          <t>USR-100264</t>
        </is>
      </c>
      <c r="B265" s="14" t="n">
        <v>45700</v>
      </c>
      <c r="C265" s="10" t="inlineStr">
        <is>
          <t>Control</t>
        </is>
      </c>
      <c r="D265" s="10" t="inlineStr">
        <is>
          <t>South</t>
        </is>
      </c>
      <c r="E265" s="10" t="inlineStr">
        <is>
          <t>Mobile</t>
        </is>
      </c>
      <c r="F265" s="10" t="inlineStr">
        <is>
          <t>Organic</t>
        </is>
      </c>
      <c r="G265" s="10" t="inlineStr">
        <is>
          <t>Free</t>
        </is>
      </c>
      <c r="H265" s="10" t="n">
        <v>1</v>
      </c>
      <c r="I265" s="10" t="n">
        <v>1</v>
      </c>
      <c r="J265" s="10" t="n">
        <v>0</v>
      </c>
      <c r="K265" s="10" t="n">
        <v>0</v>
      </c>
      <c r="L265" s="10" t="n">
        <v>0</v>
      </c>
      <c r="M265" s="10" t="n">
        <v>0</v>
      </c>
      <c r="N265" s="10" t="n">
        <v>0</v>
      </c>
      <c r="P265" s="10" t="n">
        <v>86.5</v>
      </c>
      <c r="Q265" s="10">
        <f>A265&amp;"|"&amp;B265&amp;"|"&amp;C265&amp;"|"&amp;D265&amp;"|"&amp;E265&amp;"|"&amp;F265&amp;"|"&amp;G265&amp;"|"&amp;H265&amp;"|"&amp;I265&amp;"|"&amp;J265&amp;"|"&amp;K265&amp;"|"&amp;L265&amp;"|"&amp;M265&amp;"|"&amp;N265&amp;"|"&amp;O265&amp;"|"&amp;P265</f>
        <v/>
      </c>
      <c r="R265" s="10">
        <f>IF(COUNTIF($Q$2:$Q$1409,Q265)&gt;1,IF(COUNTIF($Q$2:Q265,Q265)=1,"Exact Duplicate - Keep First","Exact Duplicate - Remove"),"Unique")</f>
        <v/>
      </c>
    </row>
    <row r="266" ht="15" customHeight="1" s="11">
      <c r="A266" s="10" t="inlineStr">
        <is>
          <t>USR-100265</t>
        </is>
      </c>
      <c r="B266" s="14" t="n">
        <v>45782</v>
      </c>
      <c r="C266" s="10" t="inlineStr">
        <is>
          <t>Control</t>
        </is>
      </c>
      <c r="D266" s="10" t="inlineStr">
        <is>
          <t>West</t>
        </is>
      </c>
      <c r="E266" s="10" t="inlineStr">
        <is>
          <t>Mobile</t>
        </is>
      </c>
      <c r="F266" s="10" t="inlineStr">
        <is>
          <t>Social</t>
        </is>
      </c>
      <c r="G266" s="10" t="inlineStr">
        <is>
          <t>Free</t>
        </is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P266" s="10" t="n">
        <v>58.1</v>
      </c>
      <c r="Q266" s="10">
        <f>A266&amp;"|"&amp;B266&amp;"|"&amp;C266&amp;"|"&amp;D266&amp;"|"&amp;E266&amp;"|"&amp;F266&amp;"|"&amp;G266&amp;"|"&amp;H266&amp;"|"&amp;I266&amp;"|"&amp;J266&amp;"|"&amp;K266&amp;"|"&amp;L266&amp;"|"&amp;M266&amp;"|"&amp;N266&amp;"|"&amp;O266&amp;"|"&amp;P266</f>
        <v/>
      </c>
      <c r="R266" s="10">
        <f>IF(COUNTIF($Q$2:$Q$1409,Q266)&gt;1,IF(COUNTIF($Q$2:Q266,Q266)=1,"Exact Duplicate - Keep First","Exact Duplicate - Remove"),"Unique")</f>
        <v/>
      </c>
    </row>
    <row r="267" ht="15" customHeight="1" s="11">
      <c r="A267" s="10" t="inlineStr">
        <is>
          <t>USR-100266</t>
        </is>
      </c>
      <c r="B267" s="14" t="n">
        <v>45727</v>
      </c>
      <c r="C267" s="10" t="inlineStr">
        <is>
          <t>Control</t>
        </is>
      </c>
      <c r="D267" s="10" t="inlineStr">
        <is>
          <t>West</t>
        </is>
      </c>
      <c r="E267" s="10" t="inlineStr">
        <is>
          <t>Mobile</t>
        </is>
      </c>
      <c r="F267" s="10" t="inlineStr">
        <is>
          <t>Referral</t>
        </is>
      </c>
      <c r="G267" s="10" t="inlineStr">
        <is>
          <t>Free</t>
        </is>
      </c>
      <c r="H267" s="10" t="n">
        <v>1</v>
      </c>
      <c r="I267" s="10" t="n">
        <v>0</v>
      </c>
      <c r="J267" s="10" t="n">
        <v>0</v>
      </c>
      <c r="K267" s="10" t="n">
        <v>0</v>
      </c>
      <c r="L267" s="10" t="n">
        <v>0</v>
      </c>
      <c r="M267" s="10" t="n">
        <v>0</v>
      </c>
      <c r="N267" s="10" t="n">
        <v>0</v>
      </c>
      <c r="P267" s="10" t="n">
        <v>36.1</v>
      </c>
      <c r="Q267" s="10">
        <f>A267&amp;"|"&amp;B267&amp;"|"&amp;C267&amp;"|"&amp;D267&amp;"|"&amp;E267&amp;"|"&amp;F267&amp;"|"&amp;G267&amp;"|"&amp;H267&amp;"|"&amp;I267&amp;"|"&amp;J267&amp;"|"&amp;K267&amp;"|"&amp;L267&amp;"|"&amp;M267&amp;"|"&amp;N267&amp;"|"&amp;O267&amp;"|"&amp;P267</f>
        <v/>
      </c>
      <c r="R267" s="10">
        <f>IF(COUNTIF($Q$2:$Q$1409,Q267)&gt;1,IF(COUNTIF($Q$2:Q267,Q267)=1,"Exact Duplicate - Keep First","Exact Duplicate - Remove"),"Unique")</f>
        <v/>
      </c>
    </row>
    <row r="268" ht="15" customHeight="1" s="11">
      <c r="A268" s="10" t="inlineStr">
        <is>
          <t>USR-100267</t>
        </is>
      </c>
      <c r="B268" s="14" t="n">
        <v>45698</v>
      </c>
      <c r="C268" s="10" t="inlineStr">
        <is>
          <t>Control</t>
        </is>
      </c>
      <c r="D268" s="10" t="inlineStr">
        <is>
          <t>East</t>
        </is>
      </c>
      <c r="E268" s="10" t="inlineStr">
        <is>
          <t>Mobile</t>
        </is>
      </c>
      <c r="F268" s="10" t="inlineStr">
        <is>
          <t>Social</t>
        </is>
      </c>
      <c r="G268" s="10" t="inlineStr">
        <is>
          <t>Free</t>
        </is>
      </c>
      <c r="H268" s="10" t="n">
        <v>0</v>
      </c>
      <c r="I268" s="10" t="n">
        <v>0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P268" s="10" t="n">
        <v>62.8</v>
      </c>
      <c r="Q268" s="10">
        <f>A268&amp;"|"&amp;B268&amp;"|"&amp;C268&amp;"|"&amp;D268&amp;"|"&amp;E268&amp;"|"&amp;F268&amp;"|"&amp;G268&amp;"|"&amp;H268&amp;"|"&amp;I268&amp;"|"&amp;J268&amp;"|"&amp;K268&amp;"|"&amp;L268&amp;"|"&amp;M268&amp;"|"&amp;N268&amp;"|"&amp;O268&amp;"|"&amp;P268</f>
        <v/>
      </c>
      <c r="R268" s="10">
        <f>IF(COUNTIF($Q$2:$Q$1409,Q268)&gt;1,IF(COUNTIF($Q$2:Q268,Q268)=1,"Exact Duplicate - Keep First","Exact Duplicate - Remove"),"Unique")</f>
        <v/>
      </c>
    </row>
    <row r="269" ht="15" customHeight="1" s="11">
      <c r="A269" s="10" t="inlineStr">
        <is>
          <t>USR-100268</t>
        </is>
      </c>
      <c r="B269" s="14" t="n">
        <v>45753</v>
      </c>
      <c r="C269" s="10" t="inlineStr">
        <is>
          <t>Control</t>
        </is>
      </c>
      <c r="D269" s="10" t="inlineStr">
        <is>
          <t>South</t>
        </is>
      </c>
      <c r="E269" s="10" t="inlineStr">
        <is>
          <t>Mobile</t>
        </is>
      </c>
      <c r="F269" s="10" t="inlineStr">
        <is>
          <t>Organic</t>
        </is>
      </c>
      <c r="G269" s="10" t="inlineStr">
        <is>
          <t>Free</t>
        </is>
      </c>
      <c r="H269" s="10" t="n">
        <v>0</v>
      </c>
      <c r="I269" s="10" t="n">
        <v>0</v>
      </c>
      <c r="J269" s="10" t="n">
        <v>0</v>
      </c>
      <c r="K269" s="10" t="n">
        <v>0</v>
      </c>
      <c r="L269" s="10" t="n">
        <v>0</v>
      </c>
      <c r="M269" s="10" t="n">
        <v>0</v>
      </c>
      <c r="N269" s="10" t="n">
        <v>0</v>
      </c>
      <c r="P269" s="10" t="n">
        <v>54.2</v>
      </c>
      <c r="Q269" s="10">
        <f>A269&amp;"|"&amp;B269&amp;"|"&amp;C269&amp;"|"&amp;D269&amp;"|"&amp;E269&amp;"|"&amp;F269&amp;"|"&amp;G269&amp;"|"&amp;H269&amp;"|"&amp;I269&amp;"|"&amp;J269&amp;"|"&amp;K269&amp;"|"&amp;L269&amp;"|"&amp;M269&amp;"|"&amp;N269&amp;"|"&amp;O269&amp;"|"&amp;P269</f>
        <v/>
      </c>
      <c r="R269" s="10">
        <f>IF(COUNTIF($Q$2:$Q$1409,Q269)&gt;1,IF(COUNTIF($Q$2:Q269,Q269)=1,"Exact Duplicate - Keep First","Exact Duplicate - Remove"),"Unique")</f>
        <v/>
      </c>
    </row>
    <row r="270" ht="15" customHeight="1" s="11">
      <c r="A270" s="10" t="inlineStr">
        <is>
          <t>USR-100269</t>
        </is>
      </c>
      <c r="B270" s="14" t="n">
        <v>45663</v>
      </c>
      <c r="C270" s="10" t="inlineStr">
        <is>
          <t>Control</t>
        </is>
      </c>
      <c r="D270" s="10" t="inlineStr">
        <is>
          <t>East</t>
        </is>
      </c>
      <c r="E270" s="10" t="inlineStr">
        <is>
          <t>Mobile</t>
        </is>
      </c>
      <c r="F270" s="10" t="inlineStr">
        <is>
          <t>Referral</t>
        </is>
      </c>
      <c r="G270" s="10" t="inlineStr">
        <is>
          <t>Free</t>
        </is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P270" s="10" t="n">
        <v>50</v>
      </c>
      <c r="Q270" s="10">
        <f>A270&amp;"|"&amp;B270&amp;"|"&amp;C270&amp;"|"&amp;D270&amp;"|"&amp;E270&amp;"|"&amp;F270&amp;"|"&amp;G270&amp;"|"&amp;H270&amp;"|"&amp;I270&amp;"|"&amp;J270&amp;"|"&amp;K270&amp;"|"&amp;L270&amp;"|"&amp;M270&amp;"|"&amp;N270&amp;"|"&amp;O270&amp;"|"&amp;P270</f>
        <v/>
      </c>
      <c r="R270" s="10">
        <f>IF(COUNTIF($Q$2:$Q$1409,Q270)&gt;1,IF(COUNTIF($Q$2:Q270,Q270)=1,"Exact Duplicate - Keep First","Exact Duplicate - Remove"),"Unique")</f>
        <v/>
      </c>
    </row>
    <row r="271" ht="15" customHeight="1" s="11">
      <c r="A271" s="10" t="inlineStr">
        <is>
          <t>USR-100270</t>
        </is>
      </c>
      <c r="B271" s="14" t="n">
        <v>45741</v>
      </c>
      <c r="C271" s="10" t="inlineStr">
        <is>
          <t>Control</t>
        </is>
      </c>
      <c r="D271" s="10" t="inlineStr">
        <is>
          <t>East</t>
        </is>
      </c>
      <c r="E271" s="10" t="inlineStr">
        <is>
          <t>Tablet</t>
        </is>
      </c>
      <c r="F271" s="10" t="inlineStr">
        <is>
          <t>Paid Search</t>
        </is>
      </c>
      <c r="G271" s="10" t="inlineStr">
        <is>
          <t>Basic</t>
        </is>
      </c>
      <c r="H271" s="10" t="n">
        <v>1</v>
      </c>
      <c r="I271" s="10" t="n">
        <v>0</v>
      </c>
      <c r="J271" s="10" t="n">
        <v>0</v>
      </c>
      <c r="K271" s="10" t="n">
        <v>0</v>
      </c>
      <c r="L271" s="10" t="n">
        <v>0</v>
      </c>
      <c r="M271" s="10" t="n">
        <v>0</v>
      </c>
      <c r="N271" s="10" t="n">
        <v>0</v>
      </c>
      <c r="P271" s="10" t="n">
        <v>62</v>
      </c>
      <c r="Q271" s="10">
        <f>A271&amp;"|"&amp;B271&amp;"|"&amp;C271&amp;"|"&amp;D271&amp;"|"&amp;E271&amp;"|"&amp;F271&amp;"|"&amp;G271&amp;"|"&amp;H271&amp;"|"&amp;I271&amp;"|"&amp;J271&amp;"|"&amp;K271&amp;"|"&amp;L271&amp;"|"&amp;M271&amp;"|"&amp;N271&amp;"|"&amp;O271&amp;"|"&amp;P271</f>
        <v/>
      </c>
      <c r="R271" s="10">
        <f>IF(COUNTIF($Q$2:$Q$1409,Q271)&gt;1,IF(COUNTIF($Q$2:Q271,Q271)=1,"Exact Duplicate - Keep First","Exact Duplicate - Remove"),"Unique")</f>
        <v/>
      </c>
    </row>
    <row r="272" ht="15" customHeight="1" s="11">
      <c r="A272" s="10" t="inlineStr">
        <is>
          <t>USR-100271</t>
        </is>
      </c>
      <c r="B272" s="14" t="n">
        <v>45701</v>
      </c>
      <c r="C272" s="10" t="inlineStr">
        <is>
          <t>Control</t>
        </is>
      </c>
      <c r="D272" s="10" t="inlineStr">
        <is>
          <t>East</t>
        </is>
      </c>
      <c r="E272" s="10" t="inlineStr">
        <is>
          <t>Desktop</t>
        </is>
      </c>
      <c r="F272" s="10" t="inlineStr">
        <is>
          <t>Referral</t>
        </is>
      </c>
      <c r="G272" s="10" t="inlineStr">
        <is>
          <t>Free</t>
        </is>
      </c>
      <c r="H272" s="10" t="n">
        <v>1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P272" s="10" t="n">
        <v>29.3</v>
      </c>
      <c r="Q272" s="10">
        <f>A272&amp;"|"&amp;B272&amp;"|"&amp;C272&amp;"|"&amp;D272&amp;"|"&amp;E272&amp;"|"&amp;F272&amp;"|"&amp;G272&amp;"|"&amp;H272&amp;"|"&amp;I272&amp;"|"&amp;J272&amp;"|"&amp;K272&amp;"|"&amp;L272&amp;"|"&amp;M272&amp;"|"&amp;N272&amp;"|"&amp;O272&amp;"|"&amp;P272</f>
        <v/>
      </c>
      <c r="R272" s="10">
        <f>IF(COUNTIF($Q$2:$Q$1409,Q272)&gt;1,IF(COUNTIF($Q$2:Q272,Q272)=1,"Exact Duplicate - Keep First","Exact Duplicate - Remove"),"Unique")</f>
        <v/>
      </c>
    </row>
    <row r="273" ht="15" customHeight="1" s="11">
      <c r="A273" s="10" t="inlineStr">
        <is>
          <t>USR-100272</t>
        </is>
      </c>
      <c r="B273" s="14" t="n">
        <v>45733</v>
      </c>
      <c r="C273" s="10" t="inlineStr">
        <is>
          <t>Control</t>
        </is>
      </c>
      <c r="D273" s="10" t="inlineStr">
        <is>
          <t>West</t>
        </is>
      </c>
      <c r="E273" s="10" t="inlineStr">
        <is>
          <t>Desktop</t>
        </is>
      </c>
      <c r="F273" s="10" t="inlineStr">
        <is>
          <t>Organic</t>
        </is>
      </c>
      <c r="G273" s="10" t="inlineStr">
        <is>
          <t>Free</t>
        </is>
      </c>
      <c r="H273" s="10" t="n">
        <v>1</v>
      </c>
      <c r="I273" s="10" t="n">
        <v>0</v>
      </c>
      <c r="J273" s="10" t="n">
        <v>0</v>
      </c>
      <c r="K273" s="10" t="n">
        <v>0</v>
      </c>
      <c r="L273" s="10" t="n">
        <v>0</v>
      </c>
      <c r="M273" s="10" t="n">
        <v>0</v>
      </c>
      <c r="N273" s="10" t="n">
        <v>0</v>
      </c>
      <c r="P273" s="10" t="n">
        <v>67.90000000000001</v>
      </c>
      <c r="Q273" s="10">
        <f>A273&amp;"|"&amp;B273&amp;"|"&amp;C273&amp;"|"&amp;D273&amp;"|"&amp;E273&amp;"|"&amp;F273&amp;"|"&amp;G273&amp;"|"&amp;H273&amp;"|"&amp;I273&amp;"|"&amp;J273&amp;"|"&amp;K273&amp;"|"&amp;L273&amp;"|"&amp;M273&amp;"|"&amp;N273&amp;"|"&amp;O273&amp;"|"&amp;P273</f>
        <v/>
      </c>
      <c r="R273" s="10">
        <f>IF(COUNTIF($Q$2:$Q$1409,Q273)&gt;1,IF(COUNTIF($Q$2:Q273,Q273)=1,"Exact Duplicate - Keep First","Exact Duplicate - Remove"),"Unique")</f>
        <v/>
      </c>
    </row>
    <row r="274" ht="15" customHeight="1" s="11">
      <c r="A274" s="10" t="inlineStr">
        <is>
          <t>USR-100273</t>
        </is>
      </c>
      <c r="B274" s="14" t="n">
        <v>45787</v>
      </c>
      <c r="C274" s="10" t="inlineStr">
        <is>
          <t>Control</t>
        </is>
      </c>
      <c r="D274" s="10" t="inlineStr">
        <is>
          <t>North</t>
        </is>
      </c>
      <c r="E274" s="10" t="inlineStr">
        <is>
          <t>Mobile</t>
        </is>
      </c>
      <c r="F274" s="10" t="inlineStr">
        <is>
          <t>Referral</t>
        </is>
      </c>
      <c r="G274" s="10" t="inlineStr">
        <is>
          <t>Free</t>
        </is>
      </c>
      <c r="H274" s="10" t="n">
        <v>1</v>
      </c>
      <c r="I274" s="10" t="n">
        <v>1</v>
      </c>
      <c r="J274" s="10" t="n">
        <v>1</v>
      </c>
      <c r="K274" s="10" t="n">
        <v>0</v>
      </c>
      <c r="L274" s="10" t="n">
        <v>0</v>
      </c>
      <c r="M274" s="10" t="n">
        <v>0</v>
      </c>
      <c r="N274" s="10" t="n">
        <v>0</v>
      </c>
      <c r="P274" s="10" t="n">
        <v>67.59999999999999</v>
      </c>
      <c r="Q274" s="10">
        <f>A274&amp;"|"&amp;B274&amp;"|"&amp;C274&amp;"|"&amp;D274&amp;"|"&amp;E274&amp;"|"&amp;F274&amp;"|"&amp;G274&amp;"|"&amp;H274&amp;"|"&amp;I274&amp;"|"&amp;J274&amp;"|"&amp;K274&amp;"|"&amp;L274&amp;"|"&amp;M274&amp;"|"&amp;N274&amp;"|"&amp;O274&amp;"|"&amp;P274</f>
        <v/>
      </c>
      <c r="R274" s="10">
        <f>IF(COUNTIF($Q$2:$Q$1409,Q274)&gt;1,IF(COUNTIF($Q$2:Q274,Q274)=1,"Exact Duplicate - Keep First","Exact Duplicate - Remove"),"Unique")</f>
        <v/>
      </c>
    </row>
    <row r="275" ht="15" customHeight="1" s="11">
      <c r="A275" s="10" t="inlineStr">
        <is>
          <t>USR-100274</t>
        </is>
      </c>
      <c r="B275" s="14" t="n">
        <v>45784</v>
      </c>
      <c r="C275" s="10" t="inlineStr">
        <is>
          <t>Control</t>
        </is>
      </c>
      <c r="D275" s="10" t="inlineStr">
        <is>
          <t>South</t>
        </is>
      </c>
      <c r="E275" s="10" t="inlineStr">
        <is>
          <t>Mobile</t>
        </is>
      </c>
      <c r="F275" s="10" t="inlineStr">
        <is>
          <t>Paid Search</t>
        </is>
      </c>
      <c r="G275" s="10" t="inlineStr">
        <is>
          <t>Basic</t>
        </is>
      </c>
      <c r="H275" s="10" t="n">
        <v>0</v>
      </c>
      <c r="I275" s="10" t="n">
        <v>0</v>
      </c>
      <c r="J275" s="10" t="n">
        <v>0</v>
      </c>
      <c r="K275" s="10" t="n">
        <v>0</v>
      </c>
      <c r="L275" s="10" t="n">
        <v>0</v>
      </c>
      <c r="M275" s="10" t="n">
        <v>0</v>
      </c>
      <c r="N275" s="10" t="n">
        <v>0</v>
      </c>
      <c r="P275" s="10" t="n">
        <v>67.40000000000001</v>
      </c>
      <c r="Q275" s="10">
        <f>A275&amp;"|"&amp;B275&amp;"|"&amp;C275&amp;"|"&amp;D275&amp;"|"&amp;E275&amp;"|"&amp;F275&amp;"|"&amp;G275&amp;"|"&amp;H275&amp;"|"&amp;I275&amp;"|"&amp;J275&amp;"|"&amp;K275&amp;"|"&amp;L275&amp;"|"&amp;M275&amp;"|"&amp;N275&amp;"|"&amp;O275&amp;"|"&amp;P275</f>
        <v/>
      </c>
      <c r="R275" s="10">
        <f>IF(COUNTIF($Q$2:$Q$1409,Q275)&gt;1,IF(COUNTIF($Q$2:Q275,Q275)=1,"Exact Duplicate - Keep First","Exact Duplicate - Remove"),"Unique")</f>
        <v/>
      </c>
    </row>
    <row r="276" ht="15" customHeight="1" s="11">
      <c r="A276" s="10" t="inlineStr">
        <is>
          <t>USR-100275</t>
        </is>
      </c>
      <c r="B276" s="14" t="n">
        <v>45714</v>
      </c>
      <c r="C276" s="10" t="inlineStr">
        <is>
          <t>Control</t>
        </is>
      </c>
      <c r="D276" s="10" t="inlineStr">
        <is>
          <t>West</t>
        </is>
      </c>
      <c r="E276" s="10" t="inlineStr">
        <is>
          <t>Desktop</t>
        </is>
      </c>
      <c r="F276" s="10" t="inlineStr">
        <is>
          <t>Paid Search</t>
        </is>
      </c>
      <c r="G276" s="10" t="inlineStr">
        <is>
          <t>Premium</t>
        </is>
      </c>
      <c r="H276" s="10" t="n">
        <v>0</v>
      </c>
      <c r="I276" s="10" t="n">
        <v>0</v>
      </c>
      <c r="J276" s="10" t="n">
        <v>0</v>
      </c>
      <c r="K276" s="10" t="n">
        <v>0</v>
      </c>
      <c r="L276" s="10" t="n">
        <v>0</v>
      </c>
      <c r="M276" s="10" t="n">
        <v>2</v>
      </c>
      <c r="N276" s="10" t="n">
        <v>0</v>
      </c>
      <c r="P276" s="10" t="n">
        <v>53</v>
      </c>
      <c r="Q276" s="10">
        <f>A276&amp;"|"&amp;B276&amp;"|"&amp;C276&amp;"|"&amp;D276&amp;"|"&amp;E276&amp;"|"&amp;F276&amp;"|"&amp;G276&amp;"|"&amp;H276&amp;"|"&amp;I276&amp;"|"&amp;J276&amp;"|"&amp;K276&amp;"|"&amp;L276&amp;"|"&amp;M276&amp;"|"&amp;N276&amp;"|"&amp;O276&amp;"|"&amp;P276</f>
        <v/>
      </c>
      <c r="R276" s="10">
        <f>IF(COUNTIF($Q$2:$Q$1409,Q276)&gt;1,IF(COUNTIF($Q$2:Q276,Q276)=1,"Exact Duplicate - Keep First","Exact Duplicate - Remove"),"Unique")</f>
        <v/>
      </c>
    </row>
    <row r="277" ht="15" customHeight="1" s="11">
      <c r="A277" s="10" t="inlineStr">
        <is>
          <t>USR-100276</t>
        </is>
      </c>
      <c r="B277" s="14" t="n">
        <v>45788</v>
      </c>
      <c r="C277" s="10" t="inlineStr">
        <is>
          <t>Control</t>
        </is>
      </c>
      <c r="D277" s="10" t="inlineStr">
        <is>
          <t>North</t>
        </is>
      </c>
      <c r="E277" s="10" t="inlineStr">
        <is>
          <t>Mobile</t>
        </is>
      </c>
      <c r="F277" s="10" t="inlineStr">
        <is>
          <t>Organic</t>
        </is>
      </c>
      <c r="G277" s="10" t="inlineStr">
        <is>
          <t>Basic</t>
        </is>
      </c>
      <c r="H277" s="10" t="n">
        <v>0</v>
      </c>
      <c r="I277" s="10" t="n">
        <v>0</v>
      </c>
      <c r="J277" s="10" t="n">
        <v>0</v>
      </c>
      <c r="K277" s="10" t="n">
        <v>0</v>
      </c>
      <c r="L277" s="10" t="n">
        <v>0</v>
      </c>
      <c r="M277" s="10" t="n">
        <v>0</v>
      </c>
      <c r="N277" s="10" t="n">
        <v>0</v>
      </c>
      <c r="P277" s="10" t="n">
        <v>65.5</v>
      </c>
      <c r="Q277" s="10">
        <f>A277&amp;"|"&amp;B277&amp;"|"&amp;C277&amp;"|"&amp;D277&amp;"|"&amp;E277&amp;"|"&amp;F277&amp;"|"&amp;G277&amp;"|"&amp;H277&amp;"|"&amp;I277&amp;"|"&amp;J277&amp;"|"&amp;K277&amp;"|"&amp;L277&amp;"|"&amp;M277&amp;"|"&amp;N277&amp;"|"&amp;O277&amp;"|"&amp;P277</f>
        <v/>
      </c>
      <c r="R277" s="10">
        <f>IF(COUNTIF($Q$2:$Q$1409,Q277)&gt;1,IF(COUNTIF($Q$2:Q277,Q277)=1,"Exact Duplicate - Keep First","Exact Duplicate - Remove"),"Unique")</f>
        <v/>
      </c>
    </row>
    <row r="278" ht="15" customHeight="1" s="11">
      <c r="A278" s="10" t="inlineStr">
        <is>
          <t>USR-100277</t>
        </is>
      </c>
      <c r="B278" s="14" t="n">
        <v>45736</v>
      </c>
      <c r="C278" s="10" t="inlineStr">
        <is>
          <t>Control</t>
        </is>
      </c>
      <c r="D278" s="10" t="inlineStr">
        <is>
          <t>South</t>
        </is>
      </c>
      <c r="E278" s="10" t="inlineStr">
        <is>
          <t>Mobile</t>
        </is>
      </c>
      <c r="F278" s="10" t="inlineStr">
        <is>
          <t>Organic</t>
        </is>
      </c>
      <c r="G278" s="10" t="inlineStr">
        <is>
          <t>Basic</t>
        </is>
      </c>
      <c r="H278" s="10" t="n">
        <v>1</v>
      </c>
      <c r="I278" s="10" t="n">
        <v>1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0</v>
      </c>
      <c r="P278" s="10" t="n">
        <v>49.6</v>
      </c>
      <c r="Q278" s="10">
        <f>A278&amp;"|"&amp;B278&amp;"|"&amp;C278&amp;"|"&amp;D278&amp;"|"&amp;E278&amp;"|"&amp;F278&amp;"|"&amp;G278&amp;"|"&amp;H278&amp;"|"&amp;I278&amp;"|"&amp;J278&amp;"|"&amp;K278&amp;"|"&amp;L278&amp;"|"&amp;M278&amp;"|"&amp;N278&amp;"|"&amp;O278&amp;"|"&amp;P278</f>
        <v/>
      </c>
      <c r="R278" s="10">
        <f>IF(COUNTIF($Q$2:$Q$1409,Q278)&gt;1,IF(COUNTIF($Q$2:Q278,Q278)=1,"Exact Duplicate - Keep First","Exact Duplicate - Remove"),"Unique")</f>
        <v/>
      </c>
    </row>
    <row r="279" ht="15" customHeight="1" s="11">
      <c r="A279" s="10" t="inlineStr">
        <is>
          <t>USR-100278</t>
        </is>
      </c>
      <c r="B279" s="14" t="n">
        <v>45676</v>
      </c>
      <c r="C279" s="10" t="inlineStr">
        <is>
          <t>Control</t>
        </is>
      </c>
      <c r="D279" s="10" t="inlineStr">
        <is>
          <t>North</t>
        </is>
      </c>
      <c r="E279" s="10" t="inlineStr">
        <is>
          <t>Mobile</t>
        </is>
      </c>
      <c r="F279" s="10" t="inlineStr">
        <is>
          <t>Email</t>
        </is>
      </c>
      <c r="G279" s="10" t="inlineStr">
        <is>
          <t>Free</t>
        </is>
      </c>
      <c r="H279" s="10" t="n">
        <v>1</v>
      </c>
      <c r="I279" s="10" t="n">
        <v>1</v>
      </c>
      <c r="J279" s="10" t="n">
        <v>0</v>
      </c>
      <c r="K279" s="10" t="n">
        <v>0</v>
      </c>
      <c r="L279" s="10" t="n">
        <v>0</v>
      </c>
      <c r="M279" s="10" t="n">
        <v>0</v>
      </c>
      <c r="N279" s="10" t="n">
        <v>0</v>
      </c>
      <c r="P279" s="10" t="n">
        <v>74.5</v>
      </c>
      <c r="Q279" s="10">
        <f>A279&amp;"|"&amp;B279&amp;"|"&amp;C279&amp;"|"&amp;D279&amp;"|"&amp;E279&amp;"|"&amp;F279&amp;"|"&amp;G279&amp;"|"&amp;H279&amp;"|"&amp;I279&amp;"|"&amp;J279&amp;"|"&amp;K279&amp;"|"&amp;L279&amp;"|"&amp;M279&amp;"|"&amp;N279&amp;"|"&amp;O279&amp;"|"&amp;P279</f>
        <v/>
      </c>
      <c r="R279" s="10">
        <f>IF(COUNTIF($Q$2:$Q$1409,Q279)&gt;1,IF(COUNTIF($Q$2:Q279,Q279)=1,"Exact Duplicate - Keep First","Exact Duplicate - Remove"),"Unique")</f>
        <v/>
      </c>
    </row>
    <row r="280" ht="15" customHeight="1" s="11">
      <c r="A280" s="10" t="inlineStr">
        <is>
          <t>USR-100279</t>
        </is>
      </c>
      <c r="B280" s="14" t="n">
        <v>45724</v>
      </c>
      <c r="C280" s="10" t="inlineStr">
        <is>
          <t>Control</t>
        </is>
      </c>
      <c r="D280" s="10" t="inlineStr">
        <is>
          <t>North</t>
        </is>
      </c>
      <c r="E280" s="10" t="inlineStr">
        <is>
          <t>Tablet</t>
        </is>
      </c>
      <c r="F280" s="10" t="inlineStr">
        <is>
          <t>Paid Search</t>
        </is>
      </c>
      <c r="G280" s="10" t="inlineStr">
        <is>
          <t>Premium</t>
        </is>
      </c>
      <c r="H280" s="10" t="n">
        <v>1</v>
      </c>
      <c r="I280" s="10" t="n">
        <v>0</v>
      </c>
      <c r="J280" s="10" t="n">
        <v>0</v>
      </c>
      <c r="K280" s="10" t="n">
        <v>0</v>
      </c>
      <c r="L280" s="10" t="n">
        <v>0</v>
      </c>
      <c r="M280" s="10" t="n">
        <v>1</v>
      </c>
      <c r="N280" s="10" t="n">
        <v>0</v>
      </c>
      <c r="P280" s="10" t="n">
        <v>46.9</v>
      </c>
      <c r="Q280" s="10">
        <f>A280&amp;"|"&amp;B280&amp;"|"&amp;C280&amp;"|"&amp;D280&amp;"|"&amp;E280&amp;"|"&amp;F280&amp;"|"&amp;G280&amp;"|"&amp;H280&amp;"|"&amp;I280&amp;"|"&amp;J280&amp;"|"&amp;K280&amp;"|"&amp;L280&amp;"|"&amp;M280&amp;"|"&amp;N280&amp;"|"&amp;O280&amp;"|"&amp;P280</f>
        <v/>
      </c>
      <c r="R280" s="10">
        <f>IF(COUNTIF($Q$2:$Q$1409,Q280)&gt;1,IF(COUNTIF($Q$2:Q280,Q280)=1,"Exact Duplicate - Keep First","Exact Duplicate - Remove"),"Unique")</f>
        <v/>
      </c>
    </row>
    <row r="281" ht="15" customHeight="1" s="11">
      <c r="A281" s="10" t="inlineStr">
        <is>
          <t>USR-100280</t>
        </is>
      </c>
      <c r="B281" s="14" t="n">
        <v>45772</v>
      </c>
      <c r="C281" s="10" t="inlineStr">
        <is>
          <t>Control</t>
        </is>
      </c>
      <c r="D281" s="10" t="inlineStr">
        <is>
          <t>North</t>
        </is>
      </c>
      <c r="E281" s="10" t="inlineStr">
        <is>
          <t>Mobile</t>
        </is>
      </c>
      <c r="F281" s="10" t="inlineStr">
        <is>
          <t>Organic</t>
        </is>
      </c>
      <c r="G281" s="10" t="inlineStr">
        <is>
          <t>Free</t>
        </is>
      </c>
      <c r="H281" s="10" t="n">
        <v>0</v>
      </c>
      <c r="I281" s="10" t="n">
        <v>0</v>
      </c>
      <c r="J281" s="10" t="n">
        <v>0</v>
      </c>
      <c r="K281" s="10" t="n">
        <v>0</v>
      </c>
      <c r="L281" s="10" t="n">
        <v>0</v>
      </c>
      <c r="M281" s="10" t="n">
        <v>0</v>
      </c>
      <c r="N281" s="10" t="n">
        <v>0</v>
      </c>
      <c r="P281" s="10" t="n">
        <v>87.09999999999999</v>
      </c>
      <c r="Q281" s="10">
        <f>A281&amp;"|"&amp;B281&amp;"|"&amp;C281&amp;"|"&amp;D281&amp;"|"&amp;E281&amp;"|"&amp;F281&amp;"|"&amp;G281&amp;"|"&amp;H281&amp;"|"&amp;I281&amp;"|"&amp;J281&amp;"|"&amp;K281&amp;"|"&amp;L281&amp;"|"&amp;M281&amp;"|"&amp;N281&amp;"|"&amp;O281&amp;"|"&amp;P281</f>
        <v/>
      </c>
      <c r="R281" s="10">
        <f>IF(COUNTIF($Q$2:$Q$1409,Q281)&gt;1,IF(COUNTIF($Q$2:Q281,Q281)=1,"Exact Duplicate - Keep First","Exact Duplicate - Remove"),"Unique")</f>
        <v/>
      </c>
    </row>
    <row r="282" ht="15" customHeight="1" s="11">
      <c r="A282" s="10" t="inlineStr">
        <is>
          <t>USR-100281</t>
        </is>
      </c>
      <c r="B282" s="14" t="n">
        <v>45751</v>
      </c>
      <c r="C282" s="10" t="inlineStr">
        <is>
          <t>Control</t>
        </is>
      </c>
      <c r="D282" s="10" t="inlineStr">
        <is>
          <t>North</t>
        </is>
      </c>
      <c r="E282" s="10" t="inlineStr">
        <is>
          <t>Desktop</t>
        </is>
      </c>
      <c r="F282" s="10" t="inlineStr">
        <is>
          <t>Organic</t>
        </is>
      </c>
      <c r="G282" s="10" t="inlineStr">
        <is>
          <t>Free</t>
        </is>
      </c>
      <c r="H282" s="10" t="n">
        <v>1</v>
      </c>
      <c r="I282" s="10" t="n">
        <v>0</v>
      </c>
      <c r="J282" s="10" t="n">
        <v>0</v>
      </c>
      <c r="K282" s="10" t="n">
        <v>0</v>
      </c>
      <c r="L282" s="10" t="n">
        <v>0</v>
      </c>
      <c r="M282" s="10" t="n">
        <v>0</v>
      </c>
      <c r="N282" s="10" t="n">
        <v>0</v>
      </c>
      <c r="P282" s="10" t="n">
        <v>56</v>
      </c>
      <c r="Q282" s="10">
        <f>A282&amp;"|"&amp;B282&amp;"|"&amp;C282&amp;"|"&amp;D282&amp;"|"&amp;E282&amp;"|"&amp;F282&amp;"|"&amp;G282&amp;"|"&amp;H282&amp;"|"&amp;I282&amp;"|"&amp;J282&amp;"|"&amp;K282&amp;"|"&amp;L282&amp;"|"&amp;M282&amp;"|"&amp;N282&amp;"|"&amp;O282&amp;"|"&amp;P282</f>
        <v/>
      </c>
      <c r="R282" s="10">
        <f>IF(COUNTIF($Q$2:$Q$1409,Q282)&gt;1,IF(COUNTIF($Q$2:Q282,Q282)=1,"Exact Duplicate - Keep First","Exact Duplicate - Remove"),"Unique")</f>
        <v/>
      </c>
    </row>
    <row r="283" ht="15" customHeight="1" s="11">
      <c r="A283" s="10" t="inlineStr">
        <is>
          <t>USR-100282</t>
        </is>
      </c>
      <c r="B283" s="14" t="n">
        <v>45778</v>
      </c>
      <c r="C283" s="10" t="inlineStr">
        <is>
          <t>Control</t>
        </is>
      </c>
      <c r="D283" s="10" t="inlineStr">
        <is>
          <t>East</t>
        </is>
      </c>
      <c r="E283" s="10" t="inlineStr">
        <is>
          <t>Mobile</t>
        </is>
      </c>
      <c r="F283" s="10" t="inlineStr">
        <is>
          <t>Paid Search</t>
        </is>
      </c>
      <c r="G283" s="10" t="inlineStr">
        <is>
          <t>Premium</t>
        </is>
      </c>
      <c r="H283" s="10" t="n">
        <v>1</v>
      </c>
      <c r="I283" s="10" t="n">
        <v>0</v>
      </c>
      <c r="J283" s="10" t="n">
        <v>0</v>
      </c>
      <c r="K283" s="10" t="n">
        <v>0</v>
      </c>
      <c r="L283" s="10" t="n">
        <v>0</v>
      </c>
      <c r="M283" s="10" t="n">
        <v>1</v>
      </c>
      <c r="N283" s="10" t="n">
        <v>0</v>
      </c>
      <c r="P283" s="10" t="n">
        <v>61.7</v>
      </c>
      <c r="Q283" s="10">
        <f>A283&amp;"|"&amp;B283&amp;"|"&amp;C283&amp;"|"&amp;D283&amp;"|"&amp;E283&amp;"|"&amp;F283&amp;"|"&amp;G283&amp;"|"&amp;H283&amp;"|"&amp;I283&amp;"|"&amp;J283&amp;"|"&amp;K283&amp;"|"&amp;L283&amp;"|"&amp;M283&amp;"|"&amp;N283&amp;"|"&amp;O283&amp;"|"&amp;P283</f>
        <v/>
      </c>
      <c r="R283" s="10">
        <f>IF(COUNTIF($Q$2:$Q$1409,Q283)&gt;1,IF(COUNTIF($Q$2:Q283,Q283)=1,"Exact Duplicate - Keep First","Exact Duplicate - Remove"),"Unique")</f>
        <v/>
      </c>
    </row>
    <row r="284" ht="15" customHeight="1" s="11">
      <c r="A284" s="10" t="inlineStr">
        <is>
          <t>USR-100283</t>
        </is>
      </c>
      <c r="B284" s="14" t="n">
        <v>45678</v>
      </c>
      <c r="C284" s="10" t="inlineStr">
        <is>
          <t>Control</t>
        </is>
      </c>
      <c r="D284" s="10" t="inlineStr">
        <is>
          <t>South</t>
        </is>
      </c>
      <c r="E284" s="10" t="inlineStr">
        <is>
          <t>Mobile</t>
        </is>
      </c>
      <c r="F284" s="10" t="inlineStr">
        <is>
          <t>Social</t>
        </is>
      </c>
      <c r="G284" s="10" t="inlineStr">
        <is>
          <t>Free</t>
        </is>
      </c>
      <c r="H284" s="10" t="n">
        <v>1</v>
      </c>
      <c r="I284" s="10" t="n">
        <v>0</v>
      </c>
      <c r="J284" s="10" t="n">
        <v>0</v>
      </c>
      <c r="K284" s="10" t="n">
        <v>0</v>
      </c>
      <c r="L284" s="10" t="n">
        <v>0</v>
      </c>
      <c r="M284" s="10" t="n">
        <v>1</v>
      </c>
      <c r="N284" s="10" t="n">
        <v>0</v>
      </c>
      <c r="P284" s="10" t="n">
        <v>70.5</v>
      </c>
      <c r="Q284" s="10">
        <f>A284&amp;"|"&amp;B284&amp;"|"&amp;C284&amp;"|"&amp;D284&amp;"|"&amp;E284&amp;"|"&amp;F284&amp;"|"&amp;G284&amp;"|"&amp;H284&amp;"|"&amp;I284&amp;"|"&amp;J284&amp;"|"&amp;K284&amp;"|"&amp;L284&amp;"|"&amp;M284&amp;"|"&amp;N284&amp;"|"&amp;O284&amp;"|"&amp;P284</f>
        <v/>
      </c>
      <c r="R284" s="10">
        <f>IF(COUNTIF($Q$2:$Q$1409,Q284)&gt;1,IF(COUNTIF($Q$2:Q284,Q284)=1,"Exact Duplicate - Keep First","Exact Duplicate - Remove"),"Unique")</f>
        <v/>
      </c>
    </row>
    <row r="285" ht="15" customHeight="1" s="11">
      <c r="A285" s="10" t="inlineStr">
        <is>
          <t>USR-100284</t>
        </is>
      </c>
      <c r="B285" s="14" t="n">
        <v>45698</v>
      </c>
      <c r="C285" s="10" t="inlineStr">
        <is>
          <t>Control</t>
        </is>
      </c>
      <c r="D285" s="10" t="inlineStr">
        <is>
          <t>North</t>
        </is>
      </c>
      <c r="E285" s="10" t="inlineStr">
        <is>
          <t>Desktop</t>
        </is>
      </c>
      <c r="F285" s="10" t="inlineStr">
        <is>
          <t>Referral</t>
        </is>
      </c>
      <c r="G285" s="10" t="inlineStr">
        <is>
          <t>Basic</t>
        </is>
      </c>
      <c r="H285" s="10" t="n">
        <v>1</v>
      </c>
      <c r="I285" s="10" t="n">
        <v>0</v>
      </c>
      <c r="J285" s="10" t="n">
        <v>0</v>
      </c>
      <c r="K285" s="10" t="n">
        <v>0</v>
      </c>
      <c r="L285" s="10" t="n">
        <v>0</v>
      </c>
      <c r="M285" s="10" t="n">
        <v>0</v>
      </c>
      <c r="N285" s="10" t="n">
        <v>0</v>
      </c>
      <c r="P285" s="10" t="n">
        <v>33.4</v>
      </c>
      <c r="Q285" s="10">
        <f>A285&amp;"|"&amp;B285&amp;"|"&amp;C285&amp;"|"&amp;D285&amp;"|"&amp;E285&amp;"|"&amp;F285&amp;"|"&amp;G285&amp;"|"&amp;H285&amp;"|"&amp;I285&amp;"|"&amp;J285&amp;"|"&amp;K285&amp;"|"&amp;L285&amp;"|"&amp;M285&amp;"|"&amp;N285&amp;"|"&amp;O285&amp;"|"&amp;P285</f>
        <v/>
      </c>
      <c r="R285" s="10">
        <f>IF(COUNTIF($Q$2:$Q$1409,Q285)&gt;1,IF(COUNTIF($Q$2:Q285,Q285)=1,"Exact Duplicate - Keep First","Exact Duplicate - Remove"),"Unique")</f>
        <v/>
      </c>
    </row>
    <row r="286" ht="15" customHeight="1" s="11">
      <c r="A286" s="10" t="inlineStr">
        <is>
          <t>USR-100285</t>
        </is>
      </c>
      <c r="B286" s="14" t="n">
        <v>45783</v>
      </c>
      <c r="C286" s="10" t="inlineStr">
        <is>
          <t>Control</t>
        </is>
      </c>
      <c r="D286" s="10" t="inlineStr">
        <is>
          <t>South</t>
        </is>
      </c>
      <c r="E286" s="10" t="inlineStr">
        <is>
          <t>Desktop</t>
        </is>
      </c>
      <c r="F286" s="10" t="inlineStr">
        <is>
          <t>Organic</t>
        </is>
      </c>
      <c r="G286" s="10" t="inlineStr">
        <is>
          <t>Free</t>
        </is>
      </c>
      <c r="H286" s="10" t="n">
        <v>1</v>
      </c>
      <c r="I286" s="10" t="n">
        <v>0</v>
      </c>
      <c r="J286" s="10" t="n">
        <v>0</v>
      </c>
      <c r="K286" s="10" t="n">
        <v>0</v>
      </c>
      <c r="L286" s="10" t="n">
        <v>0</v>
      </c>
      <c r="M286" s="10" t="n">
        <v>0</v>
      </c>
      <c r="N286" s="10" t="n">
        <v>0</v>
      </c>
      <c r="P286" s="10" t="n">
        <v>57.5</v>
      </c>
      <c r="Q286" s="10">
        <f>A286&amp;"|"&amp;B286&amp;"|"&amp;C286&amp;"|"&amp;D286&amp;"|"&amp;E286&amp;"|"&amp;F286&amp;"|"&amp;G286&amp;"|"&amp;H286&amp;"|"&amp;I286&amp;"|"&amp;J286&amp;"|"&amp;K286&amp;"|"&amp;L286&amp;"|"&amp;M286&amp;"|"&amp;N286&amp;"|"&amp;O286&amp;"|"&amp;P286</f>
        <v/>
      </c>
      <c r="R286" s="10">
        <f>IF(COUNTIF($Q$2:$Q$1409,Q286)&gt;1,IF(COUNTIF($Q$2:Q286,Q286)=1,"Exact Duplicate - Keep First","Exact Duplicate - Remove"),"Unique")</f>
        <v/>
      </c>
    </row>
    <row r="287" ht="15" customHeight="1" s="11">
      <c r="A287" s="10" t="inlineStr">
        <is>
          <t>USR-100286</t>
        </is>
      </c>
      <c r="B287" s="14" t="n">
        <v>45696</v>
      </c>
      <c r="C287" s="10" t="inlineStr">
        <is>
          <t>Control</t>
        </is>
      </c>
      <c r="D287" s="10" t="inlineStr">
        <is>
          <t>North</t>
        </is>
      </c>
      <c r="E287" s="10" t="inlineStr">
        <is>
          <t>Desktop</t>
        </is>
      </c>
      <c r="F287" s="10" t="inlineStr">
        <is>
          <t>Paid Search</t>
        </is>
      </c>
      <c r="G287" s="10" t="inlineStr">
        <is>
          <t>Basic</t>
        </is>
      </c>
      <c r="H287" s="10" t="n">
        <v>1</v>
      </c>
      <c r="I287" s="10" t="n">
        <v>1</v>
      </c>
      <c r="J287" s="10" t="n">
        <v>0</v>
      </c>
      <c r="K287" s="10" t="n">
        <v>0</v>
      </c>
      <c r="L287" s="10" t="n">
        <v>0</v>
      </c>
      <c r="M287" s="10" t="n">
        <v>0</v>
      </c>
      <c r="N287" s="10" t="n">
        <v>0</v>
      </c>
      <c r="P287" s="10" t="n">
        <v>85.7</v>
      </c>
      <c r="Q287" s="10">
        <f>A287&amp;"|"&amp;B287&amp;"|"&amp;C287&amp;"|"&amp;D287&amp;"|"&amp;E287&amp;"|"&amp;F287&amp;"|"&amp;G287&amp;"|"&amp;H287&amp;"|"&amp;I287&amp;"|"&amp;J287&amp;"|"&amp;K287&amp;"|"&amp;L287&amp;"|"&amp;M287&amp;"|"&amp;N287&amp;"|"&amp;O287&amp;"|"&amp;P287</f>
        <v/>
      </c>
      <c r="R287" s="10">
        <f>IF(COUNTIF($Q$2:$Q$1409,Q287)&gt;1,IF(COUNTIF($Q$2:Q287,Q287)=1,"Exact Duplicate - Keep First","Exact Duplicate - Remove"),"Unique")</f>
        <v/>
      </c>
    </row>
    <row r="288" ht="15" customHeight="1" s="11">
      <c r="A288" s="10" t="inlineStr">
        <is>
          <t>USR-100287</t>
        </is>
      </c>
      <c r="B288" s="14" t="n">
        <v>45808</v>
      </c>
      <c r="C288" s="10" t="inlineStr">
        <is>
          <t>Control</t>
        </is>
      </c>
      <c r="D288" s="10" t="inlineStr">
        <is>
          <t>East</t>
        </is>
      </c>
      <c r="E288" s="10" t="inlineStr">
        <is>
          <t>Mobile</t>
        </is>
      </c>
      <c r="F288" s="10" t="inlineStr">
        <is>
          <t>Social</t>
        </is>
      </c>
      <c r="G288" s="10" t="inlineStr">
        <is>
          <t>Free</t>
        </is>
      </c>
      <c r="H288" s="10" t="n">
        <v>1</v>
      </c>
      <c r="I288" s="10" t="n">
        <v>0</v>
      </c>
      <c r="J288" s="10" t="n">
        <v>0</v>
      </c>
      <c r="K288" s="10" t="n">
        <v>0</v>
      </c>
      <c r="L288" s="10" t="n">
        <v>0</v>
      </c>
      <c r="M288" s="10" t="n">
        <v>0</v>
      </c>
      <c r="N288" s="10" t="n">
        <v>0</v>
      </c>
      <c r="P288" s="10" t="n">
        <v>41.9</v>
      </c>
      <c r="Q288" s="10">
        <f>A288&amp;"|"&amp;B288&amp;"|"&amp;C288&amp;"|"&amp;D288&amp;"|"&amp;E288&amp;"|"&amp;F288&amp;"|"&amp;G288&amp;"|"&amp;H288&amp;"|"&amp;I288&amp;"|"&amp;J288&amp;"|"&amp;K288&amp;"|"&amp;L288&amp;"|"&amp;M288&amp;"|"&amp;N288&amp;"|"&amp;O288&amp;"|"&amp;P288</f>
        <v/>
      </c>
      <c r="R288" s="10">
        <f>IF(COUNTIF($Q$2:$Q$1409,Q288)&gt;1,IF(COUNTIF($Q$2:Q288,Q288)=1,"Exact Duplicate - Keep First","Exact Duplicate - Remove"),"Unique")</f>
        <v/>
      </c>
    </row>
    <row r="289" ht="15" customHeight="1" s="11">
      <c r="A289" s="10" t="inlineStr">
        <is>
          <t>USR-100288</t>
        </is>
      </c>
      <c r="B289" s="14" t="n">
        <v>45695</v>
      </c>
      <c r="C289" s="10" t="inlineStr">
        <is>
          <t>Control</t>
        </is>
      </c>
      <c r="D289" s="10" t="inlineStr">
        <is>
          <t>West</t>
        </is>
      </c>
      <c r="E289" s="10" t="inlineStr">
        <is>
          <t>Mobile</t>
        </is>
      </c>
      <c r="F289" s="10" t="inlineStr">
        <is>
          <t>Email</t>
        </is>
      </c>
      <c r="G289" s="10" t="inlineStr">
        <is>
          <t>Basic</t>
        </is>
      </c>
      <c r="H289" s="10" t="n">
        <v>1</v>
      </c>
      <c r="I289" s="10" t="n">
        <v>0</v>
      </c>
      <c r="J289" s="10" t="n">
        <v>0</v>
      </c>
      <c r="K289" s="10" t="n">
        <v>0</v>
      </c>
      <c r="L289" s="10" t="n">
        <v>0</v>
      </c>
      <c r="M289" s="10" t="n">
        <v>0</v>
      </c>
      <c r="N289" s="10" t="n">
        <v>0</v>
      </c>
      <c r="P289" s="10" t="n">
        <v>70.2</v>
      </c>
      <c r="Q289" s="10">
        <f>A289&amp;"|"&amp;B289&amp;"|"&amp;C289&amp;"|"&amp;D289&amp;"|"&amp;E289&amp;"|"&amp;F289&amp;"|"&amp;G289&amp;"|"&amp;H289&amp;"|"&amp;I289&amp;"|"&amp;J289&amp;"|"&amp;K289&amp;"|"&amp;L289&amp;"|"&amp;M289&amp;"|"&amp;N289&amp;"|"&amp;O289&amp;"|"&amp;P289</f>
        <v/>
      </c>
      <c r="R289" s="10">
        <f>IF(COUNTIF($Q$2:$Q$1409,Q289)&gt;1,IF(COUNTIF($Q$2:Q289,Q289)=1,"Exact Duplicate - Keep First","Exact Duplicate - Remove"),"Unique")</f>
        <v/>
      </c>
    </row>
    <row r="290" ht="15" customHeight="1" s="11">
      <c r="A290" s="10" t="inlineStr">
        <is>
          <t>USR-100289</t>
        </is>
      </c>
      <c r="B290" s="14" t="n">
        <v>45698</v>
      </c>
      <c r="C290" s="10" t="inlineStr">
        <is>
          <t>Control</t>
        </is>
      </c>
      <c r="D290" s="10" t="inlineStr">
        <is>
          <t>North</t>
        </is>
      </c>
      <c r="E290" s="10" t="inlineStr">
        <is>
          <t>Mobile</t>
        </is>
      </c>
      <c r="F290" s="10" t="inlineStr">
        <is>
          <t>Social</t>
        </is>
      </c>
      <c r="G290" s="10" t="inlineStr">
        <is>
          <t>Free</t>
        </is>
      </c>
      <c r="H290" s="10" t="n">
        <v>1</v>
      </c>
      <c r="I290" s="10" t="n">
        <v>0</v>
      </c>
      <c r="J290" s="10" t="n">
        <v>0</v>
      </c>
      <c r="K290" s="10" t="n">
        <v>0</v>
      </c>
      <c r="L290" s="10" t="n">
        <v>0</v>
      </c>
      <c r="M290" s="10" t="n">
        <v>0</v>
      </c>
      <c r="N290" s="10" t="n">
        <v>0</v>
      </c>
      <c r="P290" s="10" t="n">
        <v>42.6</v>
      </c>
      <c r="Q290" s="10">
        <f>A290&amp;"|"&amp;B290&amp;"|"&amp;C290&amp;"|"&amp;D290&amp;"|"&amp;E290&amp;"|"&amp;F290&amp;"|"&amp;G290&amp;"|"&amp;H290&amp;"|"&amp;I290&amp;"|"&amp;J290&amp;"|"&amp;K290&amp;"|"&amp;L290&amp;"|"&amp;M290&amp;"|"&amp;N290&amp;"|"&amp;O290&amp;"|"&amp;P290</f>
        <v/>
      </c>
      <c r="R290" s="10">
        <f>IF(COUNTIF($Q$2:$Q$1409,Q290)&gt;1,IF(COUNTIF($Q$2:Q290,Q290)=1,"Exact Duplicate - Keep First","Exact Duplicate - Remove"),"Unique")</f>
        <v/>
      </c>
    </row>
    <row r="291" ht="15" customHeight="1" s="11">
      <c r="A291" s="10" t="inlineStr">
        <is>
          <t>USR-100290</t>
        </is>
      </c>
      <c r="B291" s="14" t="n">
        <v>45688</v>
      </c>
      <c r="C291" s="10" t="inlineStr">
        <is>
          <t>Control</t>
        </is>
      </c>
      <c r="D291" s="10" t="inlineStr">
        <is>
          <t>West</t>
        </is>
      </c>
      <c r="E291" s="10" t="inlineStr">
        <is>
          <t>Mobile</t>
        </is>
      </c>
      <c r="F291" s="10" t="inlineStr">
        <is>
          <t>Social</t>
        </is>
      </c>
      <c r="G291" s="10" t="inlineStr">
        <is>
          <t>Basic</t>
        </is>
      </c>
      <c r="H291" s="10" t="n">
        <v>0</v>
      </c>
      <c r="I291" s="10" t="n">
        <v>0</v>
      </c>
      <c r="J291" s="10" t="n">
        <v>0</v>
      </c>
      <c r="K291" s="10" t="n">
        <v>0</v>
      </c>
      <c r="L291" s="10" t="n">
        <v>0</v>
      </c>
      <c r="M291" s="10" t="n">
        <v>2</v>
      </c>
      <c r="N291" s="10" t="n">
        <v>0</v>
      </c>
      <c r="P291" s="10" t="n">
        <v>30.4</v>
      </c>
      <c r="Q291" s="10">
        <f>A291&amp;"|"&amp;B291&amp;"|"&amp;C291&amp;"|"&amp;D291&amp;"|"&amp;E291&amp;"|"&amp;F291&amp;"|"&amp;G291&amp;"|"&amp;H291&amp;"|"&amp;I291&amp;"|"&amp;J291&amp;"|"&amp;K291&amp;"|"&amp;L291&amp;"|"&amp;M291&amp;"|"&amp;N291&amp;"|"&amp;O291&amp;"|"&amp;P291</f>
        <v/>
      </c>
      <c r="R291" s="10">
        <f>IF(COUNTIF($Q$2:$Q$1409,Q291)&gt;1,IF(COUNTIF($Q$2:Q291,Q291)=1,"Exact Duplicate - Keep First","Exact Duplicate - Remove"),"Unique")</f>
        <v/>
      </c>
    </row>
    <row r="292" ht="15" customHeight="1" s="11">
      <c r="A292" s="10" t="inlineStr">
        <is>
          <t>USR-100291</t>
        </is>
      </c>
      <c r="B292" s="14" t="n">
        <v>45732</v>
      </c>
      <c r="C292" s="10" t="inlineStr">
        <is>
          <t>Control</t>
        </is>
      </c>
      <c r="D292" s="10" t="inlineStr">
        <is>
          <t>East</t>
        </is>
      </c>
      <c r="E292" s="10" t="inlineStr">
        <is>
          <t>Mobile</t>
        </is>
      </c>
      <c r="F292" s="10" t="inlineStr">
        <is>
          <t>Paid Search</t>
        </is>
      </c>
      <c r="G292" s="10" t="inlineStr">
        <is>
          <t>Basic</t>
        </is>
      </c>
      <c r="H292" s="10" t="n">
        <v>1</v>
      </c>
      <c r="I292" s="10" t="n">
        <v>0</v>
      </c>
      <c r="J292" s="10" t="n">
        <v>0</v>
      </c>
      <c r="K292" s="10" t="n">
        <v>0</v>
      </c>
      <c r="L292" s="10" t="n">
        <v>0</v>
      </c>
      <c r="M292" s="10" t="n">
        <v>0</v>
      </c>
      <c r="N292" s="10" t="n">
        <v>0</v>
      </c>
      <c r="P292" s="10" t="n">
        <v>63.7</v>
      </c>
      <c r="Q292" s="10">
        <f>A292&amp;"|"&amp;B292&amp;"|"&amp;C292&amp;"|"&amp;D292&amp;"|"&amp;E292&amp;"|"&amp;F292&amp;"|"&amp;G292&amp;"|"&amp;H292&amp;"|"&amp;I292&amp;"|"&amp;J292&amp;"|"&amp;K292&amp;"|"&amp;L292&amp;"|"&amp;M292&amp;"|"&amp;N292&amp;"|"&amp;O292&amp;"|"&amp;P292</f>
        <v/>
      </c>
      <c r="R292" s="10">
        <f>IF(COUNTIF($Q$2:$Q$1409,Q292)&gt;1,IF(COUNTIF($Q$2:Q292,Q292)=1,"Exact Duplicate - Keep First","Exact Duplicate - Remove"),"Unique")</f>
        <v/>
      </c>
    </row>
    <row r="293" ht="15" customHeight="1" s="11">
      <c r="A293" s="10" t="inlineStr">
        <is>
          <t>USR-100292</t>
        </is>
      </c>
      <c r="B293" s="14" t="n">
        <v>45771</v>
      </c>
      <c r="C293" s="10" t="inlineStr">
        <is>
          <t>Control</t>
        </is>
      </c>
      <c r="D293" s="10" t="inlineStr">
        <is>
          <t>South</t>
        </is>
      </c>
      <c r="E293" s="10" t="inlineStr">
        <is>
          <t>Mobile</t>
        </is>
      </c>
      <c r="F293" s="10" t="inlineStr">
        <is>
          <t>Social</t>
        </is>
      </c>
      <c r="G293" s="10" t="inlineStr">
        <is>
          <t>Basic</t>
        </is>
      </c>
      <c r="H293" s="10" t="n">
        <v>0</v>
      </c>
      <c r="I293" s="10" t="n">
        <v>0</v>
      </c>
      <c r="J293" s="10" t="n">
        <v>0</v>
      </c>
      <c r="K293" s="10" t="n">
        <v>0</v>
      </c>
      <c r="L293" s="10" t="n">
        <v>0</v>
      </c>
      <c r="M293" s="10" t="n">
        <v>0</v>
      </c>
      <c r="N293" s="10" t="n">
        <v>0</v>
      </c>
      <c r="P293" s="10" t="n">
        <v>42.7</v>
      </c>
      <c r="Q293" s="10">
        <f>A293&amp;"|"&amp;B293&amp;"|"&amp;C293&amp;"|"&amp;D293&amp;"|"&amp;E293&amp;"|"&amp;F293&amp;"|"&amp;G293&amp;"|"&amp;H293&amp;"|"&amp;I293&amp;"|"&amp;J293&amp;"|"&amp;K293&amp;"|"&amp;L293&amp;"|"&amp;M293&amp;"|"&amp;N293&amp;"|"&amp;O293&amp;"|"&amp;P293</f>
        <v/>
      </c>
      <c r="R293" s="10">
        <f>IF(COUNTIF($Q$2:$Q$1409,Q293)&gt;1,IF(COUNTIF($Q$2:Q293,Q293)=1,"Exact Duplicate - Keep First","Exact Duplicate - Remove"),"Unique")</f>
        <v/>
      </c>
    </row>
    <row r="294" ht="15" customHeight="1" s="11">
      <c r="A294" s="10" t="inlineStr">
        <is>
          <t>USR-100293</t>
        </is>
      </c>
      <c r="B294" s="14" t="n">
        <v>45685</v>
      </c>
      <c r="C294" s="10" t="inlineStr">
        <is>
          <t>Control</t>
        </is>
      </c>
      <c r="D294" s="10" t="inlineStr">
        <is>
          <t>North</t>
        </is>
      </c>
      <c r="E294" s="10" t="inlineStr">
        <is>
          <t>Mobile</t>
        </is>
      </c>
      <c r="F294" s="10" t="inlineStr">
        <is>
          <t>Organic</t>
        </is>
      </c>
      <c r="G294" s="10" t="inlineStr">
        <is>
          <t>Free</t>
        </is>
      </c>
      <c r="H294" s="10" t="n">
        <v>0</v>
      </c>
      <c r="I294" s="10" t="n">
        <v>0</v>
      </c>
      <c r="J294" s="10" t="n">
        <v>0</v>
      </c>
      <c r="K294" s="10" t="n">
        <v>0</v>
      </c>
      <c r="L294" s="10" t="n">
        <v>0</v>
      </c>
      <c r="M294" s="10" t="n">
        <v>0</v>
      </c>
      <c r="N294" s="10" t="n">
        <v>0</v>
      </c>
      <c r="P294" s="10" t="n">
        <v>74.3</v>
      </c>
      <c r="Q294" s="10">
        <f>A294&amp;"|"&amp;B294&amp;"|"&amp;C294&amp;"|"&amp;D294&amp;"|"&amp;E294&amp;"|"&amp;F294&amp;"|"&amp;G294&amp;"|"&amp;H294&amp;"|"&amp;I294&amp;"|"&amp;J294&amp;"|"&amp;K294&amp;"|"&amp;L294&amp;"|"&amp;M294&amp;"|"&amp;N294&amp;"|"&amp;O294&amp;"|"&amp;P294</f>
        <v/>
      </c>
      <c r="R294" s="10">
        <f>IF(COUNTIF($Q$2:$Q$1409,Q294)&gt;1,IF(COUNTIF($Q$2:Q294,Q294)=1,"Exact Duplicate - Keep First","Exact Duplicate - Remove"),"Unique")</f>
        <v/>
      </c>
    </row>
    <row r="295" ht="15" customHeight="1" s="11">
      <c r="A295" s="10" t="inlineStr">
        <is>
          <t>USR-100294</t>
        </is>
      </c>
      <c r="B295" s="14" t="n">
        <v>45704</v>
      </c>
      <c r="C295" s="10" t="inlineStr">
        <is>
          <t>Control</t>
        </is>
      </c>
      <c r="D295" s="10" t="inlineStr">
        <is>
          <t>West</t>
        </is>
      </c>
      <c r="E295" s="10" t="inlineStr">
        <is>
          <t>Desktop</t>
        </is>
      </c>
      <c r="F295" s="10" t="inlineStr">
        <is>
          <t>Email</t>
        </is>
      </c>
      <c r="G295" s="10" t="inlineStr">
        <is>
          <t>Free</t>
        </is>
      </c>
      <c r="H295" s="10" t="n">
        <v>1</v>
      </c>
      <c r="I295" s="10" t="n">
        <v>0</v>
      </c>
      <c r="J295" s="10" t="n">
        <v>0</v>
      </c>
      <c r="K295" s="10" t="n">
        <v>0</v>
      </c>
      <c r="L295" s="10" t="n">
        <v>0</v>
      </c>
      <c r="M295" s="10" t="n">
        <v>0</v>
      </c>
      <c r="N295" s="10" t="n">
        <v>0</v>
      </c>
      <c r="P295" s="10" t="n">
        <v>40.6</v>
      </c>
      <c r="Q295" s="10">
        <f>A295&amp;"|"&amp;B295&amp;"|"&amp;C295&amp;"|"&amp;D295&amp;"|"&amp;E295&amp;"|"&amp;F295&amp;"|"&amp;G295&amp;"|"&amp;H295&amp;"|"&amp;I295&amp;"|"&amp;J295&amp;"|"&amp;K295&amp;"|"&amp;L295&amp;"|"&amp;M295&amp;"|"&amp;N295&amp;"|"&amp;O295&amp;"|"&amp;P295</f>
        <v/>
      </c>
      <c r="R295" s="10">
        <f>IF(COUNTIF($Q$2:$Q$1409,Q295)&gt;1,IF(COUNTIF($Q$2:Q295,Q295)=1,"Exact Duplicate - Keep First","Exact Duplicate - Remove"),"Unique")</f>
        <v/>
      </c>
    </row>
    <row r="296" ht="15" customHeight="1" s="11">
      <c r="A296" s="10" t="inlineStr">
        <is>
          <t>USR-100295</t>
        </is>
      </c>
      <c r="B296" s="14" t="n">
        <v>45739</v>
      </c>
      <c r="C296" s="10" t="inlineStr">
        <is>
          <t>Control</t>
        </is>
      </c>
      <c r="D296" s="10" t="inlineStr">
        <is>
          <t>East</t>
        </is>
      </c>
      <c r="E296" s="10" t="inlineStr">
        <is>
          <t>Mobile</t>
        </is>
      </c>
      <c r="F296" s="10" t="inlineStr">
        <is>
          <t>Organic</t>
        </is>
      </c>
      <c r="G296" s="10" t="inlineStr">
        <is>
          <t>Premium</t>
        </is>
      </c>
      <c r="H296" s="10" t="n">
        <v>0</v>
      </c>
      <c r="I296" s="10" t="n">
        <v>0</v>
      </c>
      <c r="J296" s="10" t="n">
        <v>0</v>
      </c>
      <c r="K296" s="10" t="n">
        <v>0</v>
      </c>
      <c r="L296" s="10" t="n">
        <v>0</v>
      </c>
      <c r="M296" s="10" t="n">
        <v>0</v>
      </c>
      <c r="N296" s="10" t="n">
        <v>0</v>
      </c>
      <c r="P296" s="10" t="n">
        <v>67</v>
      </c>
      <c r="Q296" s="10">
        <f>A296&amp;"|"&amp;B296&amp;"|"&amp;C296&amp;"|"&amp;D296&amp;"|"&amp;E296&amp;"|"&amp;F296&amp;"|"&amp;G296&amp;"|"&amp;H296&amp;"|"&amp;I296&amp;"|"&amp;J296&amp;"|"&amp;K296&amp;"|"&amp;L296&amp;"|"&amp;M296&amp;"|"&amp;N296&amp;"|"&amp;O296&amp;"|"&amp;P296</f>
        <v/>
      </c>
      <c r="R296" s="10">
        <f>IF(COUNTIF($Q$2:$Q$1409,Q296)&gt;1,IF(COUNTIF($Q$2:Q296,Q296)=1,"Exact Duplicate - Keep First","Exact Duplicate - Remove"),"Unique")</f>
        <v/>
      </c>
    </row>
    <row r="297" ht="15" customHeight="1" s="11">
      <c r="A297" s="10" t="inlineStr">
        <is>
          <t>USR-100296</t>
        </is>
      </c>
      <c r="B297" s="14" t="n">
        <v>45808</v>
      </c>
      <c r="C297" s="10" t="inlineStr">
        <is>
          <t>Control</t>
        </is>
      </c>
      <c r="D297" s="10" t="inlineStr">
        <is>
          <t>East</t>
        </is>
      </c>
      <c r="E297" s="10" t="inlineStr">
        <is>
          <t>Mobile</t>
        </is>
      </c>
      <c r="F297" s="10" t="inlineStr">
        <is>
          <t>Paid Search</t>
        </is>
      </c>
      <c r="G297" s="10" t="inlineStr">
        <is>
          <t>Premium</t>
        </is>
      </c>
      <c r="H297" s="10" t="n">
        <v>0</v>
      </c>
      <c r="I297" s="10" t="n">
        <v>0</v>
      </c>
      <c r="J297" s="10" t="n">
        <v>0</v>
      </c>
      <c r="K297" s="10" t="n">
        <v>0</v>
      </c>
      <c r="L297" s="10" t="n">
        <v>0</v>
      </c>
      <c r="M297" s="10" t="n">
        <v>0</v>
      </c>
      <c r="N297" s="10" t="n">
        <v>0</v>
      </c>
      <c r="P297" s="10" t="n">
        <v>51</v>
      </c>
      <c r="Q297" s="10">
        <f>A297&amp;"|"&amp;B297&amp;"|"&amp;C297&amp;"|"&amp;D297&amp;"|"&amp;E297&amp;"|"&amp;F297&amp;"|"&amp;G297&amp;"|"&amp;H297&amp;"|"&amp;I297&amp;"|"&amp;J297&amp;"|"&amp;K297&amp;"|"&amp;L297&amp;"|"&amp;M297&amp;"|"&amp;N297&amp;"|"&amp;O297&amp;"|"&amp;P297</f>
        <v/>
      </c>
      <c r="R297" s="10">
        <f>IF(COUNTIF($Q$2:$Q$1409,Q297)&gt;1,IF(COUNTIF($Q$2:Q297,Q297)=1,"Exact Duplicate - Keep First","Exact Duplicate - Remove"),"Unique")</f>
        <v/>
      </c>
    </row>
    <row r="298" ht="15" customHeight="1" s="11">
      <c r="A298" s="10" t="inlineStr">
        <is>
          <t>USR-100297</t>
        </is>
      </c>
      <c r="B298" s="14" t="n">
        <v>45760</v>
      </c>
      <c r="C298" s="10" t="inlineStr">
        <is>
          <t>Control</t>
        </is>
      </c>
      <c r="D298" s="10" t="inlineStr">
        <is>
          <t>West</t>
        </is>
      </c>
      <c r="E298" s="10" t="inlineStr">
        <is>
          <t>Mobile</t>
        </is>
      </c>
      <c r="F298" s="10" t="inlineStr">
        <is>
          <t>Social</t>
        </is>
      </c>
      <c r="G298" s="10" t="inlineStr">
        <is>
          <t>Basic</t>
        </is>
      </c>
      <c r="H298" s="10" t="n">
        <v>1</v>
      </c>
      <c r="I298" s="10" t="n">
        <v>1</v>
      </c>
      <c r="J298" s="10" t="n">
        <v>0</v>
      </c>
      <c r="K298" s="10" t="n">
        <v>0</v>
      </c>
      <c r="L298" s="10" t="n">
        <v>0</v>
      </c>
      <c r="M298" s="10" t="n">
        <v>1</v>
      </c>
      <c r="N298" s="10" t="n">
        <v>0</v>
      </c>
      <c r="P298" s="10" t="n">
        <v>54.8</v>
      </c>
      <c r="Q298" s="10">
        <f>A298&amp;"|"&amp;B298&amp;"|"&amp;C298&amp;"|"&amp;D298&amp;"|"&amp;E298&amp;"|"&amp;F298&amp;"|"&amp;G298&amp;"|"&amp;H298&amp;"|"&amp;I298&amp;"|"&amp;J298&amp;"|"&amp;K298&amp;"|"&amp;L298&amp;"|"&amp;M298&amp;"|"&amp;N298&amp;"|"&amp;O298&amp;"|"&amp;P298</f>
        <v/>
      </c>
      <c r="R298" s="10">
        <f>IF(COUNTIF($Q$2:$Q$1409,Q298)&gt;1,IF(COUNTIF($Q$2:Q298,Q298)=1,"Exact Duplicate - Keep First","Exact Duplicate - Remove"),"Unique")</f>
        <v/>
      </c>
    </row>
    <row r="299" ht="15" customHeight="1" s="11">
      <c r="A299" s="10" t="inlineStr">
        <is>
          <t>USR-100298</t>
        </is>
      </c>
      <c r="B299" s="14" t="n">
        <v>45791</v>
      </c>
      <c r="C299" s="10" t="inlineStr">
        <is>
          <t>Control</t>
        </is>
      </c>
      <c r="D299" s="10" t="inlineStr">
        <is>
          <t>North</t>
        </is>
      </c>
      <c r="E299" s="10" t="inlineStr">
        <is>
          <t>Tablet</t>
        </is>
      </c>
      <c r="F299" s="10" t="inlineStr">
        <is>
          <t>Email</t>
        </is>
      </c>
      <c r="G299" s="10" t="inlineStr">
        <is>
          <t>Basic</t>
        </is>
      </c>
      <c r="H299" s="10" t="n">
        <v>0</v>
      </c>
      <c r="I299" s="10" t="n">
        <v>0</v>
      </c>
      <c r="J299" s="10" t="n">
        <v>0</v>
      </c>
      <c r="K299" s="10" t="n">
        <v>0</v>
      </c>
      <c r="L299" s="10" t="n">
        <v>0</v>
      </c>
      <c r="M299" s="10" t="n">
        <v>0</v>
      </c>
      <c r="N299" s="10" t="n">
        <v>0</v>
      </c>
      <c r="P299" s="10" t="n">
        <v>40.8</v>
      </c>
      <c r="Q299" s="10">
        <f>A299&amp;"|"&amp;B299&amp;"|"&amp;C299&amp;"|"&amp;D299&amp;"|"&amp;E299&amp;"|"&amp;F299&amp;"|"&amp;G299&amp;"|"&amp;H299&amp;"|"&amp;I299&amp;"|"&amp;J299&amp;"|"&amp;K299&amp;"|"&amp;L299&amp;"|"&amp;M299&amp;"|"&amp;N299&amp;"|"&amp;O299&amp;"|"&amp;P299</f>
        <v/>
      </c>
      <c r="R299" s="10">
        <f>IF(COUNTIF($Q$2:$Q$1409,Q299)&gt;1,IF(COUNTIF($Q$2:Q299,Q299)=1,"Exact Duplicate - Keep First","Exact Duplicate - Remove"),"Unique")</f>
        <v/>
      </c>
    </row>
    <row r="300" ht="15" customHeight="1" s="11">
      <c r="A300" s="10" t="inlineStr">
        <is>
          <t>USR-100299</t>
        </is>
      </c>
      <c r="B300" s="14" t="n">
        <v>45707</v>
      </c>
      <c r="C300" s="10" t="inlineStr">
        <is>
          <t>Control</t>
        </is>
      </c>
      <c r="D300" s="10" t="inlineStr">
        <is>
          <t>East</t>
        </is>
      </c>
      <c r="E300" s="10" t="inlineStr">
        <is>
          <t>Mobile</t>
        </is>
      </c>
      <c r="F300" s="10" t="inlineStr">
        <is>
          <t>Paid Search</t>
        </is>
      </c>
      <c r="G300" s="10" t="inlineStr">
        <is>
          <t>Free</t>
        </is>
      </c>
      <c r="H300" s="10" t="n">
        <v>0</v>
      </c>
      <c r="I300" s="10" t="n">
        <v>0</v>
      </c>
      <c r="J300" s="10" t="n">
        <v>0</v>
      </c>
      <c r="K300" s="10" t="n">
        <v>0</v>
      </c>
      <c r="L300" s="10" t="n">
        <v>0</v>
      </c>
      <c r="M300" s="10" t="n">
        <v>0</v>
      </c>
      <c r="N300" s="10" t="n">
        <v>0</v>
      </c>
      <c r="P300" s="10" t="n">
        <v>48.8</v>
      </c>
      <c r="Q300" s="10">
        <f>A300&amp;"|"&amp;B300&amp;"|"&amp;C300&amp;"|"&amp;D300&amp;"|"&amp;E300&amp;"|"&amp;F300&amp;"|"&amp;G300&amp;"|"&amp;H300&amp;"|"&amp;I300&amp;"|"&amp;J300&amp;"|"&amp;K300&amp;"|"&amp;L300&amp;"|"&amp;M300&amp;"|"&amp;N300&amp;"|"&amp;O300&amp;"|"&amp;P300</f>
        <v/>
      </c>
      <c r="R300" s="10">
        <f>IF(COUNTIF($Q$2:$Q$1409,Q300)&gt;1,IF(COUNTIF($Q$2:Q300,Q300)=1,"Exact Duplicate - Keep First","Exact Duplicate - Remove"),"Unique")</f>
        <v/>
      </c>
    </row>
    <row r="301" ht="15" customHeight="1" s="11">
      <c r="A301" s="10" t="inlineStr">
        <is>
          <t>USR-100300</t>
        </is>
      </c>
      <c r="B301" s="14" t="n">
        <v>45681</v>
      </c>
      <c r="C301" s="10" t="inlineStr">
        <is>
          <t>Control</t>
        </is>
      </c>
      <c r="D301" s="10" t="inlineStr">
        <is>
          <t>South</t>
        </is>
      </c>
      <c r="E301" s="10" t="inlineStr">
        <is>
          <t>Mobile</t>
        </is>
      </c>
      <c r="G301" s="10" t="inlineStr">
        <is>
          <t>Basic</t>
        </is>
      </c>
      <c r="H301" s="10" t="n">
        <v>1</v>
      </c>
      <c r="I301" s="10" t="n">
        <v>1</v>
      </c>
      <c r="J301" s="10" t="n">
        <v>1</v>
      </c>
      <c r="K301" s="10" t="n">
        <v>1</v>
      </c>
      <c r="L301" s="10" t="n">
        <v>1198.69</v>
      </c>
      <c r="M301" s="10" t="n">
        <v>1</v>
      </c>
      <c r="N301" s="10" t="n">
        <v>0</v>
      </c>
      <c r="O301" s="10" t="n">
        <v>6</v>
      </c>
      <c r="P301" s="10" t="n">
        <v>88.90000000000001</v>
      </c>
      <c r="Q301" s="10">
        <f>A301&amp;"|"&amp;B301&amp;"|"&amp;C301&amp;"|"&amp;D301&amp;"|"&amp;E301&amp;"|"&amp;F301&amp;"|"&amp;G301&amp;"|"&amp;H301&amp;"|"&amp;I301&amp;"|"&amp;J301&amp;"|"&amp;K301&amp;"|"&amp;L301&amp;"|"&amp;M301&amp;"|"&amp;N301&amp;"|"&amp;O301&amp;"|"&amp;P301</f>
        <v/>
      </c>
      <c r="R301" s="10">
        <f>IF(COUNTIF($Q$2:$Q$1409,Q301)&gt;1,IF(COUNTIF($Q$2:Q301,Q301)=1,"Exact Duplicate - Keep First","Exact Duplicate - Remove"),"Unique")</f>
        <v/>
      </c>
    </row>
    <row r="302" ht="15" customHeight="1" s="11">
      <c r="A302" s="10" t="inlineStr">
        <is>
          <t>USR-100301</t>
        </is>
      </c>
      <c r="B302" s="14" t="n">
        <v>45786</v>
      </c>
      <c r="C302" s="10" t="inlineStr">
        <is>
          <t>Control</t>
        </is>
      </c>
      <c r="D302" s="10" t="inlineStr">
        <is>
          <t>North</t>
        </is>
      </c>
      <c r="E302" s="10" t="inlineStr">
        <is>
          <t>Mobile</t>
        </is>
      </c>
      <c r="F302" s="10" t="inlineStr">
        <is>
          <t>Email</t>
        </is>
      </c>
      <c r="G302" s="10" t="inlineStr">
        <is>
          <t>Basic</t>
        </is>
      </c>
      <c r="H302" s="10" t="n">
        <v>1</v>
      </c>
      <c r="I302" s="10" t="n">
        <v>1</v>
      </c>
      <c r="J302" s="10" t="n">
        <v>1</v>
      </c>
      <c r="K302" s="10" t="n">
        <v>0</v>
      </c>
      <c r="L302" s="10" t="n">
        <v>0</v>
      </c>
      <c r="M302" s="10" t="n">
        <v>1</v>
      </c>
      <c r="N302" s="10" t="n">
        <v>0</v>
      </c>
      <c r="P302" s="10" t="n">
        <v>60.5</v>
      </c>
      <c r="Q302" s="10">
        <f>A302&amp;"|"&amp;B302&amp;"|"&amp;C302&amp;"|"&amp;D302&amp;"|"&amp;E302&amp;"|"&amp;F302&amp;"|"&amp;G302&amp;"|"&amp;H302&amp;"|"&amp;I302&amp;"|"&amp;J302&amp;"|"&amp;K302&amp;"|"&amp;L302&amp;"|"&amp;M302&amp;"|"&amp;N302&amp;"|"&amp;O302&amp;"|"&amp;P302</f>
        <v/>
      </c>
      <c r="R302" s="10">
        <f>IF(COUNTIF($Q$2:$Q$1409,Q302)&gt;1,IF(COUNTIF($Q$2:Q302,Q302)=1,"Exact Duplicate - Keep First","Exact Duplicate - Remove"),"Unique")</f>
        <v/>
      </c>
    </row>
    <row r="303" ht="15" customHeight="1" s="11">
      <c r="A303" s="10" t="inlineStr">
        <is>
          <t>USR-100302</t>
        </is>
      </c>
      <c r="B303" s="14" t="n">
        <v>45699</v>
      </c>
      <c r="C303" s="10" t="inlineStr">
        <is>
          <t>Control</t>
        </is>
      </c>
      <c r="D303" s="10" t="inlineStr">
        <is>
          <t>North</t>
        </is>
      </c>
      <c r="E303" s="10" t="inlineStr">
        <is>
          <t>Mobile</t>
        </is>
      </c>
      <c r="F303" s="10" t="inlineStr">
        <is>
          <t>Organic</t>
        </is>
      </c>
      <c r="G303" s="10" t="inlineStr">
        <is>
          <t>Basic</t>
        </is>
      </c>
      <c r="H303" s="10" t="n">
        <v>1</v>
      </c>
      <c r="I303" s="10" t="n">
        <v>0</v>
      </c>
      <c r="J303" s="10" t="n">
        <v>0</v>
      </c>
      <c r="K303" s="10" t="n">
        <v>0</v>
      </c>
      <c r="L303" s="10" t="n">
        <v>0</v>
      </c>
      <c r="M303" s="10" t="n">
        <v>0</v>
      </c>
      <c r="N303" s="10" t="n">
        <v>0</v>
      </c>
      <c r="P303" s="10" t="n">
        <v>63.6</v>
      </c>
      <c r="Q303" s="10">
        <f>A303&amp;"|"&amp;B303&amp;"|"&amp;C303&amp;"|"&amp;D303&amp;"|"&amp;E303&amp;"|"&amp;F303&amp;"|"&amp;G303&amp;"|"&amp;H303&amp;"|"&amp;I303&amp;"|"&amp;J303&amp;"|"&amp;K303&amp;"|"&amp;L303&amp;"|"&amp;M303&amp;"|"&amp;N303&amp;"|"&amp;O303&amp;"|"&amp;P303</f>
        <v/>
      </c>
      <c r="R303" s="10">
        <f>IF(COUNTIF($Q$2:$Q$1409,Q303)&gt;1,IF(COUNTIF($Q$2:Q303,Q303)=1,"Exact Duplicate - Keep First","Exact Duplicate - Remove"),"Unique")</f>
        <v/>
      </c>
    </row>
    <row r="304" ht="15" customHeight="1" s="11">
      <c r="A304" s="10" t="inlineStr">
        <is>
          <t>USR-100303</t>
        </is>
      </c>
      <c r="B304" s="14" t="n">
        <v>45714</v>
      </c>
      <c r="C304" s="10" t="inlineStr">
        <is>
          <t>Control</t>
        </is>
      </c>
      <c r="D304" s="10" t="inlineStr">
        <is>
          <t>North</t>
        </is>
      </c>
      <c r="E304" s="10" t="inlineStr">
        <is>
          <t>Desktop</t>
        </is>
      </c>
      <c r="F304" s="10" t="inlineStr">
        <is>
          <t>Organic</t>
        </is>
      </c>
      <c r="G304" s="10" t="inlineStr">
        <is>
          <t>Basic</t>
        </is>
      </c>
      <c r="H304" s="10" t="n">
        <v>1</v>
      </c>
      <c r="I304" s="10" t="n">
        <v>1</v>
      </c>
      <c r="J304" s="10" t="n">
        <v>1</v>
      </c>
      <c r="K304" s="10" t="n">
        <v>1</v>
      </c>
      <c r="L304" s="10" t="n">
        <v>6788.95</v>
      </c>
      <c r="M304" s="10" t="n">
        <v>0</v>
      </c>
      <c r="N304" s="10" t="n">
        <v>0</v>
      </c>
      <c r="O304" s="10" t="n">
        <v>17</v>
      </c>
      <c r="P304" s="10" t="n">
        <v>58.4</v>
      </c>
      <c r="Q304" s="10">
        <f>A304&amp;"|"&amp;B304&amp;"|"&amp;C304&amp;"|"&amp;D304&amp;"|"&amp;E304&amp;"|"&amp;F304&amp;"|"&amp;G304&amp;"|"&amp;H304&amp;"|"&amp;I304&amp;"|"&amp;J304&amp;"|"&amp;K304&amp;"|"&amp;L304&amp;"|"&amp;M304&amp;"|"&amp;N304&amp;"|"&amp;O304&amp;"|"&amp;P304</f>
        <v/>
      </c>
      <c r="R304" s="10">
        <f>IF(COUNTIF($Q$2:$Q$1409,Q304)&gt;1,IF(COUNTIF($Q$2:Q304,Q304)=1,"Exact Duplicate - Keep First","Exact Duplicate - Remove"),"Unique")</f>
        <v/>
      </c>
    </row>
    <row r="305" ht="15" customHeight="1" s="11">
      <c r="A305" s="10" t="inlineStr">
        <is>
          <t>USR-100304</t>
        </is>
      </c>
      <c r="B305" s="14" t="n">
        <v>45700</v>
      </c>
      <c r="C305" s="10" t="inlineStr">
        <is>
          <t>Control</t>
        </is>
      </c>
      <c r="D305" s="10" t="inlineStr">
        <is>
          <t>South</t>
        </is>
      </c>
      <c r="E305" s="10" t="inlineStr">
        <is>
          <t>Mobile</t>
        </is>
      </c>
      <c r="F305" s="10" t="inlineStr">
        <is>
          <t>Social</t>
        </is>
      </c>
      <c r="G305" s="10" t="inlineStr">
        <is>
          <t>Premium</t>
        </is>
      </c>
      <c r="H305" s="10" t="n">
        <v>0</v>
      </c>
      <c r="I305" s="10" t="n">
        <v>0</v>
      </c>
      <c r="J305" s="10" t="n">
        <v>0</v>
      </c>
      <c r="K305" s="10" t="n">
        <v>0</v>
      </c>
      <c r="L305" s="10" t="n">
        <v>0</v>
      </c>
      <c r="M305" s="10" t="n">
        <v>0</v>
      </c>
      <c r="N305" s="10" t="n">
        <v>0</v>
      </c>
      <c r="P305" s="10" t="n">
        <v>52.7</v>
      </c>
      <c r="Q305" s="10">
        <f>A305&amp;"|"&amp;B305&amp;"|"&amp;C305&amp;"|"&amp;D305&amp;"|"&amp;E305&amp;"|"&amp;F305&amp;"|"&amp;G305&amp;"|"&amp;H305&amp;"|"&amp;I305&amp;"|"&amp;J305&amp;"|"&amp;K305&amp;"|"&amp;L305&amp;"|"&amp;M305&amp;"|"&amp;N305&amp;"|"&amp;O305&amp;"|"&amp;P305</f>
        <v/>
      </c>
      <c r="R305" s="10">
        <f>IF(COUNTIF($Q$2:$Q$1409,Q305)&gt;1,IF(COUNTIF($Q$2:Q305,Q305)=1,"Exact Duplicate - Keep First","Exact Duplicate - Remove"),"Unique")</f>
        <v/>
      </c>
    </row>
    <row r="306" ht="15" customHeight="1" s="11">
      <c r="A306" s="10" t="inlineStr">
        <is>
          <t>USR-100305</t>
        </is>
      </c>
      <c r="B306" s="14" t="n">
        <v>45662</v>
      </c>
      <c r="C306" s="10" t="inlineStr">
        <is>
          <t>Control</t>
        </is>
      </c>
      <c r="D306" s="10" t="inlineStr">
        <is>
          <t>South</t>
        </is>
      </c>
      <c r="E306" s="10" t="inlineStr">
        <is>
          <t>Tablet</t>
        </is>
      </c>
      <c r="F306" s="10" t="inlineStr">
        <is>
          <t>Social</t>
        </is>
      </c>
      <c r="G306" s="10" t="inlineStr">
        <is>
          <t>Premium</t>
        </is>
      </c>
      <c r="H306" s="10" t="n">
        <v>1</v>
      </c>
      <c r="I306" s="10" t="n">
        <v>1</v>
      </c>
      <c r="J306" s="10" t="n">
        <v>1</v>
      </c>
      <c r="K306" s="10" t="n">
        <v>0</v>
      </c>
      <c r="L306" s="10" t="n">
        <v>0</v>
      </c>
      <c r="M306" s="10" t="n">
        <v>2</v>
      </c>
      <c r="N306" s="10" t="n">
        <v>0</v>
      </c>
      <c r="P306" s="10" t="n">
        <v>48.9</v>
      </c>
      <c r="Q306" s="10">
        <f>A306&amp;"|"&amp;B306&amp;"|"&amp;C306&amp;"|"&amp;D306&amp;"|"&amp;E306&amp;"|"&amp;F306&amp;"|"&amp;G306&amp;"|"&amp;H306&amp;"|"&amp;I306&amp;"|"&amp;J306&amp;"|"&amp;K306&amp;"|"&amp;L306&amp;"|"&amp;M306&amp;"|"&amp;N306&amp;"|"&amp;O306&amp;"|"&amp;P306</f>
        <v/>
      </c>
      <c r="R306" s="10">
        <f>IF(COUNTIF($Q$2:$Q$1409,Q306)&gt;1,IF(COUNTIF($Q$2:Q306,Q306)=1,"Exact Duplicate - Keep First","Exact Duplicate - Remove"),"Unique")</f>
        <v/>
      </c>
    </row>
    <row r="307" ht="15" customHeight="1" s="11">
      <c r="A307" s="10" t="inlineStr">
        <is>
          <t>USR-100306</t>
        </is>
      </c>
      <c r="B307" s="14" t="n">
        <v>45796</v>
      </c>
      <c r="C307" s="10" t="inlineStr">
        <is>
          <t>Control</t>
        </is>
      </c>
      <c r="D307" s="10" t="inlineStr">
        <is>
          <t>West</t>
        </is>
      </c>
      <c r="E307" s="10" t="inlineStr">
        <is>
          <t>Mobile</t>
        </is>
      </c>
      <c r="F307" s="10" t="inlineStr">
        <is>
          <t>Organic</t>
        </is>
      </c>
      <c r="G307" s="10" t="inlineStr">
        <is>
          <t>Premium</t>
        </is>
      </c>
      <c r="H307" s="10" t="n">
        <v>0</v>
      </c>
      <c r="I307" s="10" t="n">
        <v>0</v>
      </c>
      <c r="J307" s="10" t="n">
        <v>0</v>
      </c>
      <c r="K307" s="10" t="n">
        <v>0</v>
      </c>
      <c r="L307" s="10" t="n">
        <v>0</v>
      </c>
      <c r="M307" s="10" t="n">
        <v>0</v>
      </c>
      <c r="N307" s="10" t="n">
        <v>0</v>
      </c>
      <c r="P307" s="10" t="n">
        <v>79.7</v>
      </c>
      <c r="Q307" s="10">
        <f>A307&amp;"|"&amp;B307&amp;"|"&amp;C307&amp;"|"&amp;D307&amp;"|"&amp;E307&amp;"|"&amp;F307&amp;"|"&amp;G307&amp;"|"&amp;H307&amp;"|"&amp;I307&amp;"|"&amp;J307&amp;"|"&amp;K307&amp;"|"&amp;L307&amp;"|"&amp;M307&amp;"|"&amp;N307&amp;"|"&amp;O307&amp;"|"&amp;P307</f>
        <v/>
      </c>
      <c r="R307" s="10">
        <f>IF(COUNTIF($Q$2:$Q$1409,Q307)&gt;1,IF(COUNTIF($Q$2:Q307,Q307)=1,"Exact Duplicate - Keep First","Exact Duplicate - Remove"),"Unique")</f>
        <v/>
      </c>
    </row>
    <row r="308" ht="15" customHeight="1" s="11">
      <c r="A308" s="10" t="inlineStr">
        <is>
          <t>USR-100307</t>
        </is>
      </c>
      <c r="B308" s="14" t="n">
        <v>45690</v>
      </c>
      <c r="C308" s="10" t="inlineStr">
        <is>
          <t>Control</t>
        </is>
      </c>
      <c r="D308" s="10" t="inlineStr">
        <is>
          <t>North</t>
        </is>
      </c>
      <c r="E308" s="10" t="inlineStr">
        <is>
          <t>Mobile</t>
        </is>
      </c>
      <c r="F308" s="10" t="inlineStr">
        <is>
          <t>Social</t>
        </is>
      </c>
      <c r="G308" s="10" t="inlineStr">
        <is>
          <t>Free</t>
        </is>
      </c>
      <c r="H308" s="10" t="n">
        <v>1</v>
      </c>
      <c r="I308" s="10" t="n">
        <v>0</v>
      </c>
      <c r="J308" s="10" t="n">
        <v>0</v>
      </c>
      <c r="K308" s="10" t="n">
        <v>0</v>
      </c>
      <c r="L308" s="10" t="n">
        <v>0</v>
      </c>
      <c r="M308" s="10" t="n">
        <v>0</v>
      </c>
      <c r="N308" s="10" t="n">
        <v>0</v>
      </c>
      <c r="P308" s="10" t="n">
        <v>44.9</v>
      </c>
      <c r="Q308" s="10">
        <f>A308&amp;"|"&amp;B308&amp;"|"&amp;C308&amp;"|"&amp;D308&amp;"|"&amp;E308&amp;"|"&amp;F308&amp;"|"&amp;G308&amp;"|"&amp;H308&amp;"|"&amp;I308&amp;"|"&amp;J308&amp;"|"&amp;K308&amp;"|"&amp;L308&amp;"|"&amp;M308&amp;"|"&amp;N308&amp;"|"&amp;O308&amp;"|"&amp;P308</f>
        <v/>
      </c>
      <c r="R308" s="10">
        <f>IF(COUNTIF($Q$2:$Q$1409,Q308)&gt;1,IF(COUNTIF($Q$2:Q308,Q308)=1,"Exact Duplicate - Keep First","Exact Duplicate - Remove"),"Unique")</f>
        <v/>
      </c>
    </row>
    <row r="309" ht="15" customHeight="1" s="11">
      <c r="A309" s="10" t="inlineStr">
        <is>
          <t>USR-100308</t>
        </is>
      </c>
      <c r="B309" s="14" t="n">
        <v>45687</v>
      </c>
      <c r="C309" s="10" t="inlineStr">
        <is>
          <t>Control</t>
        </is>
      </c>
      <c r="D309" s="10" t="inlineStr">
        <is>
          <t>West</t>
        </is>
      </c>
      <c r="E309" s="10" t="inlineStr">
        <is>
          <t>Tablet</t>
        </is>
      </c>
      <c r="F309" s="10" t="inlineStr">
        <is>
          <t>Paid Search</t>
        </is>
      </c>
      <c r="G309" s="10" t="inlineStr">
        <is>
          <t>Free</t>
        </is>
      </c>
      <c r="H309" s="10" t="n">
        <v>1</v>
      </c>
      <c r="I309" s="10" t="n">
        <v>1</v>
      </c>
      <c r="J309" s="10" t="n">
        <v>1</v>
      </c>
      <c r="K309" s="10" t="n">
        <v>1</v>
      </c>
      <c r="L309" s="10" t="n">
        <v>409.39</v>
      </c>
      <c r="M309" s="10" t="n">
        <v>0</v>
      </c>
      <c r="N309" s="10" t="n">
        <v>0</v>
      </c>
      <c r="O309" s="10" t="n">
        <v>10</v>
      </c>
      <c r="P309" s="10" t="n">
        <v>38.8</v>
      </c>
      <c r="Q309" s="10">
        <f>A309&amp;"|"&amp;B309&amp;"|"&amp;C309&amp;"|"&amp;D309&amp;"|"&amp;E309&amp;"|"&amp;F309&amp;"|"&amp;G309&amp;"|"&amp;H309&amp;"|"&amp;I309&amp;"|"&amp;J309&amp;"|"&amp;K309&amp;"|"&amp;L309&amp;"|"&amp;M309&amp;"|"&amp;N309&amp;"|"&amp;O309&amp;"|"&amp;P309</f>
        <v/>
      </c>
      <c r="R309" s="10">
        <f>IF(COUNTIF($Q$2:$Q$1409,Q309)&gt;1,IF(COUNTIF($Q$2:Q309,Q309)=1,"Exact Duplicate - Keep First","Exact Duplicate - Remove"),"Unique")</f>
        <v/>
      </c>
    </row>
    <row r="310" ht="15" customHeight="1" s="11">
      <c r="A310" s="10" t="inlineStr">
        <is>
          <t>USR-100309</t>
        </is>
      </c>
      <c r="B310" s="14" t="n">
        <v>45778</v>
      </c>
      <c r="C310" s="10" t="inlineStr">
        <is>
          <t>Control</t>
        </is>
      </c>
      <c r="D310" s="10" t="inlineStr">
        <is>
          <t>South</t>
        </is>
      </c>
      <c r="E310" s="10" t="inlineStr">
        <is>
          <t>Desktop</t>
        </is>
      </c>
      <c r="F310" s="10" t="inlineStr">
        <is>
          <t>Email</t>
        </is>
      </c>
      <c r="G310" s="10" t="inlineStr">
        <is>
          <t>Free</t>
        </is>
      </c>
      <c r="H310" s="10" t="n">
        <v>0</v>
      </c>
      <c r="I310" s="10" t="n">
        <v>0</v>
      </c>
      <c r="J310" s="10" t="n">
        <v>0</v>
      </c>
      <c r="K310" s="10" t="n">
        <v>0</v>
      </c>
      <c r="L310" s="10" t="n">
        <v>0</v>
      </c>
      <c r="M310" s="10" t="n">
        <v>0</v>
      </c>
      <c r="N310" s="10" t="n">
        <v>0</v>
      </c>
      <c r="P310" s="10" t="n">
        <v>70</v>
      </c>
      <c r="Q310" s="10">
        <f>A310&amp;"|"&amp;B310&amp;"|"&amp;C310&amp;"|"&amp;D310&amp;"|"&amp;E310&amp;"|"&amp;F310&amp;"|"&amp;G310&amp;"|"&amp;H310&amp;"|"&amp;I310&amp;"|"&amp;J310&amp;"|"&amp;K310&amp;"|"&amp;L310&amp;"|"&amp;M310&amp;"|"&amp;N310&amp;"|"&amp;O310&amp;"|"&amp;P310</f>
        <v/>
      </c>
      <c r="R310" s="10">
        <f>IF(COUNTIF($Q$2:$Q$1409,Q310)&gt;1,IF(COUNTIF($Q$2:Q310,Q310)=1,"Exact Duplicate - Keep First","Exact Duplicate - Remove"),"Unique")</f>
        <v/>
      </c>
    </row>
    <row r="311" ht="15" customHeight="1" s="11">
      <c r="A311" s="10" t="inlineStr">
        <is>
          <t>USR-100310</t>
        </is>
      </c>
      <c r="B311" s="14" t="n">
        <v>45793</v>
      </c>
      <c r="C311" s="10" t="inlineStr">
        <is>
          <t>Control</t>
        </is>
      </c>
      <c r="D311" s="10" t="inlineStr">
        <is>
          <t>South</t>
        </is>
      </c>
      <c r="E311" s="10" t="inlineStr">
        <is>
          <t>Desktop</t>
        </is>
      </c>
      <c r="F311" s="10" t="inlineStr">
        <is>
          <t>Referral</t>
        </is>
      </c>
      <c r="G311" s="10" t="inlineStr">
        <is>
          <t>Basic</t>
        </is>
      </c>
      <c r="H311" s="10" t="n">
        <v>1</v>
      </c>
      <c r="I311" s="10" t="n">
        <v>0</v>
      </c>
      <c r="J311" s="10" t="n">
        <v>0</v>
      </c>
      <c r="K311" s="10" t="n">
        <v>0</v>
      </c>
      <c r="L311" s="10" t="n">
        <v>0</v>
      </c>
      <c r="M311" s="10" t="n">
        <v>0</v>
      </c>
      <c r="N311" s="10" t="n">
        <v>0</v>
      </c>
      <c r="P311" s="10" t="n">
        <v>77.7</v>
      </c>
      <c r="Q311" s="10">
        <f>A311&amp;"|"&amp;B311&amp;"|"&amp;C311&amp;"|"&amp;D311&amp;"|"&amp;E311&amp;"|"&amp;F311&amp;"|"&amp;G311&amp;"|"&amp;H311&amp;"|"&amp;I311&amp;"|"&amp;J311&amp;"|"&amp;K311&amp;"|"&amp;L311&amp;"|"&amp;M311&amp;"|"&amp;N311&amp;"|"&amp;O311&amp;"|"&amp;P311</f>
        <v/>
      </c>
      <c r="R311" s="10">
        <f>IF(COUNTIF($Q$2:$Q$1409,Q311)&gt;1,IF(COUNTIF($Q$2:Q311,Q311)=1,"Exact Duplicate - Keep First","Exact Duplicate - Remove"),"Unique")</f>
        <v/>
      </c>
    </row>
    <row r="312" ht="15" customHeight="1" s="11">
      <c r="A312" s="10" t="inlineStr">
        <is>
          <t>USR-100311</t>
        </is>
      </c>
      <c r="B312" s="14" t="n">
        <v>45724</v>
      </c>
      <c r="C312" s="10" t="inlineStr">
        <is>
          <t>Control</t>
        </is>
      </c>
      <c r="D312" s="10" t="inlineStr">
        <is>
          <t>West</t>
        </is>
      </c>
      <c r="E312" s="10" t="inlineStr">
        <is>
          <t>Mobile</t>
        </is>
      </c>
      <c r="F312" s="10" t="inlineStr">
        <is>
          <t>Organic</t>
        </is>
      </c>
      <c r="G312" s="10" t="inlineStr">
        <is>
          <t>Free</t>
        </is>
      </c>
      <c r="H312" s="10" t="n">
        <v>0</v>
      </c>
      <c r="I312" s="10" t="n">
        <v>0</v>
      </c>
      <c r="J312" s="10" t="n">
        <v>0</v>
      </c>
      <c r="K312" s="10" t="n">
        <v>0</v>
      </c>
      <c r="L312" s="10" t="n">
        <v>0</v>
      </c>
      <c r="M312" s="10" t="n">
        <v>0</v>
      </c>
      <c r="N312" s="10" t="n">
        <v>0</v>
      </c>
      <c r="P312" s="10" t="n">
        <v>71.2</v>
      </c>
      <c r="Q312" s="10">
        <f>A312&amp;"|"&amp;B312&amp;"|"&amp;C312&amp;"|"&amp;D312&amp;"|"&amp;E312&amp;"|"&amp;F312&amp;"|"&amp;G312&amp;"|"&amp;H312&amp;"|"&amp;I312&amp;"|"&amp;J312&amp;"|"&amp;K312&amp;"|"&amp;L312&amp;"|"&amp;M312&amp;"|"&amp;N312&amp;"|"&amp;O312&amp;"|"&amp;P312</f>
        <v/>
      </c>
      <c r="R312" s="10">
        <f>IF(COUNTIF($Q$2:$Q$1409,Q312)&gt;1,IF(COUNTIF($Q$2:Q312,Q312)=1,"Exact Duplicate - Keep First","Exact Duplicate - Remove"),"Unique")</f>
        <v/>
      </c>
    </row>
    <row r="313" ht="15" customHeight="1" s="11">
      <c r="A313" s="10" t="inlineStr">
        <is>
          <t>USR-100312</t>
        </is>
      </c>
      <c r="B313" s="14" t="n">
        <v>45751</v>
      </c>
      <c r="C313" s="10" t="inlineStr">
        <is>
          <t>Control</t>
        </is>
      </c>
      <c r="D313" s="10" t="inlineStr">
        <is>
          <t>North</t>
        </is>
      </c>
      <c r="E313" s="10" t="inlineStr">
        <is>
          <t>Mobile</t>
        </is>
      </c>
      <c r="F313" s="10" t="inlineStr">
        <is>
          <t>Organic</t>
        </is>
      </c>
      <c r="G313" s="10" t="inlineStr">
        <is>
          <t>Basic</t>
        </is>
      </c>
      <c r="H313" s="10" t="n">
        <v>1</v>
      </c>
      <c r="I313" s="10" t="n">
        <v>0</v>
      </c>
      <c r="J313" s="10" t="n">
        <v>0</v>
      </c>
      <c r="K313" s="10" t="n">
        <v>0</v>
      </c>
      <c r="L313" s="10" t="n">
        <v>0</v>
      </c>
      <c r="M313" s="10" t="n">
        <v>0</v>
      </c>
      <c r="N313" s="10" t="n">
        <v>0</v>
      </c>
      <c r="P313" s="10" t="n">
        <v>43.8</v>
      </c>
      <c r="Q313" s="10">
        <f>A313&amp;"|"&amp;B313&amp;"|"&amp;C313&amp;"|"&amp;D313&amp;"|"&amp;E313&amp;"|"&amp;F313&amp;"|"&amp;G313&amp;"|"&amp;H313&amp;"|"&amp;I313&amp;"|"&amp;J313&amp;"|"&amp;K313&amp;"|"&amp;L313&amp;"|"&amp;M313&amp;"|"&amp;N313&amp;"|"&amp;O313&amp;"|"&amp;P313</f>
        <v/>
      </c>
      <c r="R313" s="10">
        <f>IF(COUNTIF($Q$2:$Q$1409,Q313)&gt;1,IF(COUNTIF($Q$2:Q313,Q313)=1,"Exact Duplicate - Keep First","Exact Duplicate - Remove"),"Unique")</f>
        <v/>
      </c>
    </row>
    <row r="314" ht="15" customHeight="1" s="11">
      <c r="A314" s="10" t="inlineStr">
        <is>
          <t>USR-100313</t>
        </is>
      </c>
      <c r="B314" s="14" t="n">
        <v>45807</v>
      </c>
      <c r="C314" s="10" t="inlineStr">
        <is>
          <t>Control</t>
        </is>
      </c>
      <c r="D314" s="10" t="inlineStr">
        <is>
          <t>South</t>
        </is>
      </c>
      <c r="E314" s="10" t="inlineStr">
        <is>
          <t>Tablet</t>
        </is>
      </c>
      <c r="F314" s="10" t="inlineStr">
        <is>
          <t>Organic</t>
        </is>
      </c>
      <c r="G314" s="10" t="inlineStr">
        <is>
          <t>Free</t>
        </is>
      </c>
      <c r="H314" s="10" t="n">
        <v>1</v>
      </c>
      <c r="I314" s="10" t="n">
        <v>0</v>
      </c>
      <c r="J314" s="10" t="n">
        <v>0</v>
      </c>
      <c r="K314" s="10" t="n">
        <v>0</v>
      </c>
      <c r="L314" s="10" t="n">
        <v>0</v>
      </c>
      <c r="M314" s="10" t="n">
        <v>0</v>
      </c>
      <c r="N314" s="10" t="n">
        <v>0</v>
      </c>
      <c r="P314" s="10" t="n">
        <v>50.9</v>
      </c>
      <c r="Q314" s="10">
        <f>A314&amp;"|"&amp;B314&amp;"|"&amp;C314&amp;"|"&amp;D314&amp;"|"&amp;E314&amp;"|"&amp;F314&amp;"|"&amp;G314&amp;"|"&amp;H314&amp;"|"&amp;I314&amp;"|"&amp;J314&amp;"|"&amp;K314&amp;"|"&amp;L314&amp;"|"&amp;M314&amp;"|"&amp;N314&amp;"|"&amp;O314&amp;"|"&amp;P314</f>
        <v/>
      </c>
      <c r="R314" s="10">
        <f>IF(COUNTIF($Q$2:$Q$1409,Q314)&gt;1,IF(COUNTIF($Q$2:Q314,Q314)=1,"Exact Duplicate - Keep First","Exact Duplicate - Remove"),"Unique")</f>
        <v/>
      </c>
    </row>
    <row r="315" ht="15" customHeight="1" s="11">
      <c r="A315" s="10" t="inlineStr">
        <is>
          <t>USR-100314</t>
        </is>
      </c>
      <c r="B315" s="14" t="n">
        <v>45662</v>
      </c>
      <c r="C315" s="10" t="inlineStr">
        <is>
          <t>Control</t>
        </is>
      </c>
      <c r="D315" s="10" t="inlineStr">
        <is>
          <t>West</t>
        </is>
      </c>
      <c r="E315" s="10" t="inlineStr">
        <is>
          <t>Mobile</t>
        </is>
      </c>
      <c r="F315" s="10" t="inlineStr">
        <is>
          <t>Organic</t>
        </is>
      </c>
      <c r="G315" s="10" t="inlineStr">
        <is>
          <t>Premium</t>
        </is>
      </c>
      <c r="H315" s="10" t="n">
        <v>0</v>
      </c>
      <c r="I315" s="10" t="n">
        <v>0</v>
      </c>
      <c r="J315" s="10" t="n">
        <v>0</v>
      </c>
      <c r="K315" s="10" t="n">
        <v>0</v>
      </c>
      <c r="L315" s="10" t="n">
        <v>0</v>
      </c>
      <c r="M315" s="10" t="n">
        <v>0</v>
      </c>
      <c r="N315" s="10" t="n">
        <v>0</v>
      </c>
      <c r="P315" s="10" t="n">
        <v>58.5</v>
      </c>
      <c r="Q315" s="10">
        <f>A315&amp;"|"&amp;B315&amp;"|"&amp;C315&amp;"|"&amp;D315&amp;"|"&amp;E315&amp;"|"&amp;F315&amp;"|"&amp;G315&amp;"|"&amp;H315&amp;"|"&amp;I315&amp;"|"&amp;J315&amp;"|"&amp;K315&amp;"|"&amp;L315&amp;"|"&amp;M315&amp;"|"&amp;N315&amp;"|"&amp;O315&amp;"|"&amp;P315</f>
        <v/>
      </c>
      <c r="R315" s="10">
        <f>IF(COUNTIF($Q$2:$Q$1409,Q315)&gt;1,IF(COUNTIF($Q$2:Q315,Q315)=1,"Exact Duplicate - Keep First","Exact Duplicate - Remove"),"Unique")</f>
        <v/>
      </c>
    </row>
    <row r="316" ht="15" customHeight="1" s="11">
      <c r="A316" s="10" t="inlineStr">
        <is>
          <t>USR-100315</t>
        </is>
      </c>
      <c r="B316" s="14" t="n">
        <v>45677</v>
      </c>
      <c r="C316" s="10" t="inlineStr">
        <is>
          <t>Control</t>
        </is>
      </c>
      <c r="D316" s="10" t="inlineStr">
        <is>
          <t>East</t>
        </is>
      </c>
      <c r="E316" s="10" t="inlineStr">
        <is>
          <t>Mobile</t>
        </is>
      </c>
      <c r="F316" s="10" t="inlineStr">
        <is>
          <t>Organic</t>
        </is>
      </c>
      <c r="G316" s="10" t="inlineStr">
        <is>
          <t>Free</t>
        </is>
      </c>
      <c r="H316" s="10" t="n">
        <v>1</v>
      </c>
      <c r="I316" s="10" t="n">
        <v>1</v>
      </c>
      <c r="J316" s="10" t="n">
        <v>1</v>
      </c>
      <c r="K316" s="10" t="n">
        <v>0</v>
      </c>
      <c r="L316" s="10" t="n">
        <v>0</v>
      </c>
      <c r="M316" s="10" t="n">
        <v>0</v>
      </c>
      <c r="N316" s="10" t="n">
        <v>0</v>
      </c>
      <c r="P316" s="10" t="n">
        <v>53.6</v>
      </c>
      <c r="Q316" s="10">
        <f>A316&amp;"|"&amp;B316&amp;"|"&amp;C316&amp;"|"&amp;D316&amp;"|"&amp;E316&amp;"|"&amp;F316&amp;"|"&amp;G316&amp;"|"&amp;H316&amp;"|"&amp;I316&amp;"|"&amp;J316&amp;"|"&amp;K316&amp;"|"&amp;L316&amp;"|"&amp;M316&amp;"|"&amp;N316&amp;"|"&amp;O316&amp;"|"&amp;P316</f>
        <v/>
      </c>
      <c r="R316" s="10">
        <f>IF(COUNTIF($Q$2:$Q$1409,Q316)&gt;1,IF(COUNTIF($Q$2:Q316,Q316)=1,"Exact Duplicate - Keep First","Exact Duplicate - Remove"),"Unique")</f>
        <v/>
      </c>
    </row>
    <row r="317" ht="15" customHeight="1" s="11">
      <c r="A317" s="10" t="inlineStr">
        <is>
          <t>USR-100316</t>
        </is>
      </c>
      <c r="B317" s="14" t="n">
        <v>45778</v>
      </c>
      <c r="C317" s="10" t="inlineStr">
        <is>
          <t>Control</t>
        </is>
      </c>
      <c r="D317" s="10" t="inlineStr">
        <is>
          <t>East</t>
        </is>
      </c>
      <c r="E317" s="10" t="inlineStr">
        <is>
          <t>Mobile</t>
        </is>
      </c>
      <c r="F317" s="10" t="inlineStr">
        <is>
          <t>Email</t>
        </is>
      </c>
      <c r="G317" s="10" t="inlineStr">
        <is>
          <t>Free</t>
        </is>
      </c>
      <c r="H317" s="10" t="n">
        <v>0</v>
      </c>
      <c r="I317" s="10" t="n">
        <v>0</v>
      </c>
      <c r="J317" s="10" t="n">
        <v>0</v>
      </c>
      <c r="K317" s="10" t="n">
        <v>0</v>
      </c>
      <c r="L317" s="10" t="n">
        <v>0</v>
      </c>
      <c r="M317" s="10" t="n">
        <v>0</v>
      </c>
      <c r="N317" s="10" t="n">
        <v>0</v>
      </c>
      <c r="P317" s="10" t="n">
        <v>54.9</v>
      </c>
      <c r="Q317" s="10">
        <f>A317&amp;"|"&amp;B317&amp;"|"&amp;C317&amp;"|"&amp;D317&amp;"|"&amp;E317&amp;"|"&amp;F317&amp;"|"&amp;G317&amp;"|"&amp;H317&amp;"|"&amp;I317&amp;"|"&amp;J317&amp;"|"&amp;K317&amp;"|"&amp;L317&amp;"|"&amp;M317&amp;"|"&amp;N317&amp;"|"&amp;O317&amp;"|"&amp;P317</f>
        <v/>
      </c>
      <c r="R317" s="10">
        <f>IF(COUNTIF($Q$2:$Q$1409,Q317)&gt;1,IF(COUNTIF($Q$2:Q317,Q317)=1,"Exact Duplicate - Keep First","Exact Duplicate - Remove"),"Unique")</f>
        <v/>
      </c>
    </row>
    <row r="318" ht="15" customHeight="1" s="11">
      <c r="A318" s="10" t="inlineStr">
        <is>
          <t>USR-100317</t>
        </is>
      </c>
      <c r="B318" s="14" t="n">
        <v>45721</v>
      </c>
      <c r="C318" s="10" t="inlineStr">
        <is>
          <t>Control</t>
        </is>
      </c>
      <c r="D318" s="10" t="inlineStr">
        <is>
          <t>North</t>
        </is>
      </c>
      <c r="E318" s="10" t="inlineStr">
        <is>
          <t>Desktop</t>
        </is>
      </c>
      <c r="F318" s="10" t="inlineStr">
        <is>
          <t>Organic</t>
        </is>
      </c>
      <c r="G318" s="10" t="inlineStr">
        <is>
          <t>Premium</t>
        </is>
      </c>
      <c r="H318" s="10" t="n">
        <v>0</v>
      </c>
      <c r="I318" s="10" t="n">
        <v>0</v>
      </c>
      <c r="J318" s="10" t="n">
        <v>0</v>
      </c>
      <c r="K318" s="10" t="n">
        <v>0</v>
      </c>
      <c r="L318" s="10" t="n">
        <v>0</v>
      </c>
      <c r="M318" s="10" t="n">
        <v>0</v>
      </c>
      <c r="N318" s="10" t="n">
        <v>0</v>
      </c>
      <c r="P318" s="10" t="n">
        <v>57.3</v>
      </c>
      <c r="Q318" s="10">
        <f>A318&amp;"|"&amp;B318&amp;"|"&amp;C318&amp;"|"&amp;D318&amp;"|"&amp;E318&amp;"|"&amp;F318&amp;"|"&amp;G318&amp;"|"&amp;H318&amp;"|"&amp;I318&amp;"|"&amp;J318&amp;"|"&amp;K318&amp;"|"&amp;L318&amp;"|"&amp;M318&amp;"|"&amp;N318&amp;"|"&amp;O318&amp;"|"&amp;P318</f>
        <v/>
      </c>
      <c r="R318" s="10">
        <f>IF(COUNTIF($Q$2:$Q$1409,Q318)&gt;1,IF(COUNTIF($Q$2:Q318,Q318)=1,"Exact Duplicate - Keep First","Exact Duplicate - Remove"),"Unique")</f>
        <v/>
      </c>
    </row>
    <row r="319" ht="15" customHeight="1" s="11">
      <c r="A319" s="10" t="inlineStr">
        <is>
          <t>USR-100318</t>
        </is>
      </c>
      <c r="B319" s="14" t="n">
        <v>45748</v>
      </c>
      <c r="C319" s="10" t="inlineStr">
        <is>
          <t>Control</t>
        </is>
      </c>
      <c r="D319" s="10" t="inlineStr">
        <is>
          <t>East</t>
        </is>
      </c>
      <c r="E319" s="10" t="inlineStr">
        <is>
          <t>Desktop</t>
        </is>
      </c>
      <c r="F319" s="10" t="inlineStr">
        <is>
          <t>Referral</t>
        </is>
      </c>
      <c r="G319" s="10" t="inlineStr">
        <is>
          <t>Free</t>
        </is>
      </c>
      <c r="H319" s="10" t="n">
        <v>1</v>
      </c>
      <c r="I319" s="10" t="n">
        <v>0</v>
      </c>
      <c r="J319" s="10" t="n">
        <v>0</v>
      </c>
      <c r="K319" s="10" t="n">
        <v>0</v>
      </c>
      <c r="L319" s="10" t="n">
        <v>0</v>
      </c>
      <c r="M319" s="10" t="n">
        <v>0</v>
      </c>
      <c r="N319" s="10" t="n">
        <v>0</v>
      </c>
      <c r="P319" s="10" t="n">
        <v>52.1</v>
      </c>
      <c r="Q319" s="10">
        <f>A319&amp;"|"&amp;B319&amp;"|"&amp;C319&amp;"|"&amp;D319&amp;"|"&amp;E319&amp;"|"&amp;F319&amp;"|"&amp;G319&amp;"|"&amp;H319&amp;"|"&amp;I319&amp;"|"&amp;J319&amp;"|"&amp;K319&amp;"|"&amp;L319&amp;"|"&amp;M319&amp;"|"&amp;N319&amp;"|"&amp;O319&amp;"|"&amp;P319</f>
        <v/>
      </c>
      <c r="R319" s="10">
        <f>IF(COUNTIF($Q$2:$Q$1409,Q319)&gt;1,IF(COUNTIF($Q$2:Q319,Q319)=1,"Exact Duplicate - Keep First","Exact Duplicate - Remove"),"Unique")</f>
        <v/>
      </c>
    </row>
    <row r="320" ht="15" customHeight="1" s="11">
      <c r="A320" s="10" t="inlineStr">
        <is>
          <t>USR-100319</t>
        </is>
      </c>
      <c r="B320" s="14" t="n">
        <v>45780</v>
      </c>
      <c r="C320" s="10" t="inlineStr">
        <is>
          <t>Control</t>
        </is>
      </c>
      <c r="D320" s="10" t="inlineStr">
        <is>
          <t>North</t>
        </is>
      </c>
      <c r="E320" s="10" t="inlineStr">
        <is>
          <t>Mobile</t>
        </is>
      </c>
      <c r="F320" s="10" t="inlineStr">
        <is>
          <t>Organic</t>
        </is>
      </c>
      <c r="G320" s="10" t="inlineStr">
        <is>
          <t>Free</t>
        </is>
      </c>
      <c r="H320" s="10" t="n">
        <v>1</v>
      </c>
      <c r="I320" s="10" t="n">
        <v>0</v>
      </c>
      <c r="J320" s="10" t="n">
        <v>0</v>
      </c>
      <c r="K320" s="10" t="n">
        <v>0</v>
      </c>
      <c r="L320" s="10" t="n">
        <v>0</v>
      </c>
      <c r="M320" s="10" t="n">
        <v>0</v>
      </c>
      <c r="N320" s="10" t="n">
        <v>0</v>
      </c>
      <c r="P320" s="10" t="n">
        <v>80</v>
      </c>
      <c r="Q320" s="10">
        <f>A320&amp;"|"&amp;B320&amp;"|"&amp;C320&amp;"|"&amp;D320&amp;"|"&amp;E320&amp;"|"&amp;F320&amp;"|"&amp;G320&amp;"|"&amp;H320&amp;"|"&amp;I320&amp;"|"&amp;J320&amp;"|"&amp;K320&amp;"|"&amp;L320&amp;"|"&amp;M320&amp;"|"&amp;N320&amp;"|"&amp;O320&amp;"|"&amp;P320</f>
        <v/>
      </c>
      <c r="R320" s="10">
        <f>IF(COUNTIF($Q$2:$Q$1409,Q320)&gt;1,IF(COUNTIF($Q$2:Q320,Q320)=1,"Exact Duplicate - Keep First","Exact Duplicate - Remove"),"Unique")</f>
        <v/>
      </c>
    </row>
    <row r="321" ht="15" customHeight="1" s="11">
      <c r="A321" s="10" t="inlineStr">
        <is>
          <t>USR-100320</t>
        </is>
      </c>
      <c r="B321" s="14" t="n">
        <v>45722</v>
      </c>
      <c r="C321" s="10" t="inlineStr">
        <is>
          <t>Control</t>
        </is>
      </c>
      <c r="D321" s="10" t="inlineStr">
        <is>
          <t>South</t>
        </is>
      </c>
      <c r="E321" s="10" t="inlineStr">
        <is>
          <t>Desktop</t>
        </is>
      </c>
      <c r="F321" s="10" t="inlineStr">
        <is>
          <t>Paid Search</t>
        </is>
      </c>
      <c r="G321" s="10" t="inlineStr">
        <is>
          <t>Premium</t>
        </is>
      </c>
      <c r="H321" s="10" t="n">
        <v>1</v>
      </c>
      <c r="I321" s="10" t="n">
        <v>0</v>
      </c>
      <c r="J321" s="10" t="n">
        <v>0</v>
      </c>
      <c r="K321" s="10" t="n">
        <v>0</v>
      </c>
      <c r="L321" s="10" t="n">
        <v>0</v>
      </c>
      <c r="M321" s="10" t="n">
        <v>0</v>
      </c>
      <c r="N321" s="10" t="n">
        <v>0</v>
      </c>
      <c r="P321" s="10" t="n">
        <v>39.3</v>
      </c>
      <c r="Q321" s="10">
        <f>A321&amp;"|"&amp;B321&amp;"|"&amp;C321&amp;"|"&amp;D321&amp;"|"&amp;E321&amp;"|"&amp;F321&amp;"|"&amp;G321&amp;"|"&amp;H321&amp;"|"&amp;I321&amp;"|"&amp;J321&amp;"|"&amp;K321&amp;"|"&amp;L321&amp;"|"&amp;M321&amp;"|"&amp;N321&amp;"|"&amp;O321&amp;"|"&amp;P321</f>
        <v/>
      </c>
      <c r="R321" s="10">
        <f>IF(COUNTIF($Q$2:$Q$1409,Q321)&gt;1,IF(COUNTIF($Q$2:Q321,Q321)=1,"Exact Duplicate - Keep First","Exact Duplicate - Remove"),"Unique")</f>
        <v/>
      </c>
    </row>
    <row r="322" ht="15" customHeight="1" s="11">
      <c r="A322" s="10" t="inlineStr">
        <is>
          <t>USR-100321</t>
        </is>
      </c>
      <c r="B322" s="14" t="n">
        <v>45748</v>
      </c>
      <c r="C322" s="10" t="inlineStr">
        <is>
          <t>Control</t>
        </is>
      </c>
      <c r="D322" s="10" t="inlineStr">
        <is>
          <t>North</t>
        </is>
      </c>
      <c r="E322" s="10" t="inlineStr">
        <is>
          <t>Desktop</t>
        </is>
      </c>
      <c r="F322" s="10" t="inlineStr">
        <is>
          <t>Referral</t>
        </is>
      </c>
      <c r="G322" s="10" t="inlineStr">
        <is>
          <t>Premium</t>
        </is>
      </c>
      <c r="H322" s="10" t="n">
        <v>0</v>
      </c>
      <c r="I322" s="10" t="n">
        <v>0</v>
      </c>
      <c r="J322" s="10" t="n">
        <v>0</v>
      </c>
      <c r="K322" s="10" t="n">
        <v>0</v>
      </c>
      <c r="L322" s="10" t="n">
        <v>0</v>
      </c>
      <c r="M322" s="10" t="n">
        <v>0</v>
      </c>
      <c r="N322" s="10" t="n">
        <v>0</v>
      </c>
      <c r="P322" s="10" t="n">
        <v>45.7</v>
      </c>
      <c r="Q322" s="10">
        <f>A322&amp;"|"&amp;B322&amp;"|"&amp;C322&amp;"|"&amp;D322&amp;"|"&amp;E322&amp;"|"&amp;F322&amp;"|"&amp;G322&amp;"|"&amp;H322&amp;"|"&amp;I322&amp;"|"&amp;J322&amp;"|"&amp;K322&amp;"|"&amp;L322&amp;"|"&amp;M322&amp;"|"&amp;N322&amp;"|"&amp;O322&amp;"|"&amp;P322</f>
        <v/>
      </c>
      <c r="R322" s="10">
        <f>IF(COUNTIF($Q$2:$Q$1409,Q322)&gt;1,IF(COUNTIF($Q$2:Q322,Q322)=1,"Exact Duplicate - Keep First","Exact Duplicate - Remove"),"Unique")</f>
        <v/>
      </c>
    </row>
    <row r="323" ht="15" customHeight="1" s="11">
      <c r="A323" s="10" t="inlineStr">
        <is>
          <t>USR-100322</t>
        </is>
      </c>
      <c r="B323" s="14" t="n">
        <v>45697</v>
      </c>
      <c r="C323" s="10" t="inlineStr">
        <is>
          <t>Control</t>
        </is>
      </c>
      <c r="D323" s="10" t="inlineStr">
        <is>
          <t>North</t>
        </is>
      </c>
      <c r="E323" s="10" t="inlineStr">
        <is>
          <t>Desktop</t>
        </is>
      </c>
      <c r="F323" s="10" t="inlineStr">
        <is>
          <t>Social</t>
        </is>
      </c>
      <c r="G323" s="10" t="inlineStr">
        <is>
          <t>Basic</t>
        </is>
      </c>
      <c r="H323" s="10" t="n">
        <v>1</v>
      </c>
      <c r="I323" s="10" t="n">
        <v>0</v>
      </c>
      <c r="J323" s="10" t="n">
        <v>0</v>
      </c>
      <c r="K323" s="10" t="n">
        <v>0</v>
      </c>
      <c r="L323" s="10" t="n">
        <v>0</v>
      </c>
      <c r="M323" s="10" t="n">
        <v>2</v>
      </c>
      <c r="N323" s="10" t="n">
        <v>0</v>
      </c>
      <c r="P323" s="10" t="n">
        <v>61.2</v>
      </c>
      <c r="Q323" s="10">
        <f>A323&amp;"|"&amp;B323&amp;"|"&amp;C323&amp;"|"&amp;D323&amp;"|"&amp;E323&amp;"|"&amp;F323&amp;"|"&amp;G323&amp;"|"&amp;H323&amp;"|"&amp;I323&amp;"|"&amp;J323&amp;"|"&amp;K323&amp;"|"&amp;L323&amp;"|"&amp;M323&amp;"|"&amp;N323&amp;"|"&amp;O323&amp;"|"&amp;P323</f>
        <v/>
      </c>
      <c r="R323" s="10">
        <f>IF(COUNTIF($Q$2:$Q$1409,Q323)&gt;1,IF(COUNTIF($Q$2:Q323,Q323)=1,"Exact Duplicate - Keep First","Exact Duplicate - Remove"),"Unique")</f>
        <v/>
      </c>
    </row>
    <row r="324" ht="15" customHeight="1" s="11">
      <c r="A324" s="10" t="inlineStr">
        <is>
          <t>USR-100323</t>
        </is>
      </c>
      <c r="B324" s="14" t="n">
        <v>45759</v>
      </c>
      <c r="C324" s="10" t="inlineStr">
        <is>
          <t>Control</t>
        </is>
      </c>
      <c r="D324" s="10" t="inlineStr">
        <is>
          <t>West</t>
        </is>
      </c>
      <c r="E324" s="10" t="inlineStr">
        <is>
          <t>Mobile</t>
        </is>
      </c>
      <c r="F324" s="10" t="inlineStr">
        <is>
          <t>Organic</t>
        </is>
      </c>
      <c r="G324" s="10" t="inlineStr">
        <is>
          <t>Basic</t>
        </is>
      </c>
      <c r="H324" s="10" t="n">
        <v>1</v>
      </c>
      <c r="I324" s="10" t="n">
        <v>1</v>
      </c>
      <c r="J324" s="10" t="n">
        <v>0</v>
      </c>
      <c r="K324" s="10" t="n">
        <v>0</v>
      </c>
      <c r="L324" s="10" t="n">
        <v>0</v>
      </c>
      <c r="M324" s="10" t="n">
        <v>0</v>
      </c>
      <c r="N324" s="10" t="n">
        <v>0</v>
      </c>
      <c r="P324" s="10" t="n">
        <v>66.2</v>
      </c>
      <c r="Q324" s="10">
        <f>A324&amp;"|"&amp;B324&amp;"|"&amp;C324&amp;"|"&amp;D324&amp;"|"&amp;E324&amp;"|"&amp;F324&amp;"|"&amp;G324&amp;"|"&amp;H324&amp;"|"&amp;I324&amp;"|"&amp;J324&amp;"|"&amp;K324&amp;"|"&amp;L324&amp;"|"&amp;M324&amp;"|"&amp;N324&amp;"|"&amp;O324&amp;"|"&amp;P324</f>
        <v/>
      </c>
      <c r="R324" s="10">
        <f>IF(COUNTIF($Q$2:$Q$1409,Q324)&gt;1,IF(COUNTIF($Q$2:Q324,Q324)=1,"Exact Duplicate - Keep First","Exact Duplicate - Remove"),"Unique")</f>
        <v/>
      </c>
    </row>
    <row r="325" ht="15" customHeight="1" s="11">
      <c r="A325" s="10" t="inlineStr">
        <is>
          <t>USR-100324</t>
        </is>
      </c>
      <c r="B325" s="14" t="n">
        <v>45734</v>
      </c>
      <c r="C325" s="10" t="inlineStr">
        <is>
          <t>Control</t>
        </is>
      </c>
      <c r="D325" s="10" t="inlineStr">
        <is>
          <t>East</t>
        </is>
      </c>
      <c r="E325" s="10" t="inlineStr">
        <is>
          <t>Mobile</t>
        </is>
      </c>
      <c r="F325" s="10" t="inlineStr">
        <is>
          <t>Social</t>
        </is>
      </c>
      <c r="G325" s="10" t="inlineStr">
        <is>
          <t>Free</t>
        </is>
      </c>
      <c r="H325" s="10" t="n">
        <v>1</v>
      </c>
      <c r="I325" s="10" t="n">
        <v>1</v>
      </c>
      <c r="J325" s="10" t="n">
        <v>1</v>
      </c>
      <c r="K325" s="10" t="n">
        <v>0</v>
      </c>
      <c r="L325" s="10" t="n">
        <v>0</v>
      </c>
      <c r="M325" s="10" t="n">
        <v>0</v>
      </c>
      <c r="N325" s="10" t="n">
        <v>0</v>
      </c>
      <c r="P325" s="10" t="n">
        <v>61.3</v>
      </c>
      <c r="Q325" s="10">
        <f>A325&amp;"|"&amp;B325&amp;"|"&amp;C325&amp;"|"&amp;D325&amp;"|"&amp;E325&amp;"|"&amp;F325&amp;"|"&amp;G325&amp;"|"&amp;H325&amp;"|"&amp;I325&amp;"|"&amp;J325&amp;"|"&amp;K325&amp;"|"&amp;L325&amp;"|"&amp;M325&amp;"|"&amp;N325&amp;"|"&amp;O325&amp;"|"&amp;P325</f>
        <v/>
      </c>
      <c r="R325" s="10">
        <f>IF(COUNTIF($Q$2:$Q$1409,Q325)&gt;1,IF(COUNTIF($Q$2:Q325,Q325)=1,"Exact Duplicate - Keep First","Exact Duplicate - Remove"),"Unique")</f>
        <v/>
      </c>
    </row>
    <row r="326" ht="15" customHeight="1" s="11">
      <c r="A326" s="10" t="inlineStr">
        <is>
          <t>USR-100325</t>
        </is>
      </c>
      <c r="B326" s="14" t="n">
        <v>45750</v>
      </c>
      <c r="C326" s="10" t="inlineStr">
        <is>
          <t>Control</t>
        </is>
      </c>
      <c r="D326" s="10" t="inlineStr">
        <is>
          <t>East</t>
        </is>
      </c>
      <c r="E326" s="10" t="inlineStr">
        <is>
          <t>Mobile</t>
        </is>
      </c>
      <c r="F326" s="10" t="inlineStr">
        <is>
          <t>Paid Search</t>
        </is>
      </c>
      <c r="G326" s="10" t="inlineStr">
        <is>
          <t>Free</t>
        </is>
      </c>
      <c r="H326" s="10" t="n">
        <v>1</v>
      </c>
      <c r="I326" s="10" t="n">
        <v>0</v>
      </c>
      <c r="J326" s="10" t="n">
        <v>0</v>
      </c>
      <c r="K326" s="10" t="n">
        <v>0</v>
      </c>
      <c r="L326" s="10" t="n">
        <v>0</v>
      </c>
      <c r="M326" s="10" t="n">
        <v>0</v>
      </c>
      <c r="N326" s="10" t="n">
        <v>0</v>
      </c>
      <c r="P326" s="10" t="n">
        <v>72.2</v>
      </c>
      <c r="Q326" s="10">
        <f>A326&amp;"|"&amp;B326&amp;"|"&amp;C326&amp;"|"&amp;D326&amp;"|"&amp;E326&amp;"|"&amp;F326&amp;"|"&amp;G326&amp;"|"&amp;H326&amp;"|"&amp;I326&amp;"|"&amp;J326&amp;"|"&amp;K326&amp;"|"&amp;L326&amp;"|"&amp;M326&amp;"|"&amp;N326&amp;"|"&amp;O326&amp;"|"&amp;P326</f>
        <v/>
      </c>
      <c r="R326" s="10">
        <f>IF(COUNTIF($Q$2:$Q$1409,Q326)&gt;1,IF(COUNTIF($Q$2:Q326,Q326)=1,"Exact Duplicate - Keep First","Exact Duplicate - Remove"),"Unique")</f>
        <v/>
      </c>
    </row>
    <row r="327" ht="15" customHeight="1" s="11">
      <c r="A327" s="10" t="inlineStr">
        <is>
          <t>USR-100326</t>
        </is>
      </c>
      <c r="B327" s="14" t="n">
        <v>45749</v>
      </c>
      <c r="C327" s="10" t="inlineStr">
        <is>
          <t>Control</t>
        </is>
      </c>
      <c r="D327" s="10" t="inlineStr">
        <is>
          <t>West</t>
        </is>
      </c>
      <c r="E327" s="10" t="inlineStr">
        <is>
          <t>Mobile</t>
        </is>
      </c>
      <c r="F327" s="10" t="inlineStr">
        <is>
          <t>Email</t>
        </is>
      </c>
      <c r="G327" s="10" t="inlineStr">
        <is>
          <t>Premium</t>
        </is>
      </c>
      <c r="H327" s="10" t="n">
        <v>1</v>
      </c>
      <c r="I327" s="10" t="n">
        <v>1</v>
      </c>
      <c r="J327" s="10" t="n">
        <v>1</v>
      </c>
      <c r="K327" s="10" t="n">
        <v>0</v>
      </c>
      <c r="L327" s="10" t="n">
        <v>0</v>
      </c>
      <c r="M327" s="10" t="n">
        <v>0</v>
      </c>
      <c r="N327" s="10" t="n">
        <v>0</v>
      </c>
      <c r="P327" s="10" t="n">
        <v>84</v>
      </c>
      <c r="Q327" s="10">
        <f>A327&amp;"|"&amp;B327&amp;"|"&amp;C327&amp;"|"&amp;D327&amp;"|"&amp;E327&amp;"|"&amp;F327&amp;"|"&amp;G327&amp;"|"&amp;H327&amp;"|"&amp;I327&amp;"|"&amp;J327&amp;"|"&amp;K327&amp;"|"&amp;L327&amp;"|"&amp;M327&amp;"|"&amp;N327&amp;"|"&amp;O327&amp;"|"&amp;P327</f>
        <v/>
      </c>
      <c r="R327" s="10">
        <f>IF(COUNTIF($Q$2:$Q$1409,Q327)&gt;1,IF(COUNTIF($Q$2:Q327,Q327)=1,"Exact Duplicate - Keep First","Exact Duplicate - Remove"),"Unique")</f>
        <v/>
      </c>
    </row>
    <row r="328" ht="15" customHeight="1" s="11">
      <c r="A328" s="10" t="inlineStr">
        <is>
          <t>USR-100327</t>
        </is>
      </c>
      <c r="B328" s="14" t="n">
        <v>45787</v>
      </c>
      <c r="C328" s="10" t="inlineStr">
        <is>
          <t>Control</t>
        </is>
      </c>
      <c r="D328" s="10" t="inlineStr">
        <is>
          <t>West</t>
        </is>
      </c>
      <c r="E328" s="10" t="inlineStr">
        <is>
          <t>Desktop</t>
        </is>
      </c>
      <c r="F328" s="10" t="inlineStr">
        <is>
          <t>Email</t>
        </is>
      </c>
      <c r="G328" s="10" t="inlineStr">
        <is>
          <t>Basic</t>
        </is>
      </c>
      <c r="H328" s="10" t="n">
        <v>0</v>
      </c>
      <c r="I328" s="10" t="n">
        <v>0</v>
      </c>
      <c r="J328" s="10" t="n">
        <v>0</v>
      </c>
      <c r="K328" s="10" t="n">
        <v>0</v>
      </c>
      <c r="L328" s="10" t="n">
        <v>0</v>
      </c>
      <c r="M328" s="10" t="n">
        <v>0</v>
      </c>
      <c r="N328" s="10" t="n">
        <v>0</v>
      </c>
      <c r="P328" s="10" t="n">
        <v>59.8</v>
      </c>
      <c r="Q328" s="10">
        <f>A328&amp;"|"&amp;B328&amp;"|"&amp;C328&amp;"|"&amp;D328&amp;"|"&amp;E328&amp;"|"&amp;F328&amp;"|"&amp;G328&amp;"|"&amp;H328&amp;"|"&amp;I328&amp;"|"&amp;J328&amp;"|"&amp;K328&amp;"|"&amp;L328&amp;"|"&amp;M328&amp;"|"&amp;N328&amp;"|"&amp;O328&amp;"|"&amp;P328</f>
        <v/>
      </c>
      <c r="R328" s="10">
        <f>IF(COUNTIF($Q$2:$Q$1409,Q328)&gt;1,IF(COUNTIF($Q$2:Q328,Q328)=1,"Exact Duplicate - Keep First","Exact Duplicate - Remove"),"Unique")</f>
        <v/>
      </c>
    </row>
    <row r="329" ht="15" customHeight="1" s="11">
      <c r="A329" s="10" t="inlineStr">
        <is>
          <t>USR-100328</t>
        </is>
      </c>
      <c r="B329" s="14" t="n">
        <v>45776</v>
      </c>
      <c r="C329" s="10" t="inlineStr">
        <is>
          <t>Control</t>
        </is>
      </c>
      <c r="D329" s="10" t="inlineStr">
        <is>
          <t>West</t>
        </is>
      </c>
      <c r="E329" s="10" t="inlineStr">
        <is>
          <t>Desktop</t>
        </is>
      </c>
      <c r="F329" s="10" t="inlineStr">
        <is>
          <t>Paid Search</t>
        </is>
      </c>
      <c r="G329" s="10" t="inlineStr">
        <is>
          <t>Free</t>
        </is>
      </c>
      <c r="H329" s="10" t="n">
        <v>1</v>
      </c>
      <c r="I329" s="10" t="n">
        <v>0</v>
      </c>
      <c r="J329" s="10" t="n">
        <v>0</v>
      </c>
      <c r="K329" s="10" t="n">
        <v>0</v>
      </c>
      <c r="L329" s="10" t="n">
        <v>0</v>
      </c>
      <c r="M329" s="10" t="n">
        <v>0</v>
      </c>
      <c r="N329" s="10" t="n">
        <v>0</v>
      </c>
      <c r="P329" s="10" t="n">
        <v>64.90000000000001</v>
      </c>
      <c r="Q329" s="10">
        <f>A329&amp;"|"&amp;B329&amp;"|"&amp;C329&amp;"|"&amp;D329&amp;"|"&amp;E329&amp;"|"&amp;F329&amp;"|"&amp;G329&amp;"|"&amp;H329&amp;"|"&amp;I329&amp;"|"&amp;J329&amp;"|"&amp;K329&amp;"|"&amp;L329&amp;"|"&amp;M329&amp;"|"&amp;N329&amp;"|"&amp;O329&amp;"|"&amp;P329</f>
        <v/>
      </c>
      <c r="R329" s="10">
        <f>IF(COUNTIF($Q$2:$Q$1409,Q329)&gt;1,IF(COUNTIF($Q$2:Q329,Q329)=1,"Exact Duplicate - Keep First","Exact Duplicate - Remove"),"Unique")</f>
        <v/>
      </c>
    </row>
    <row r="330" ht="15" customHeight="1" s="11">
      <c r="A330" s="10" t="inlineStr">
        <is>
          <t>USR-100329</t>
        </is>
      </c>
      <c r="B330" s="14" t="n">
        <v>45715</v>
      </c>
      <c r="C330" s="10" t="inlineStr">
        <is>
          <t>Control</t>
        </is>
      </c>
      <c r="D330" s="10" t="inlineStr">
        <is>
          <t>South</t>
        </is>
      </c>
      <c r="E330" s="10" t="inlineStr">
        <is>
          <t>Mobile</t>
        </is>
      </c>
      <c r="F330" s="10" t="inlineStr">
        <is>
          <t>Paid Search</t>
        </is>
      </c>
      <c r="G330" s="10" t="inlineStr">
        <is>
          <t>Free</t>
        </is>
      </c>
      <c r="H330" s="10" t="n">
        <v>1</v>
      </c>
      <c r="I330" s="10" t="n">
        <v>0</v>
      </c>
      <c r="J330" s="10" t="n">
        <v>0</v>
      </c>
      <c r="K330" s="10" t="n">
        <v>0</v>
      </c>
      <c r="L330" s="10" t="n">
        <v>0</v>
      </c>
      <c r="M330" s="10" t="n">
        <v>0</v>
      </c>
      <c r="N330" s="10" t="n">
        <v>0</v>
      </c>
      <c r="P330" s="10" t="n">
        <v>66.8</v>
      </c>
      <c r="Q330" s="10">
        <f>A330&amp;"|"&amp;B330&amp;"|"&amp;C330&amp;"|"&amp;D330&amp;"|"&amp;E330&amp;"|"&amp;F330&amp;"|"&amp;G330&amp;"|"&amp;H330&amp;"|"&amp;I330&amp;"|"&amp;J330&amp;"|"&amp;K330&amp;"|"&amp;L330&amp;"|"&amp;M330&amp;"|"&amp;N330&amp;"|"&amp;O330&amp;"|"&amp;P330</f>
        <v/>
      </c>
      <c r="R330" s="10">
        <f>IF(COUNTIF($Q$2:$Q$1409,Q330)&gt;1,IF(COUNTIF($Q$2:Q330,Q330)=1,"Exact Duplicate - Keep First","Exact Duplicate - Remove"),"Unique")</f>
        <v/>
      </c>
    </row>
    <row r="331" ht="15" customHeight="1" s="11">
      <c r="A331" s="10" t="inlineStr">
        <is>
          <t>USR-100330</t>
        </is>
      </c>
      <c r="B331" s="14" t="n">
        <v>45757</v>
      </c>
      <c r="C331" s="10" t="inlineStr">
        <is>
          <t>Control</t>
        </is>
      </c>
      <c r="D331" s="10" t="inlineStr">
        <is>
          <t>North</t>
        </is>
      </c>
      <c r="E331" s="10" t="inlineStr">
        <is>
          <t>Desktop</t>
        </is>
      </c>
      <c r="F331" s="10" t="inlineStr">
        <is>
          <t>Organic</t>
        </is>
      </c>
      <c r="G331" s="10" t="inlineStr">
        <is>
          <t>Premium</t>
        </is>
      </c>
      <c r="H331" s="10" t="n">
        <v>0</v>
      </c>
      <c r="I331" s="10" t="n">
        <v>0</v>
      </c>
      <c r="J331" s="10" t="n">
        <v>0</v>
      </c>
      <c r="K331" s="10" t="n">
        <v>0</v>
      </c>
      <c r="L331" s="10" t="n">
        <v>0</v>
      </c>
      <c r="M331" s="10" t="n">
        <v>0</v>
      </c>
      <c r="N331" s="10" t="n">
        <v>0</v>
      </c>
      <c r="P331" s="10" t="n">
        <v>70.90000000000001</v>
      </c>
      <c r="Q331" s="10">
        <f>A331&amp;"|"&amp;B331&amp;"|"&amp;C331&amp;"|"&amp;D331&amp;"|"&amp;E331&amp;"|"&amp;F331&amp;"|"&amp;G331&amp;"|"&amp;H331&amp;"|"&amp;I331&amp;"|"&amp;J331&amp;"|"&amp;K331&amp;"|"&amp;L331&amp;"|"&amp;M331&amp;"|"&amp;N331&amp;"|"&amp;O331&amp;"|"&amp;P331</f>
        <v/>
      </c>
      <c r="R331" s="10">
        <f>IF(COUNTIF($Q$2:$Q$1409,Q331)&gt;1,IF(COUNTIF($Q$2:Q331,Q331)=1,"Exact Duplicate - Keep First","Exact Duplicate - Remove"),"Unique")</f>
        <v/>
      </c>
    </row>
    <row r="332" ht="15" customHeight="1" s="11">
      <c r="A332" s="10" t="inlineStr">
        <is>
          <t>USR-100331</t>
        </is>
      </c>
      <c r="B332" s="14" t="n">
        <v>45701</v>
      </c>
      <c r="C332" s="10" t="inlineStr">
        <is>
          <t>Control</t>
        </is>
      </c>
      <c r="D332" s="10" t="inlineStr">
        <is>
          <t>East</t>
        </is>
      </c>
      <c r="E332" s="10" t="inlineStr">
        <is>
          <t>Mobile</t>
        </is>
      </c>
      <c r="F332" s="10" t="inlineStr">
        <is>
          <t>Organic</t>
        </is>
      </c>
      <c r="G332" s="10" t="inlineStr">
        <is>
          <t>Free</t>
        </is>
      </c>
      <c r="H332" s="10" t="n">
        <v>1</v>
      </c>
      <c r="I332" s="10" t="n">
        <v>1</v>
      </c>
      <c r="J332" s="10" t="n">
        <v>1</v>
      </c>
      <c r="K332" s="10" t="n">
        <v>1</v>
      </c>
      <c r="L332" s="10" t="n">
        <v>426.82</v>
      </c>
      <c r="M332" s="10" t="n">
        <v>1</v>
      </c>
      <c r="N332" s="10" t="n">
        <v>0</v>
      </c>
      <c r="O332" s="10" t="n">
        <v>14</v>
      </c>
      <c r="P332" s="10" t="n">
        <v>68.8</v>
      </c>
      <c r="Q332" s="10">
        <f>A332&amp;"|"&amp;B332&amp;"|"&amp;C332&amp;"|"&amp;D332&amp;"|"&amp;E332&amp;"|"&amp;F332&amp;"|"&amp;G332&amp;"|"&amp;H332&amp;"|"&amp;I332&amp;"|"&amp;J332&amp;"|"&amp;K332&amp;"|"&amp;L332&amp;"|"&amp;M332&amp;"|"&amp;N332&amp;"|"&amp;O332&amp;"|"&amp;P332</f>
        <v/>
      </c>
      <c r="R332" s="10">
        <f>IF(COUNTIF($Q$2:$Q$1409,Q332)&gt;1,IF(COUNTIF($Q$2:Q332,Q332)=1,"Exact Duplicate - Keep First","Exact Duplicate - Remove"),"Unique")</f>
        <v/>
      </c>
    </row>
    <row r="333" ht="15" customHeight="1" s="11">
      <c r="A333" s="10" t="inlineStr">
        <is>
          <t>USR-100332</t>
        </is>
      </c>
      <c r="B333" s="14" t="n">
        <v>45780</v>
      </c>
      <c r="C333" s="10" t="inlineStr">
        <is>
          <t>Control</t>
        </is>
      </c>
      <c r="D333" s="10" t="inlineStr">
        <is>
          <t>North</t>
        </is>
      </c>
      <c r="E333" s="10" t="inlineStr">
        <is>
          <t>Mobile</t>
        </is>
      </c>
      <c r="F333" s="10" t="inlineStr">
        <is>
          <t>Organic</t>
        </is>
      </c>
      <c r="G333" s="10" t="inlineStr">
        <is>
          <t>Basic</t>
        </is>
      </c>
      <c r="H333" s="10" t="n">
        <v>1</v>
      </c>
      <c r="I333" s="10" t="n">
        <v>0</v>
      </c>
      <c r="J333" s="10" t="n">
        <v>0</v>
      </c>
      <c r="K333" s="10" t="n">
        <v>0</v>
      </c>
      <c r="L333" s="10" t="n">
        <v>0</v>
      </c>
      <c r="M333" s="10" t="n">
        <v>0</v>
      </c>
      <c r="N333" s="10" t="n">
        <v>0</v>
      </c>
      <c r="P333" s="10" t="n">
        <v>72.40000000000001</v>
      </c>
      <c r="Q333" s="10">
        <f>A333&amp;"|"&amp;B333&amp;"|"&amp;C333&amp;"|"&amp;D333&amp;"|"&amp;E333&amp;"|"&amp;F333&amp;"|"&amp;G333&amp;"|"&amp;H333&amp;"|"&amp;I333&amp;"|"&amp;J333&amp;"|"&amp;K333&amp;"|"&amp;L333&amp;"|"&amp;M333&amp;"|"&amp;N333&amp;"|"&amp;O333&amp;"|"&amp;P333</f>
        <v/>
      </c>
      <c r="R333" s="10">
        <f>IF(COUNTIF($Q$2:$Q$1409,Q333)&gt;1,IF(COUNTIF($Q$2:Q333,Q333)=1,"Exact Duplicate - Keep First","Exact Duplicate - Remove"),"Unique")</f>
        <v/>
      </c>
    </row>
    <row r="334" ht="15" customHeight="1" s="11">
      <c r="A334" s="10" t="inlineStr">
        <is>
          <t>USR-100333</t>
        </is>
      </c>
      <c r="B334" s="14" t="n">
        <v>45726</v>
      </c>
      <c r="C334" s="10" t="inlineStr">
        <is>
          <t>Control</t>
        </is>
      </c>
      <c r="D334" s="10" t="inlineStr">
        <is>
          <t>East</t>
        </is>
      </c>
      <c r="E334" s="10" t="inlineStr">
        <is>
          <t>Mobile</t>
        </is>
      </c>
      <c r="F334" s="10" t="inlineStr">
        <is>
          <t>Organic</t>
        </is>
      </c>
      <c r="G334" s="10" t="inlineStr">
        <is>
          <t>Basic</t>
        </is>
      </c>
      <c r="H334" s="10" t="n">
        <v>0</v>
      </c>
      <c r="I334" s="10" t="n">
        <v>0</v>
      </c>
      <c r="J334" s="10" t="n">
        <v>0</v>
      </c>
      <c r="K334" s="10" t="n">
        <v>0</v>
      </c>
      <c r="L334" s="10" t="n">
        <v>0</v>
      </c>
      <c r="M334" s="10" t="n">
        <v>0</v>
      </c>
      <c r="N334" s="10" t="n">
        <v>0</v>
      </c>
      <c r="P334" s="10" t="n">
        <v>63.3</v>
      </c>
      <c r="Q334" s="10">
        <f>A334&amp;"|"&amp;B334&amp;"|"&amp;C334&amp;"|"&amp;D334&amp;"|"&amp;E334&amp;"|"&amp;F334&amp;"|"&amp;G334&amp;"|"&amp;H334&amp;"|"&amp;I334&amp;"|"&amp;J334&amp;"|"&amp;K334&amp;"|"&amp;L334&amp;"|"&amp;M334&amp;"|"&amp;N334&amp;"|"&amp;O334&amp;"|"&amp;P334</f>
        <v/>
      </c>
      <c r="R334" s="10">
        <f>IF(COUNTIF($Q$2:$Q$1409,Q334)&gt;1,IF(COUNTIF($Q$2:Q334,Q334)=1,"Exact Duplicate - Keep First","Exact Duplicate - Remove"),"Unique")</f>
        <v/>
      </c>
    </row>
    <row r="335" ht="15" customHeight="1" s="11">
      <c r="A335" s="10" t="inlineStr">
        <is>
          <t>USR-100334</t>
        </is>
      </c>
      <c r="B335" s="14" t="n">
        <v>45667</v>
      </c>
      <c r="C335" s="10" t="inlineStr">
        <is>
          <t>Control</t>
        </is>
      </c>
      <c r="D335" s="10" t="inlineStr">
        <is>
          <t>West</t>
        </is>
      </c>
      <c r="E335" s="10" t="inlineStr">
        <is>
          <t>Tablet</t>
        </is>
      </c>
      <c r="F335" s="10" t="inlineStr">
        <is>
          <t>Social</t>
        </is>
      </c>
      <c r="G335" s="10" t="inlineStr">
        <is>
          <t>Free</t>
        </is>
      </c>
      <c r="H335" s="10" t="n">
        <v>1</v>
      </c>
      <c r="I335" s="10" t="n">
        <v>0</v>
      </c>
      <c r="J335" s="10" t="n">
        <v>0</v>
      </c>
      <c r="K335" s="10" t="n">
        <v>0</v>
      </c>
      <c r="L335" s="10" t="n">
        <v>0</v>
      </c>
      <c r="M335" s="10" t="n">
        <v>0</v>
      </c>
      <c r="N335" s="10" t="n">
        <v>0</v>
      </c>
      <c r="P335" s="10" t="n">
        <v>30.8</v>
      </c>
      <c r="Q335" s="10">
        <f>A335&amp;"|"&amp;B335&amp;"|"&amp;C335&amp;"|"&amp;D335&amp;"|"&amp;E335&amp;"|"&amp;F335&amp;"|"&amp;G335&amp;"|"&amp;H335&amp;"|"&amp;I335&amp;"|"&amp;J335&amp;"|"&amp;K335&amp;"|"&amp;L335&amp;"|"&amp;M335&amp;"|"&amp;N335&amp;"|"&amp;O335&amp;"|"&amp;P335</f>
        <v/>
      </c>
      <c r="R335" s="10">
        <f>IF(COUNTIF($Q$2:$Q$1409,Q335)&gt;1,IF(COUNTIF($Q$2:Q335,Q335)=1,"Exact Duplicate - Keep First","Exact Duplicate - Remove"),"Unique")</f>
        <v/>
      </c>
    </row>
    <row r="336" ht="15" customHeight="1" s="11">
      <c r="A336" s="10" t="inlineStr">
        <is>
          <t>USR-100335</t>
        </is>
      </c>
      <c r="B336" s="14" t="n">
        <v>45673</v>
      </c>
      <c r="C336" s="10" t="inlineStr">
        <is>
          <t>Control</t>
        </is>
      </c>
      <c r="D336" s="10" t="inlineStr">
        <is>
          <t>South</t>
        </is>
      </c>
      <c r="E336" s="10" t="inlineStr">
        <is>
          <t>Mobile</t>
        </is>
      </c>
      <c r="F336" s="10" t="inlineStr">
        <is>
          <t>Email</t>
        </is>
      </c>
      <c r="G336" s="10" t="inlineStr">
        <is>
          <t>Basic</t>
        </is>
      </c>
      <c r="H336" s="10" t="n">
        <v>1</v>
      </c>
      <c r="I336" s="10" t="n">
        <v>1</v>
      </c>
      <c r="J336" s="10" t="n">
        <v>1</v>
      </c>
      <c r="K336" s="10" t="n">
        <v>1</v>
      </c>
      <c r="L336" s="10" t="n">
        <v>874.55</v>
      </c>
      <c r="M336" s="10" t="n">
        <v>0</v>
      </c>
      <c r="N336" s="10" t="n">
        <v>0</v>
      </c>
      <c r="O336" s="10" t="n">
        <v>9</v>
      </c>
      <c r="P336" s="10" t="n">
        <v>44.2</v>
      </c>
      <c r="Q336" s="10">
        <f>A336&amp;"|"&amp;B336&amp;"|"&amp;C336&amp;"|"&amp;D336&amp;"|"&amp;E336&amp;"|"&amp;F336&amp;"|"&amp;G336&amp;"|"&amp;H336&amp;"|"&amp;I336&amp;"|"&amp;J336&amp;"|"&amp;K336&amp;"|"&amp;L336&amp;"|"&amp;M336&amp;"|"&amp;N336&amp;"|"&amp;O336&amp;"|"&amp;P336</f>
        <v/>
      </c>
      <c r="R336" s="10">
        <f>IF(COUNTIF($Q$2:$Q$1409,Q336)&gt;1,IF(COUNTIF($Q$2:Q336,Q336)=1,"Exact Duplicate - Keep First","Exact Duplicate - Remove"),"Unique")</f>
        <v/>
      </c>
    </row>
    <row r="337" ht="15" customHeight="1" s="11">
      <c r="A337" s="10" t="inlineStr">
        <is>
          <t>USR-100336</t>
        </is>
      </c>
      <c r="B337" s="14" t="n">
        <v>45699</v>
      </c>
      <c r="C337" s="10" t="inlineStr">
        <is>
          <t>Control</t>
        </is>
      </c>
      <c r="D337" s="10" t="inlineStr">
        <is>
          <t>South</t>
        </is>
      </c>
      <c r="E337" s="10" t="inlineStr">
        <is>
          <t>Desktop</t>
        </is>
      </c>
      <c r="F337" s="10" t="inlineStr">
        <is>
          <t>Organic</t>
        </is>
      </c>
      <c r="G337" s="10" t="inlineStr">
        <is>
          <t>Premium</t>
        </is>
      </c>
      <c r="H337" s="10" t="n">
        <v>1</v>
      </c>
      <c r="I337" s="10" t="n">
        <v>1</v>
      </c>
      <c r="J337" s="10" t="n">
        <v>1</v>
      </c>
      <c r="K337" s="10" t="n">
        <v>1</v>
      </c>
      <c r="L337" s="10" t="n">
        <v>2206.88</v>
      </c>
      <c r="M337" s="10" t="n">
        <v>0</v>
      </c>
      <c r="N337" s="10" t="n">
        <v>0</v>
      </c>
      <c r="O337" s="10" t="n">
        <v>10</v>
      </c>
      <c r="P337" s="10" t="n">
        <v>56.2</v>
      </c>
      <c r="Q337" s="10">
        <f>A337&amp;"|"&amp;B337&amp;"|"&amp;C337&amp;"|"&amp;D337&amp;"|"&amp;E337&amp;"|"&amp;F337&amp;"|"&amp;G337&amp;"|"&amp;H337&amp;"|"&amp;I337&amp;"|"&amp;J337&amp;"|"&amp;K337&amp;"|"&amp;L337&amp;"|"&amp;M337&amp;"|"&amp;N337&amp;"|"&amp;O337&amp;"|"&amp;P337</f>
        <v/>
      </c>
      <c r="R337" s="10">
        <f>IF(COUNTIF($Q$2:$Q$1409,Q337)&gt;1,IF(COUNTIF($Q$2:Q337,Q337)=1,"Exact Duplicate - Keep First","Exact Duplicate - Remove"),"Unique")</f>
        <v/>
      </c>
    </row>
    <row r="338" ht="15" customHeight="1" s="11">
      <c r="A338" s="10" t="inlineStr">
        <is>
          <t>USR-100337</t>
        </is>
      </c>
      <c r="B338" s="14" t="n">
        <v>45760</v>
      </c>
      <c r="C338" s="10" t="inlineStr">
        <is>
          <t>Control</t>
        </is>
      </c>
      <c r="D338" s="10" t="inlineStr">
        <is>
          <t>West</t>
        </is>
      </c>
      <c r="E338" s="10" t="inlineStr">
        <is>
          <t>Mobile</t>
        </is>
      </c>
      <c r="F338" s="10" t="inlineStr">
        <is>
          <t>Organic</t>
        </is>
      </c>
      <c r="G338" s="10" t="inlineStr">
        <is>
          <t>Free</t>
        </is>
      </c>
      <c r="H338" s="10" t="n">
        <v>0</v>
      </c>
      <c r="I338" s="10" t="n">
        <v>0</v>
      </c>
      <c r="J338" s="10" t="n">
        <v>0</v>
      </c>
      <c r="K338" s="10" t="n">
        <v>0</v>
      </c>
      <c r="L338" s="10" t="n">
        <v>0</v>
      </c>
      <c r="M338" s="10" t="n">
        <v>0</v>
      </c>
      <c r="N338" s="10" t="n">
        <v>0</v>
      </c>
      <c r="P338" s="10" t="n">
        <v>40.4</v>
      </c>
      <c r="Q338" s="10">
        <f>A338&amp;"|"&amp;B338&amp;"|"&amp;C338&amp;"|"&amp;D338&amp;"|"&amp;E338&amp;"|"&amp;F338&amp;"|"&amp;G338&amp;"|"&amp;H338&amp;"|"&amp;I338&amp;"|"&amp;J338&amp;"|"&amp;K338&amp;"|"&amp;L338&amp;"|"&amp;M338&amp;"|"&amp;N338&amp;"|"&amp;O338&amp;"|"&amp;P338</f>
        <v/>
      </c>
      <c r="R338" s="10">
        <f>IF(COUNTIF($Q$2:$Q$1409,Q338)&gt;1,IF(COUNTIF($Q$2:Q338,Q338)=1,"Exact Duplicate - Keep First","Exact Duplicate - Remove"),"Unique")</f>
        <v/>
      </c>
    </row>
    <row r="339" ht="15" customHeight="1" s="11">
      <c r="A339" s="10" t="inlineStr">
        <is>
          <t>USR-100338</t>
        </is>
      </c>
      <c r="B339" s="14" t="n">
        <v>45696</v>
      </c>
      <c r="C339" s="10" t="inlineStr">
        <is>
          <t>Control</t>
        </is>
      </c>
      <c r="D339" s="10" t="inlineStr">
        <is>
          <t>East</t>
        </is>
      </c>
      <c r="E339" s="10" t="inlineStr">
        <is>
          <t>Mobile</t>
        </is>
      </c>
      <c r="F339" s="10" t="inlineStr">
        <is>
          <t>Paid Search</t>
        </is>
      </c>
      <c r="G339" s="10" t="inlineStr">
        <is>
          <t>Free</t>
        </is>
      </c>
      <c r="H339" s="10" t="n">
        <v>1</v>
      </c>
      <c r="I339" s="10" t="n">
        <v>1</v>
      </c>
      <c r="J339" s="10" t="n">
        <v>1</v>
      </c>
      <c r="K339" s="10" t="n">
        <v>0</v>
      </c>
      <c r="L339" s="10" t="n">
        <v>0</v>
      </c>
      <c r="M339" s="10" t="n">
        <v>0</v>
      </c>
      <c r="N339" s="10" t="n">
        <v>0</v>
      </c>
      <c r="P339" s="10" t="n">
        <v>68.09999999999999</v>
      </c>
      <c r="Q339" s="10">
        <f>A339&amp;"|"&amp;B339&amp;"|"&amp;C339&amp;"|"&amp;D339&amp;"|"&amp;E339&amp;"|"&amp;F339&amp;"|"&amp;G339&amp;"|"&amp;H339&amp;"|"&amp;I339&amp;"|"&amp;J339&amp;"|"&amp;K339&amp;"|"&amp;L339&amp;"|"&amp;M339&amp;"|"&amp;N339&amp;"|"&amp;O339&amp;"|"&amp;P339</f>
        <v/>
      </c>
      <c r="R339" s="10">
        <f>IF(COUNTIF($Q$2:$Q$1409,Q339)&gt;1,IF(COUNTIF($Q$2:Q339,Q339)=1,"Exact Duplicate - Keep First","Exact Duplicate - Remove"),"Unique")</f>
        <v/>
      </c>
    </row>
    <row r="340" ht="15" customHeight="1" s="11">
      <c r="A340" s="10" t="inlineStr">
        <is>
          <t>USR-100339</t>
        </is>
      </c>
      <c r="B340" s="14" t="n">
        <v>45747</v>
      </c>
      <c r="C340" s="10" t="inlineStr">
        <is>
          <t>Control</t>
        </is>
      </c>
      <c r="D340" s="10" t="inlineStr">
        <is>
          <t>West</t>
        </is>
      </c>
      <c r="E340" s="10" t="inlineStr">
        <is>
          <t>Desktop</t>
        </is>
      </c>
      <c r="F340" s="10" t="inlineStr">
        <is>
          <t>Referral</t>
        </is>
      </c>
      <c r="G340" s="10" t="inlineStr">
        <is>
          <t>Free</t>
        </is>
      </c>
      <c r="H340" s="10" t="n">
        <v>1</v>
      </c>
      <c r="I340" s="10" t="n">
        <v>0</v>
      </c>
      <c r="J340" s="10" t="n">
        <v>0</v>
      </c>
      <c r="K340" s="10" t="n">
        <v>0</v>
      </c>
      <c r="L340" s="10" t="n">
        <v>0</v>
      </c>
      <c r="M340" s="10" t="n">
        <v>0</v>
      </c>
      <c r="N340" s="10" t="n">
        <v>0</v>
      </c>
      <c r="P340" s="10" t="n">
        <v>86.3</v>
      </c>
      <c r="Q340" s="10">
        <f>A340&amp;"|"&amp;B340&amp;"|"&amp;C340&amp;"|"&amp;D340&amp;"|"&amp;E340&amp;"|"&amp;F340&amp;"|"&amp;G340&amp;"|"&amp;H340&amp;"|"&amp;I340&amp;"|"&amp;J340&amp;"|"&amp;K340&amp;"|"&amp;L340&amp;"|"&amp;M340&amp;"|"&amp;N340&amp;"|"&amp;O340&amp;"|"&amp;P340</f>
        <v/>
      </c>
      <c r="R340" s="10">
        <f>IF(COUNTIF($Q$2:$Q$1409,Q340)&gt;1,IF(COUNTIF($Q$2:Q340,Q340)=1,"Exact Duplicate - Keep First","Exact Duplicate - Remove"),"Unique")</f>
        <v/>
      </c>
    </row>
    <row r="341" ht="15" customHeight="1" s="11">
      <c r="A341" s="10" t="inlineStr">
        <is>
          <t>USR-100340</t>
        </is>
      </c>
      <c r="B341" s="14" t="n">
        <v>45688</v>
      </c>
      <c r="C341" s="10" t="inlineStr">
        <is>
          <t>Control</t>
        </is>
      </c>
      <c r="D341" s="10" t="inlineStr">
        <is>
          <t>West</t>
        </is>
      </c>
      <c r="E341" s="10" t="inlineStr">
        <is>
          <t>Desktop</t>
        </is>
      </c>
      <c r="F341" s="10" t="inlineStr">
        <is>
          <t>Referral</t>
        </is>
      </c>
      <c r="G341" s="10" t="inlineStr">
        <is>
          <t>Free</t>
        </is>
      </c>
      <c r="H341" s="10" t="n">
        <v>1</v>
      </c>
      <c r="I341" s="10" t="n">
        <v>1</v>
      </c>
      <c r="J341" s="10" t="n">
        <v>0</v>
      </c>
      <c r="K341" s="10" t="n">
        <v>0</v>
      </c>
      <c r="L341" s="10" t="n">
        <v>0</v>
      </c>
      <c r="M341" s="10" t="n">
        <v>0</v>
      </c>
      <c r="N341" s="10" t="n">
        <v>0</v>
      </c>
      <c r="P341" s="10" t="n">
        <v>42.9</v>
      </c>
      <c r="Q341" s="10">
        <f>A341&amp;"|"&amp;B341&amp;"|"&amp;C341&amp;"|"&amp;D341&amp;"|"&amp;E341&amp;"|"&amp;F341&amp;"|"&amp;G341&amp;"|"&amp;H341&amp;"|"&amp;I341&amp;"|"&amp;J341&amp;"|"&amp;K341&amp;"|"&amp;L341&amp;"|"&amp;M341&amp;"|"&amp;N341&amp;"|"&amp;O341&amp;"|"&amp;P341</f>
        <v/>
      </c>
      <c r="R341" s="10">
        <f>IF(COUNTIF($Q$2:$Q$1409,Q341)&gt;1,IF(COUNTIF($Q$2:Q341,Q341)=1,"Exact Duplicate - Keep First","Exact Duplicate - Remove"),"Unique")</f>
        <v/>
      </c>
    </row>
    <row r="342" ht="15" customHeight="1" s="11">
      <c r="A342" s="10" t="inlineStr">
        <is>
          <t>USR-100341</t>
        </is>
      </c>
      <c r="B342" s="14" t="n">
        <v>45785</v>
      </c>
      <c r="C342" s="10" t="inlineStr">
        <is>
          <t>Control</t>
        </is>
      </c>
      <c r="D342" s="10" t="inlineStr">
        <is>
          <t>West</t>
        </is>
      </c>
      <c r="E342" s="10" t="inlineStr">
        <is>
          <t>Tablet</t>
        </is>
      </c>
      <c r="F342" s="10" t="inlineStr">
        <is>
          <t>Organic</t>
        </is>
      </c>
      <c r="G342" s="10" t="inlineStr">
        <is>
          <t>Free</t>
        </is>
      </c>
      <c r="H342" s="10" t="n">
        <v>0</v>
      </c>
      <c r="I342" s="10" t="n">
        <v>0</v>
      </c>
      <c r="J342" s="10" t="n">
        <v>0</v>
      </c>
      <c r="K342" s="10" t="n">
        <v>0</v>
      </c>
      <c r="L342" s="10" t="n">
        <v>0</v>
      </c>
      <c r="M342" s="10" t="n">
        <v>0</v>
      </c>
      <c r="N342" s="10" t="n">
        <v>0</v>
      </c>
      <c r="P342" s="10" t="n">
        <v>61.4</v>
      </c>
      <c r="Q342" s="10">
        <f>A342&amp;"|"&amp;B342&amp;"|"&amp;C342&amp;"|"&amp;D342&amp;"|"&amp;E342&amp;"|"&amp;F342&amp;"|"&amp;G342&amp;"|"&amp;H342&amp;"|"&amp;I342&amp;"|"&amp;J342&amp;"|"&amp;K342&amp;"|"&amp;L342&amp;"|"&amp;M342&amp;"|"&amp;N342&amp;"|"&amp;O342&amp;"|"&amp;P342</f>
        <v/>
      </c>
      <c r="R342" s="10">
        <f>IF(COUNTIF($Q$2:$Q$1409,Q342)&gt;1,IF(COUNTIF($Q$2:Q342,Q342)=1,"Exact Duplicate - Keep First","Exact Duplicate - Remove"),"Unique")</f>
        <v/>
      </c>
    </row>
    <row r="343" ht="15" customHeight="1" s="11">
      <c r="A343" s="10" t="inlineStr">
        <is>
          <t>USR-100342</t>
        </is>
      </c>
      <c r="B343" s="14" t="n">
        <v>45731</v>
      </c>
      <c r="C343" s="10" t="inlineStr">
        <is>
          <t>Control</t>
        </is>
      </c>
      <c r="D343" s="10" t="inlineStr">
        <is>
          <t>North</t>
        </is>
      </c>
      <c r="E343" s="10" t="inlineStr">
        <is>
          <t>Mobile</t>
        </is>
      </c>
      <c r="F343" s="10" t="inlineStr">
        <is>
          <t>Paid Search</t>
        </is>
      </c>
      <c r="G343" s="10" t="inlineStr">
        <is>
          <t>Free</t>
        </is>
      </c>
      <c r="H343" s="10" t="n">
        <v>1</v>
      </c>
      <c r="I343" s="10" t="n">
        <v>0</v>
      </c>
      <c r="J343" s="10" t="n">
        <v>0</v>
      </c>
      <c r="K343" s="10" t="n">
        <v>0</v>
      </c>
      <c r="L343" s="10" t="n">
        <v>0</v>
      </c>
      <c r="M343" s="10" t="n">
        <v>1</v>
      </c>
      <c r="N343" s="10" t="n">
        <v>0</v>
      </c>
      <c r="P343" s="10" t="n">
        <v>73.3</v>
      </c>
      <c r="Q343" s="10">
        <f>A343&amp;"|"&amp;B343&amp;"|"&amp;C343&amp;"|"&amp;D343&amp;"|"&amp;E343&amp;"|"&amp;F343&amp;"|"&amp;G343&amp;"|"&amp;H343&amp;"|"&amp;I343&amp;"|"&amp;J343&amp;"|"&amp;K343&amp;"|"&amp;L343&amp;"|"&amp;M343&amp;"|"&amp;N343&amp;"|"&amp;O343&amp;"|"&amp;P343</f>
        <v/>
      </c>
      <c r="R343" s="10">
        <f>IF(COUNTIF($Q$2:$Q$1409,Q343)&gt;1,IF(COUNTIF($Q$2:Q343,Q343)=1,"Exact Duplicate - Keep First","Exact Duplicate - Remove"),"Unique")</f>
        <v/>
      </c>
    </row>
    <row r="344" ht="15" customHeight="1" s="11">
      <c r="A344" s="10" t="inlineStr">
        <is>
          <t>USR-100343</t>
        </is>
      </c>
      <c r="B344" s="14" t="n">
        <v>45670</v>
      </c>
      <c r="C344" s="10" t="inlineStr">
        <is>
          <t>Control</t>
        </is>
      </c>
      <c r="D344" s="10" t="inlineStr">
        <is>
          <t>South</t>
        </is>
      </c>
      <c r="E344" s="10" t="inlineStr">
        <is>
          <t>Mobile</t>
        </is>
      </c>
      <c r="F344" s="10" t="inlineStr">
        <is>
          <t>Referral</t>
        </is>
      </c>
      <c r="G344" s="10" t="inlineStr">
        <is>
          <t>Basic</t>
        </is>
      </c>
      <c r="H344" s="10" t="n">
        <v>1</v>
      </c>
      <c r="I344" s="10" t="n">
        <v>0</v>
      </c>
      <c r="J344" s="10" t="n">
        <v>0</v>
      </c>
      <c r="K344" s="10" t="n">
        <v>0</v>
      </c>
      <c r="L344" s="10" t="n">
        <v>0</v>
      </c>
      <c r="M344" s="10" t="n">
        <v>0</v>
      </c>
      <c r="N344" s="10" t="n">
        <v>0</v>
      </c>
      <c r="P344" s="10" t="n">
        <v>59.4</v>
      </c>
      <c r="Q344" s="10">
        <f>A344&amp;"|"&amp;B344&amp;"|"&amp;C344&amp;"|"&amp;D344&amp;"|"&amp;E344&amp;"|"&amp;F344&amp;"|"&amp;G344&amp;"|"&amp;H344&amp;"|"&amp;I344&amp;"|"&amp;J344&amp;"|"&amp;K344&amp;"|"&amp;L344&amp;"|"&amp;M344&amp;"|"&amp;N344&amp;"|"&amp;O344&amp;"|"&amp;P344</f>
        <v/>
      </c>
      <c r="R344" s="10">
        <f>IF(COUNTIF($Q$2:$Q$1409,Q344)&gt;1,IF(COUNTIF($Q$2:Q344,Q344)=1,"Exact Duplicate - Keep First","Exact Duplicate - Remove"),"Unique")</f>
        <v/>
      </c>
    </row>
    <row r="345" ht="15" customHeight="1" s="11">
      <c r="A345" s="10" t="inlineStr">
        <is>
          <t>USR-100344</t>
        </is>
      </c>
      <c r="B345" s="14" t="n">
        <v>45723</v>
      </c>
      <c r="C345" s="10" t="inlineStr">
        <is>
          <t>Control</t>
        </is>
      </c>
      <c r="D345" s="10" t="inlineStr">
        <is>
          <t>South</t>
        </is>
      </c>
      <c r="E345" s="10" t="inlineStr">
        <is>
          <t>Tablet</t>
        </is>
      </c>
      <c r="F345" s="10" t="inlineStr">
        <is>
          <t>Organic</t>
        </is>
      </c>
      <c r="G345" s="10" t="inlineStr">
        <is>
          <t>Basic</t>
        </is>
      </c>
      <c r="H345" s="10" t="n">
        <v>1</v>
      </c>
      <c r="I345" s="10" t="n">
        <v>0</v>
      </c>
      <c r="J345" s="10" t="n">
        <v>0</v>
      </c>
      <c r="K345" s="10" t="n">
        <v>0</v>
      </c>
      <c r="L345" s="10" t="n">
        <v>0</v>
      </c>
      <c r="M345" s="10" t="n">
        <v>0</v>
      </c>
      <c r="N345" s="10" t="n">
        <v>0</v>
      </c>
      <c r="P345" s="10" t="n">
        <v>35.2</v>
      </c>
      <c r="Q345" s="10">
        <f>A345&amp;"|"&amp;B345&amp;"|"&amp;C345&amp;"|"&amp;D345&amp;"|"&amp;E345&amp;"|"&amp;F345&amp;"|"&amp;G345&amp;"|"&amp;H345&amp;"|"&amp;I345&amp;"|"&amp;J345&amp;"|"&amp;K345&amp;"|"&amp;L345&amp;"|"&amp;M345&amp;"|"&amp;N345&amp;"|"&amp;O345&amp;"|"&amp;P345</f>
        <v/>
      </c>
      <c r="R345" s="10">
        <f>IF(COUNTIF($Q$2:$Q$1409,Q345)&gt;1,IF(COUNTIF($Q$2:Q345,Q345)=1,"Exact Duplicate - Keep First","Exact Duplicate - Remove"),"Unique")</f>
        <v/>
      </c>
    </row>
    <row r="346" ht="15" customHeight="1" s="11">
      <c r="A346" s="10" t="inlineStr">
        <is>
          <t>USR-100345</t>
        </is>
      </c>
      <c r="B346" s="14" t="n">
        <v>45698</v>
      </c>
      <c r="C346" s="10" t="inlineStr">
        <is>
          <t>Control</t>
        </is>
      </c>
      <c r="D346" s="10" t="inlineStr">
        <is>
          <t>South</t>
        </is>
      </c>
      <c r="E346" s="10" t="inlineStr">
        <is>
          <t>Mobile</t>
        </is>
      </c>
      <c r="F346" s="10" t="inlineStr">
        <is>
          <t>Social</t>
        </is>
      </c>
      <c r="G346" s="10" t="inlineStr">
        <is>
          <t>Premium</t>
        </is>
      </c>
      <c r="H346" s="10" t="n">
        <v>1</v>
      </c>
      <c r="I346" s="10" t="n">
        <v>1</v>
      </c>
      <c r="J346" s="10" t="n">
        <v>0</v>
      </c>
      <c r="K346" s="10" t="n">
        <v>0</v>
      </c>
      <c r="L346" s="10" t="n">
        <v>0</v>
      </c>
      <c r="M346" s="10" t="n">
        <v>0</v>
      </c>
      <c r="N346" s="10" t="n">
        <v>0</v>
      </c>
      <c r="P346" s="10" t="n">
        <v>55.3</v>
      </c>
      <c r="Q346" s="10">
        <f>A346&amp;"|"&amp;B346&amp;"|"&amp;C346&amp;"|"&amp;D346&amp;"|"&amp;E346&amp;"|"&amp;F346&amp;"|"&amp;G346&amp;"|"&amp;H346&amp;"|"&amp;I346&amp;"|"&amp;J346&amp;"|"&amp;K346&amp;"|"&amp;L346&amp;"|"&amp;M346&amp;"|"&amp;N346&amp;"|"&amp;O346&amp;"|"&amp;P346</f>
        <v/>
      </c>
      <c r="R346" s="10">
        <f>IF(COUNTIF($Q$2:$Q$1409,Q346)&gt;1,IF(COUNTIF($Q$2:Q346,Q346)=1,"Exact Duplicate - Keep First","Exact Duplicate - Remove"),"Unique")</f>
        <v/>
      </c>
    </row>
    <row r="347" ht="15" customHeight="1" s="11">
      <c r="A347" s="10" t="inlineStr">
        <is>
          <t>USR-100346</t>
        </is>
      </c>
      <c r="B347" s="14" t="n">
        <v>45728</v>
      </c>
      <c r="C347" s="10" t="inlineStr">
        <is>
          <t>Control</t>
        </is>
      </c>
      <c r="D347" s="10" t="inlineStr">
        <is>
          <t>East</t>
        </is>
      </c>
      <c r="E347" s="10" t="inlineStr">
        <is>
          <t>Mobile</t>
        </is>
      </c>
      <c r="F347" s="10" t="inlineStr">
        <is>
          <t>Paid Search</t>
        </is>
      </c>
      <c r="G347" s="10" t="inlineStr">
        <is>
          <t>Free</t>
        </is>
      </c>
      <c r="H347" s="10" t="n">
        <v>0</v>
      </c>
      <c r="I347" s="10" t="n">
        <v>0</v>
      </c>
      <c r="J347" s="10" t="n">
        <v>0</v>
      </c>
      <c r="K347" s="10" t="n">
        <v>0</v>
      </c>
      <c r="L347" s="10" t="n">
        <v>0</v>
      </c>
      <c r="M347" s="10" t="n">
        <v>0</v>
      </c>
      <c r="N347" s="10" t="n">
        <v>0</v>
      </c>
      <c r="P347" s="10" t="n">
        <v>37.5</v>
      </c>
      <c r="Q347" s="10">
        <f>A347&amp;"|"&amp;B347&amp;"|"&amp;C347&amp;"|"&amp;D347&amp;"|"&amp;E347&amp;"|"&amp;F347&amp;"|"&amp;G347&amp;"|"&amp;H347&amp;"|"&amp;I347&amp;"|"&amp;J347&amp;"|"&amp;K347&amp;"|"&amp;L347&amp;"|"&amp;M347&amp;"|"&amp;N347&amp;"|"&amp;O347&amp;"|"&amp;P347</f>
        <v/>
      </c>
      <c r="R347" s="10">
        <f>IF(COUNTIF($Q$2:$Q$1409,Q347)&gt;1,IF(COUNTIF($Q$2:Q347,Q347)=1,"Exact Duplicate - Keep First","Exact Duplicate - Remove"),"Unique")</f>
        <v/>
      </c>
    </row>
    <row r="348" ht="15" customHeight="1" s="11">
      <c r="A348" s="10" t="inlineStr">
        <is>
          <t>USR-100347</t>
        </is>
      </c>
      <c r="B348" s="14" t="n">
        <v>45660</v>
      </c>
      <c r="C348" s="10" t="inlineStr">
        <is>
          <t>Control</t>
        </is>
      </c>
      <c r="D348" s="10" t="inlineStr">
        <is>
          <t>South</t>
        </is>
      </c>
      <c r="E348" s="10" t="inlineStr">
        <is>
          <t>Desktop</t>
        </is>
      </c>
      <c r="F348" s="10" t="inlineStr">
        <is>
          <t>Paid Search</t>
        </is>
      </c>
      <c r="G348" s="10" t="inlineStr">
        <is>
          <t>Free</t>
        </is>
      </c>
      <c r="H348" s="10" t="n">
        <v>0</v>
      </c>
      <c r="I348" s="10" t="n">
        <v>0</v>
      </c>
      <c r="J348" s="10" t="n">
        <v>0</v>
      </c>
      <c r="K348" s="10" t="n">
        <v>0</v>
      </c>
      <c r="L348" s="10" t="n">
        <v>0</v>
      </c>
      <c r="M348" s="10" t="n">
        <v>1</v>
      </c>
      <c r="N348" s="10" t="n">
        <v>0</v>
      </c>
      <c r="P348" s="10" t="n">
        <v>66.40000000000001</v>
      </c>
      <c r="Q348" s="10">
        <f>A348&amp;"|"&amp;B348&amp;"|"&amp;C348&amp;"|"&amp;D348&amp;"|"&amp;E348&amp;"|"&amp;F348&amp;"|"&amp;G348&amp;"|"&amp;H348&amp;"|"&amp;I348&amp;"|"&amp;J348&amp;"|"&amp;K348&amp;"|"&amp;L348&amp;"|"&amp;M348&amp;"|"&amp;N348&amp;"|"&amp;O348&amp;"|"&amp;P348</f>
        <v/>
      </c>
      <c r="R348" s="10">
        <f>IF(COUNTIF($Q$2:$Q$1409,Q348)&gt;1,IF(COUNTIF($Q$2:Q348,Q348)=1,"Exact Duplicate - Keep First","Exact Duplicate - Remove"),"Unique")</f>
        <v/>
      </c>
    </row>
    <row r="349" ht="15" customHeight="1" s="11">
      <c r="A349" s="10" t="inlineStr">
        <is>
          <t>USR-100348</t>
        </is>
      </c>
      <c r="B349" s="14" t="n">
        <v>45775</v>
      </c>
      <c r="C349" s="10" t="inlineStr">
        <is>
          <t>Control</t>
        </is>
      </c>
      <c r="D349" s="10" t="inlineStr">
        <is>
          <t>North</t>
        </is>
      </c>
      <c r="E349" s="10" t="inlineStr">
        <is>
          <t>Tablet</t>
        </is>
      </c>
      <c r="F349" s="10" t="inlineStr">
        <is>
          <t>Social</t>
        </is>
      </c>
      <c r="G349" s="10" t="inlineStr">
        <is>
          <t>Basic</t>
        </is>
      </c>
      <c r="H349" s="10" t="n">
        <v>1</v>
      </c>
      <c r="I349" s="10" t="n">
        <v>0</v>
      </c>
      <c r="J349" s="10" t="n">
        <v>0</v>
      </c>
      <c r="K349" s="10" t="n">
        <v>0</v>
      </c>
      <c r="L349" s="10" t="n">
        <v>0</v>
      </c>
      <c r="M349" s="10" t="n">
        <v>0</v>
      </c>
      <c r="N349" s="10" t="n">
        <v>0</v>
      </c>
      <c r="P349" s="10" t="n">
        <v>61.9</v>
      </c>
      <c r="Q349" s="10">
        <f>A349&amp;"|"&amp;B349&amp;"|"&amp;C349&amp;"|"&amp;D349&amp;"|"&amp;E349&amp;"|"&amp;F349&amp;"|"&amp;G349&amp;"|"&amp;H349&amp;"|"&amp;I349&amp;"|"&amp;J349&amp;"|"&amp;K349&amp;"|"&amp;L349&amp;"|"&amp;M349&amp;"|"&amp;N349&amp;"|"&amp;O349&amp;"|"&amp;P349</f>
        <v/>
      </c>
      <c r="R349" s="10">
        <f>IF(COUNTIF($Q$2:$Q$1409,Q349)&gt;1,IF(COUNTIF($Q$2:Q349,Q349)=1,"Exact Duplicate - Keep First","Exact Duplicate - Remove"),"Unique")</f>
        <v/>
      </c>
    </row>
    <row r="350" ht="15" customHeight="1" s="11">
      <c r="A350" s="10" t="inlineStr">
        <is>
          <t>USR-100349</t>
        </is>
      </c>
      <c r="B350" s="14" t="n">
        <v>45764</v>
      </c>
      <c r="C350" s="10" t="inlineStr">
        <is>
          <t>Control</t>
        </is>
      </c>
      <c r="D350" s="10" t="inlineStr">
        <is>
          <t>East</t>
        </is>
      </c>
      <c r="E350" s="10" t="inlineStr">
        <is>
          <t>Mobile</t>
        </is>
      </c>
      <c r="F350" s="10" t="inlineStr">
        <is>
          <t>Organic</t>
        </is>
      </c>
      <c r="G350" s="10" t="inlineStr">
        <is>
          <t>Free</t>
        </is>
      </c>
      <c r="H350" s="10" t="n">
        <v>0</v>
      </c>
      <c r="I350" s="10" t="n">
        <v>0</v>
      </c>
      <c r="J350" s="10" t="n">
        <v>0</v>
      </c>
      <c r="K350" s="10" t="n">
        <v>0</v>
      </c>
      <c r="L350" s="10" t="n">
        <v>0</v>
      </c>
      <c r="M350" s="10" t="n">
        <v>0</v>
      </c>
      <c r="N350" s="10" t="n">
        <v>0</v>
      </c>
      <c r="P350" s="10" t="n">
        <v>56</v>
      </c>
      <c r="Q350" s="10">
        <f>A350&amp;"|"&amp;B350&amp;"|"&amp;C350&amp;"|"&amp;D350&amp;"|"&amp;E350&amp;"|"&amp;F350&amp;"|"&amp;G350&amp;"|"&amp;H350&amp;"|"&amp;I350&amp;"|"&amp;J350&amp;"|"&amp;K350&amp;"|"&amp;L350&amp;"|"&amp;M350&amp;"|"&amp;N350&amp;"|"&amp;O350&amp;"|"&amp;P350</f>
        <v/>
      </c>
      <c r="R350" s="10">
        <f>IF(COUNTIF($Q$2:$Q$1409,Q350)&gt;1,IF(COUNTIF($Q$2:Q350,Q350)=1,"Exact Duplicate - Keep First","Exact Duplicate - Remove"),"Unique")</f>
        <v/>
      </c>
    </row>
    <row r="351" ht="15" customHeight="1" s="11">
      <c r="A351" s="10" t="inlineStr">
        <is>
          <t>USR-100350</t>
        </is>
      </c>
      <c r="B351" s="14" t="n">
        <v>45800</v>
      </c>
      <c r="C351" s="10" t="inlineStr">
        <is>
          <t>Control</t>
        </is>
      </c>
      <c r="D351" s="10" t="inlineStr">
        <is>
          <t>South</t>
        </is>
      </c>
      <c r="E351" s="10" t="inlineStr">
        <is>
          <t>Desktop</t>
        </is>
      </c>
      <c r="F351" s="10" t="inlineStr">
        <is>
          <t>Social</t>
        </is>
      </c>
      <c r="G351" s="10" t="inlineStr">
        <is>
          <t>Basic</t>
        </is>
      </c>
      <c r="H351" s="10" t="n">
        <v>1</v>
      </c>
      <c r="I351" s="10" t="n">
        <v>0</v>
      </c>
      <c r="J351" s="10" t="n">
        <v>0</v>
      </c>
      <c r="K351" s="10" t="n">
        <v>0</v>
      </c>
      <c r="L351" s="10" t="n">
        <v>0</v>
      </c>
      <c r="M351" s="10" t="n">
        <v>0</v>
      </c>
      <c r="N351" s="10" t="n">
        <v>0</v>
      </c>
      <c r="P351" s="10" t="n">
        <v>55.5</v>
      </c>
      <c r="Q351" s="10">
        <f>A351&amp;"|"&amp;B351&amp;"|"&amp;C351&amp;"|"&amp;D351&amp;"|"&amp;E351&amp;"|"&amp;F351&amp;"|"&amp;G351&amp;"|"&amp;H351&amp;"|"&amp;I351&amp;"|"&amp;J351&amp;"|"&amp;K351&amp;"|"&amp;L351&amp;"|"&amp;M351&amp;"|"&amp;N351&amp;"|"&amp;O351&amp;"|"&amp;P351</f>
        <v/>
      </c>
      <c r="R351" s="10">
        <f>IF(COUNTIF($Q$2:$Q$1409,Q351)&gt;1,IF(COUNTIF($Q$2:Q351,Q351)=1,"Exact Duplicate - Keep First","Exact Duplicate - Remove"),"Unique")</f>
        <v/>
      </c>
    </row>
    <row r="352" ht="15" customHeight="1" s="11">
      <c r="A352" s="10" t="inlineStr">
        <is>
          <t>USR-100351</t>
        </is>
      </c>
      <c r="B352" s="14" t="n">
        <v>45707</v>
      </c>
      <c r="C352" s="10" t="inlineStr">
        <is>
          <t>Control</t>
        </is>
      </c>
      <c r="D352" s="10" t="inlineStr">
        <is>
          <t>West</t>
        </is>
      </c>
      <c r="E352" s="10" t="inlineStr">
        <is>
          <t>Tablet</t>
        </is>
      </c>
      <c r="F352" s="10" t="inlineStr">
        <is>
          <t>Referral</t>
        </is>
      </c>
      <c r="G352" s="10" t="inlineStr">
        <is>
          <t>Basic</t>
        </is>
      </c>
      <c r="H352" s="10" t="n">
        <v>1</v>
      </c>
      <c r="I352" s="10" t="n">
        <v>0</v>
      </c>
      <c r="J352" s="10" t="n">
        <v>0</v>
      </c>
      <c r="K352" s="10" t="n">
        <v>0</v>
      </c>
      <c r="L352" s="10" t="n">
        <v>0</v>
      </c>
      <c r="M352" s="10" t="n">
        <v>0</v>
      </c>
      <c r="N352" s="10" t="n">
        <v>0</v>
      </c>
      <c r="P352" s="10" t="n">
        <v>37.2</v>
      </c>
      <c r="Q352" s="10">
        <f>A352&amp;"|"&amp;B352&amp;"|"&amp;C352&amp;"|"&amp;D352&amp;"|"&amp;E352&amp;"|"&amp;F352&amp;"|"&amp;G352&amp;"|"&amp;H352&amp;"|"&amp;I352&amp;"|"&amp;J352&amp;"|"&amp;K352&amp;"|"&amp;L352&amp;"|"&amp;M352&amp;"|"&amp;N352&amp;"|"&amp;O352&amp;"|"&amp;P352</f>
        <v/>
      </c>
      <c r="R352" s="10">
        <f>IF(COUNTIF($Q$2:$Q$1409,Q352)&gt;1,IF(COUNTIF($Q$2:Q352,Q352)=1,"Exact Duplicate - Keep First","Exact Duplicate - Remove"),"Unique")</f>
        <v/>
      </c>
    </row>
    <row r="353" ht="15" customHeight="1" s="11">
      <c r="A353" s="10" t="inlineStr">
        <is>
          <t>USR-100352</t>
        </is>
      </c>
      <c r="B353" s="14" t="n">
        <v>45675</v>
      </c>
      <c r="C353" s="10" t="inlineStr">
        <is>
          <t>Control</t>
        </is>
      </c>
      <c r="D353" s="10" t="inlineStr">
        <is>
          <t>South</t>
        </is>
      </c>
      <c r="E353" s="10" t="inlineStr">
        <is>
          <t>Desktop</t>
        </is>
      </c>
      <c r="F353" s="10" t="inlineStr">
        <is>
          <t>Organic</t>
        </is>
      </c>
      <c r="G353" s="10" t="inlineStr">
        <is>
          <t>Free</t>
        </is>
      </c>
      <c r="H353" s="10" t="n">
        <v>1</v>
      </c>
      <c r="I353" s="10" t="n">
        <v>1</v>
      </c>
      <c r="J353" s="10" t="n">
        <v>0</v>
      </c>
      <c r="K353" s="10" t="n">
        <v>0</v>
      </c>
      <c r="L353" s="10" t="n">
        <v>0</v>
      </c>
      <c r="M353" s="10" t="n">
        <v>1</v>
      </c>
      <c r="N353" s="10" t="n">
        <v>0</v>
      </c>
      <c r="P353" s="10" t="n">
        <v>70.5</v>
      </c>
      <c r="Q353" s="10">
        <f>A353&amp;"|"&amp;B353&amp;"|"&amp;C353&amp;"|"&amp;D353&amp;"|"&amp;E353&amp;"|"&amp;F353&amp;"|"&amp;G353&amp;"|"&amp;H353&amp;"|"&amp;I353&amp;"|"&amp;J353&amp;"|"&amp;K353&amp;"|"&amp;L353&amp;"|"&amp;M353&amp;"|"&amp;N353&amp;"|"&amp;O353&amp;"|"&amp;P353</f>
        <v/>
      </c>
      <c r="R353" s="10">
        <f>IF(COUNTIF($Q$2:$Q$1409,Q353)&gt;1,IF(COUNTIF($Q$2:Q353,Q353)=1,"Exact Duplicate - Keep First","Exact Duplicate - Remove"),"Unique")</f>
        <v/>
      </c>
    </row>
    <row r="354" ht="15" customHeight="1" s="11">
      <c r="A354" s="10" t="inlineStr">
        <is>
          <t>USR-100353</t>
        </is>
      </c>
      <c r="B354" s="14" t="n">
        <v>45764</v>
      </c>
      <c r="C354" s="10" t="inlineStr">
        <is>
          <t>Control</t>
        </is>
      </c>
      <c r="D354" s="10" t="inlineStr">
        <is>
          <t>North</t>
        </is>
      </c>
      <c r="E354" s="10" t="inlineStr">
        <is>
          <t>Mobile</t>
        </is>
      </c>
      <c r="F354" s="10" t="inlineStr">
        <is>
          <t>Organic</t>
        </is>
      </c>
      <c r="G354" s="10" t="inlineStr">
        <is>
          <t>Free</t>
        </is>
      </c>
      <c r="H354" s="10" t="n">
        <v>0</v>
      </c>
      <c r="I354" s="10" t="n">
        <v>0</v>
      </c>
      <c r="J354" s="10" t="n">
        <v>0</v>
      </c>
      <c r="K354" s="10" t="n">
        <v>0</v>
      </c>
      <c r="L354" s="10" t="n">
        <v>0</v>
      </c>
      <c r="M354" s="10" t="n">
        <v>0</v>
      </c>
      <c r="N354" s="10" t="n">
        <v>0</v>
      </c>
      <c r="P354" s="10" t="n">
        <v>61.2</v>
      </c>
      <c r="Q354" s="10">
        <f>A354&amp;"|"&amp;B354&amp;"|"&amp;C354&amp;"|"&amp;D354&amp;"|"&amp;E354&amp;"|"&amp;F354&amp;"|"&amp;G354&amp;"|"&amp;H354&amp;"|"&amp;I354&amp;"|"&amp;J354&amp;"|"&amp;K354&amp;"|"&amp;L354&amp;"|"&amp;M354&amp;"|"&amp;N354&amp;"|"&amp;O354&amp;"|"&amp;P354</f>
        <v/>
      </c>
      <c r="R354" s="10">
        <f>IF(COUNTIF($Q$2:$Q$1409,Q354)&gt;1,IF(COUNTIF($Q$2:Q354,Q354)=1,"Exact Duplicate - Keep First","Exact Duplicate - Remove"),"Unique")</f>
        <v/>
      </c>
    </row>
    <row r="355" ht="15" customHeight="1" s="11">
      <c r="A355" s="10" t="inlineStr">
        <is>
          <t>USR-100354</t>
        </is>
      </c>
      <c r="B355" s="14" t="n">
        <v>45759</v>
      </c>
      <c r="C355" s="10" t="inlineStr">
        <is>
          <t>Control</t>
        </is>
      </c>
      <c r="D355" s="10" t="inlineStr">
        <is>
          <t>East</t>
        </is>
      </c>
      <c r="E355" s="10" t="inlineStr">
        <is>
          <t>Tablet</t>
        </is>
      </c>
      <c r="F355" s="10" t="inlineStr">
        <is>
          <t>Social</t>
        </is>
      </c>
      <c r="G355" s="10" t="inlineStr">
        <is>
          <t>Free</t>
        </is>
      </c>
      <c r="H355" s="10" t="n">
        <v>1</v>
      </c>
      <c r="I355" s="10" t="n">
        <v>1</v>
      </c>
      <c r="J355" s="10" t="n">
        <v>1</v>
      </c>
      <c r="K355" s="10" t="n">
        <v>0</v>
      </c>
      <c r="L355" s="10" t="n">
        <v>0</v>
      </c>
      <c r="M355" s="10" t="n">
        <v>0</v>
      </c>
      <c r="N355" s="10" t="n">
        <v>0</v>
      </c>
      <c r="P355" s="10" t="n">
        <v>64.59999999999999</v>
      </c>
      <c r="Q355" s="10">
        <f>A355&amp;"|"&amp;B355&amp;"|"&amp;C355&amp;"|"&amp;D355&amp;"|"&amp;E355&amp;"|"&amp;F355&amp;"|"&amp;G355&amp;"|"&amp;H355&amp;"|"&amp;I355&amp;"|"&amp;J355&amp;"|"&amp;K355&amp;"|"&amp;L355&amp;"|"&amp;M355&amp;"|"&amp;N355&amp;"|"&amp;O355&amp;"|"&amp;P355</f>
        <v/>
      </c>
      <c r="R355" s="10">
        <f>IF(COUNTIF($Q$2:$Q$1409,Q355)&gt;1,IF(COUNTIF($Q$2:Q355,Q355)=1,"Exact Duplicate - Keep First","Exact Duplicate - Remove"),"Unique")</f>
        <v/>
      </c>
    </row>
    <row r="356" ht="15" customHeight="1" s="11">
      <c r="A356" s="10" t="inlineStr">
        <is>
          <t>USR-100355</t>
        </is>
      </c>
      <c r="B356" s="14" t="n">
        <v>45793</v>
      </c>
      <c r="C356" s="10" t="inlineStr">
        <is>
          <t>Control</t>
        </is>
      </c>
      <c r="D356" s="10" t="inlineStr">
        <is>
          <t>East</t>
        </is>
      </c>
      <c r="E356" s="10" t="inlineStr">
        <is>
          <t>Mobile</t>
        </is>
      </c>
      <c r="F356" s="10" t="inlineStr">
        <is>
          <t>Email</t>
        </is>
      </c>
      <c r="G356" s="10" t="inlineStr">
        <is>
          <t>Free</t>
        </is>
      </c>
      <c r="H356" s="10" t="n">
        <v>1</v>
      </c>
      <c r="I356" s="10" t="n">
        <v>1</v>
      </c>
      <c r="J356" s="10" t="n">
        <v>0</v>
      </c>
      <c r="K356" s="10" t="n">
        <v>0</v>
      </c>
      <c r="L356" s="10" t="n">
        <v>0</v>
      </c>
      <c r="M356" s="10" t="n">
        <v>0</v>
      </c>
      <c r="N356" s="10" t="n">
        <v>0</v>
      </c>
      <c r="P356" s="10" t="n">
        <v>91.7</v>
      </c>
      <c r="Q356" s="10">
        <f>A356&amp;"|"&amp;B356&amp;"|"&amp;C356&amp;"|"&amp;D356&amp;"|"&amp;E356&amp;"|"&amp;F356&amp;"|"&amp;G356&amp;"|"&amp;H356&amp;"|"&amp;I356&amp;"|"&amp;J356&amp;"|"&amp;K356&amp;"|"&amp;L356&amp;"|"&amp;M356&amp;"|"&amp;N356&amp;"|"&amp;O356&amp;"|"&amp;P356</f>
        <v/>
      </c>
      <c r="R356" s="10">
        <f>IF(COUNTIF($Q$2:$Q$1409,Q356)&gt;1,IF(COUNTIF($Q$2:Q356,Q356)=1,"Exact Duplicate - Keep First","Exact Duplicate - Remove"),"Unique")</f>
        <v/>
      </c>
    </row>
    <row r="357" ht="15" customHeight="1" s="11">
      <c r="A357" s="10" t="inlineStr">
        <is>
          <t>USR-100356</t>
        </is>
      </c>
      <c r="B357" s="14" t="n">
        <v>45740</v>
      </c>
      <c r="C357" s="10" t="inlineStr">
        <is>
          <t>Control</t>
        </is>
      </c>
      <c r="D357" s="10" t="inlineStr">
        <is>
          <t>West</t>
        </is>
      </c>
      <c r="E357" s="10" t="inlineStr">
        <is>
          <t>Mobile</t>
        </is>
      </c>
      <c r="F357" s="10" t="inlineStr">
        <is>
          <t>Social</t>
        </is>
      </c>
      <c r="G357" s="10" t="inlineStr">
        <is>
          <t>Free</t>
        </is>
      </c>
      <c r="H357" s="10" t="n">
        <v>0</v>
      </c>
      <c r="I357" s="10" t="n">
        <v>0</v>
      </c>
      <c r="J357" s="10" t="n">
        <v>0</v>
      </c>
      <c r="K357" s="10" t="n">
        <v>0</v>
      </c>
      <c r="L357" s="10" t="n">
        <v>0</v>
      </c>
      <c r="M357" s="10" t="n">
        <v>0</v>
      </c>
      <c r="N357" s="10" t="n">
        <v>0</v>
      </c>
      <c r="P357" s="10" t="n">
        <v>46</v>
      </c>
      <c r="Q357" s="10">
        <f>A357&amp;"|"&amp;B357&amp;"|"&amp;C357&amp;"|"&amp;D357&amp;"|"&amp;E357&amp;"|"&amp;F357&amp;"|"&amp;G357&amp;"|"&amp;H357&amp;"|"&amp;I357&amp;"|"&amp;J357&amp;"|"&amp;K357&amp;"|"&amp;L357&amp;"|"&amp;M357&amp;"|"&amp;N357&amp;"|"&amp;O357&amp;"|"&amp;P357</f>
        <v/>
      </c>
      <c r="R357" s="10">
        <f>IF(COUNTIF($Q$2:$Q$1409,Q357)&gt;1,IF(COUNTIF($Q$2:Q357,Q357)=1,"Exact Duplicate - Keep First","Exact Duplicate - Remove"),"Unique")</f>
        <v/>
      </c>
    </row>
    <row r="358" ht="15" customHeight="1" s="11">
      <c r="A358" s="10" t="inlineStr">
        <is>
          <t>USR-100357</t>
        </is>
      </c>
      <c r="B358" s="14" t="n">
        <v>45704</v>
      </c>
      <c r="C358" s="10" t="inlineStr">
        <is>
          <t>Control</t>
        </is>
      </c>
      <c r="D358" s="10" t="inlineStr">
        <is>
          <t>West</t>
        </is>
      </c>
      <c r="E358" s="10" t="inlineStr">
        <is>
          <t>Mobile</t>
        </is>
      </c>
      <c r="F358" s="10" t="inlineStr">
        <is>
          <t>Organic</t>
        </is>
      </c>
      <c r="G358" s="10" t="inlineStr">
        <is>
          <t>Basic</t>
        </is>
      </c>
      <c r="H358" s="10" t="n">
        <v>0</v>
      </c>
      <c r="I358" s="10" t="n">
        <v>0</v>
      </c>
      <c r="J358" s="10" t="n">
        <v>0</v>
      </c>
      <c r="K358" s="10" t="n">
        <v>0</v>
      </c>
      <c r="L358" s="10" t="n">
        <v>0</v>
      </c>
      <c r="M358" s="10" t="n">
        <v>0</v>
      </c>
      <c r="N358" s="10" t="n">
        <v>0</v>
      </c>
      <c r="P358" s="10" t="n">
        <v>50.8</v>
      </c>
      <c r="Q358" s="10">
        <f>A358&amp;"|"&amp;B358&amp;"|"&amp;C358&amp;"|"&amp;D358&amp;"|"&amp;E358&amp;"|"&amp;F358&amp;"|"&amp;G358&amp;"|"&amp;H358&amp;"|"&amp;I358&amp;"|"&amp;J358&amp;"|"&amp;K358&amp;"|"&amp;L358&amp;"|"&amp;M358&amp;"|"&amp;N358&amp;"|"&amp;O358&amp;"|"&amp;P358</f>
        <v/>
      </c>
      <c r="R358" s="10">
        <f>IF(COUNTIF($Q$2:$Q$1409,Q358)&gt;1,IF(COUNTIF($Q$2:Q358,Q358)=1,"Exact Duplicate - Keep First","Exact Duplicate - Remove"),"Unique")</f>
        <v/>
      </c>
    </row>
    <row r="359" ht="15" customHeight="1" s="11">
      <c r="A359" s="10" t="inlineStr">
        <is>
          <t>USR-100358</t>
        </is>
      </c>
      <c r="B359" s="14" t="n">
        <v>45735</v>
      </c>
      <c r="C359" s="10" t="inlineStr">
        <is>
          <t>Control</t>
        </is>
      </c>
      <c r="D359" s="10" t="inlineStr">
        <is>
          <t>North</t>
        </is>
      </c>
      <c r="E359" s="10" t="inlineStr">
        <is>
          <t>Tablet</t>
        </is>
      </c>
      <c r="F359" s="10" t="inlineStr">
        <is>
          <t>Organic</t>
        </is>
      </c>
      <c r="G359" s="10" t="inlineStr">
        <is>
          <t>Free</t>
        </is>
      </c>
      <c r="H359" s="10" t="n">
        <v>1</v>
      </c>
      <c r="I359" s="10" t="n">
        <v>1</v>
      </c>
      <c r="J359" s="10" t="n">
        <v>1</v>
      </c>
      <c r="K359" s="10" t="n">
        <v>0</v>
      </c>
      <c r="L359" s="10" t="n">
        <v>0</v>
      </c>
      <c r="M359" s="10" t="n">
        <v>0</v>
      </c>
      <c r="N359" s="10" t="n">
        <v>0</v>
      </c>
      <c r="P359" s="10" t="n">
        <v>52.8</v>
      </c>
      <c r="Q359" s="10">
        <f>A359&amp;"|"&amp;B359&amp;"|"&amp;C359&amp;"|"&amp;D359&amp;"|"&amp;E359&amp;"|"&amp;F359&amp;"|"&amp;G359&amp;"|"&amp;H359&amp;"|"&amp;I359&amp;"|"&amp;J359&amp;"|"&amp;K359&amp;"|"&amp;L359&amp;"|"&amp;M359&amp;"|"&amp;N359&amp;"|"&amp;O359&amp;"|"&amp;P359</f>
        <v/>
      </c>
      <c r="R359" s="10">
        <f>IF(COUNTIF($Q$2:$Q$1409,Q359)&gt;1,IF(COUNTIF($Q$2:Q359,Q359)=1,"Exact Duplicate - Keep First","Exact Duplicate - Remove"),"Unique")</f>
        <v/>
      </c>
    </row>
    <row r="360" ht="15" customHeight="1" s="11">
      <c r="A360" s="10" t="inlineStr">
        <is>
          <t>USR-100359</t>
        </is>
      </c>
      <c r="B360" s="14" t="n">
        <v>45768</v>
      </c>
      <c r="C360" s="10" t="inlineStr">
        <is>
          <t>Control</t>
        </is>
      </c>
      <c r="D360" s="10" t="inlineStr">
        <is>
          <t>South</t>
        </is>
      </c>
      <c r="E360" s="10" t="inlineStr">
        <is>
          <t>Mobile</t>
        </is>
      </c>
      <c r="F360" s="10" t="inlineStr">
        <is>
          <t>Organic</t>
        </is>
      </c>
      <c r="G360" s="10" t="inlineStr">
        <is>
          <t>Basic</t>
        </is>
      </c>
      <c r="H360" s="10" t="n">
        <v>1</v>
      </c>
      <c r="I360" s="10" t="n">
        <v>1</v>
      </c>
      <c r="J360" s="10" t="n">
        <v>1</v>
      </c>
      <c r="K360" s="10" t="n">
        <v>0</v>
      </c>
      <c r="L360" s="10" t="n">
        <v>0</v>
      </c>
      <c r="M360" s="10" t="n">
        <v>0</v>
      </c>
      <c r="N360" s="10" t="n">
        <v>0</v>
      </c>
      <c r="P360" s="10" t="n">
        <v>63</v>
      </c>
      <c r="Q360" s="10">
        <f>A360&amp;"|"&amp;B360&amp;"|"&amp;C360&amp;"|"&amp;D360&amp;"|"&amp;E360&amp;"|"&amp;F360&amp;"|"&amp;G360&amp;"|"&amp;H360&amp;"|"&amp;I360&amp;"|"&amp;J360&amp;"|"&amp;K360&amp;"|"&amp;L360&amp;"|"&amp;M360&amp;"|"&amp;N360&amp;"|"&amp;O360&amp;"|"&amp;P360</f>
        <v/>
      </c>
      <c r="R360" s="10">
        <f>IF(COUNTIF($Q$2:$Q$1409,Q360)&gt;1,IF(COUNTIF($Q$2:Q360,Q360)=1,"Exact Duplicate - Keep First","Exact Duplicate - Remove"),"Unique")</f>
        <v/>
      </c>
    </row>
    <row r="361" ht="15" customHeight="1" s="11">
      <c r="A361" s="10" t="inlineStr">
        <is>
          <t>USR-100360</t>
        </is>
      </c>
      <c r="B361" s="14" t="n">
        <v>45668</v>
      </c>
      <c r="C361" s="10" t="inlineStr">
        <is>
          <t>Control</t>
        </is>
      </c>
      <c r="D361" s="10" t="inlineStr">
        <is>
          <t>West</t>
        </is>
      </c>
      <c r="E361" s="10" t="inlineStr">
        <is>
          <t>Mobile</t>
        </is>
      </c>
      <c r="F361" s="10" t="inlineStr">
        <is>
          <t>Organic</t>
        </is>
      </c>
      <c r="G361" s="10" t="inlineStr">
        <is>
          <t>Free</t>
        </is>
      </c>
      <c r="H361" s="10" t="n">
        <v>0</v>
      </c>
      <c r="I361" s="10" t="n">
        <v>0</v>
      </c>
      <c r="J361" s="10" t="n">
        <v>0</v>
      </c>
      <c r="K361" s="10" t="n">
        <v>0</v>
      </c>
      <c r="L361" s="10" t="n">
        <v>0</v>
      </c>
      <c r="M361" s="10" t="n">
        <v>0</v>
      </c>
      <c r="N361" s="10" t="n">
        <v>0</v>
      </c>
      <c r="P361" s="10" t="n">
        <v>28.4</v>
      </c>
      <c r="Q361" s="10">
        <f>A361&amp;"|"&amp;B361&amp;"|"&amp;C361&amp;"|"&amp;D361&amp;"|"&amp;E361&amp;"|"&amp;F361&amp;"|"&amp;G361&amp;"|"&amp;H361&amp;"|"&amp;I361&amp;"|"&amp;J361&amp;"|"&amp;K361&amp;"|"&amp;L361&amp;"|"&amp;M361&amp;"|"&amp;N361&amp;"|"&amp;O361&amp;"|"&amp;P361</f>
        <v/>
      </c>
      <c r="R361" s="10">
        <f>IF(COUNTIF($Q$2:$Q$1409,Q361)&gt;1,IF(COUNTIF($Q$2:Q361,Q361)=1,"Exact Duplicate - Keep First","Exact Duplicate - Remove"),"Unique")</f>
        <v/>
      </c>
    </row>
    <row r="362" ht="15" customHeight="1" s="11">
      <c r="A362" s="10" t="inlineStr">
        <is>
          <t>USR-100361</t>
        </is>
      </c>
      <c r="B362" s="14" t="n">
        <v>45771</v>
      </c>
      <c r="C362" s="10" t="inlineStr">
        <is>
          <t>Control</t>
        </is>
      </c>
      <c r="D362" s="10" t="inlineStr">
        <is>
          <t>West</t>
        </is>
      </c>
      <c r="E362" s="10" t="inlineStr">
        <is>
          <t>Desktop</t>
        </is>
      </c>
      <c r="F362" s="10" t="inlineStr">
        <is>
          <t>Organic</t>
        </is>
      </c>
      <c r="G362" s="10" t="inlineStr">
        <is>
          <t>Free</t>
        </is>
      </c>
      <c r="H362" s="10" t="n">
        <v>1</v>
      </c>
      <c r="I362" s="10" t="n">
        <v>1</v>
      </c>
      <c r="J362" s="10" t="n">
        <v>0</v>
      </c>
      <c r="K362" s="10" t="n">
        <v>0</v>
      </c>
      <c r="L362" s="10" t="n">
        <v>0</v>
      </c>
      <c r="M362" s="10" t="n">
        <v>0</v>
      </c>
      <c r="N362" s="10" t="n">
        <v>0</v>
      </c>
      <c r="P362" s="10" t="n">
        <v>65.59999999999999</v>
      </c>
      <c r="Q362" s="10">
        <f>A362&amp;"|"&amp;B362&amp;"|"&amp;C362&amp;"|"&amp;D362&amp;"|"&amp;E362&amp;"|"&amp;F362&amp;"|"&amp;G362&amp;"|"&amp;H362&amp;"|"&amp;I362&amp;"|"&amp;J362&amp;"|"&amp;K362&amp;"|"&amp;L362&amp;"|"&amp;M362&amp;"|"&amp;N362&amp;"|"&amp;O362&amp;"|"&amp;P362</f>
        <v/>
      </c>
      <c r="R362" s="10">
        <f>IF(COUNTIF($Q$2:$Q$1409,Q362)&gt;1,IF(COUNTIF($Q$2:Q362,Q362)=1,"Exact Duplicate - Keep First","Exact Duplicate - Remove"),"Unique")</f>
        <v/>
      </c>
    </row>
    <row r="363" ht="15" customHeight="1" s="11">
      <c r="A363" s="10" t="inlineStr">
        <is>
          <t>USR-100362</t>
        </is>
      </c>
      <c r="B363" s="14" t="n">
        <v>45729</v>
      </c>
      <c r="C363" s="10" t="inlineStr">
        <is>
          <t>Control</t>
        </is>
      </c>
      <c r="D363" s="10" t="inlineStr">
        <is>
          <t>North</t>
        </is>
      </c>
      <c r="E363" s="10" t="inlineStr">
        <is>
          <t>Mobile</t>
        </is>
      </c>
      <c r="F363" s="10" t="inlineStr">
        <is>
          <t>Social</t>
        </is>
      </c>
      <c r="G363" s="10" t="inlineStr">
        <is>
          <t>Premium</t>
        </is>
      </c>
      <c r="H363" s="10" t="n">
        <v>1</v>
      </c>
      <c r="I363" s="10" t="n">
        <v>1</v>
      </c>
      <c r="J363" s="10" t="n">
        <v>1</v>
      </c>
      <c r="K363" s="10" t="n">
        <v>0</v>
      </c>
      <c r="L363" s="10" t="n">
        <v>0</v>
      </c>
      <c r="M363" s="10" t="n">
        <v>0</v>
      </c>
      <c r="N363" s="10" t="n">
        <v>0</v>
      </c>
      <c r="P363" s="10" t="n">
        <v>54.7</v>
      </c>
      <c r="Q363" s="10">
        <f>A363&amp;"|"&amp;B363&amp;"|"&amp;C363&amp;"|"&amp;D363&amp;"|"&amp;E363&amp;"|"&amp;F363&amp;"|"&amp;G363&amp;"|"&amp;H363&amp;"|"&amp;I363&amp;"|"&amp;J363&amp;"|"&amp;K363&amp;"|"&amp;L363&amp;"|"&amp;M363&amp;"|"&amp;N363&amp;"|"&amp;O363&amp;"|"&amp;P363</f>
        <v/>
      </c>
      <c r="R363" s="10">
        <f>IF(COUNTIF($Q$2:$Q$1409,Q363)&gt;1,IF(COUNTIF($Q$2:Q363,Q363)=1,"Exact Duplicate - Keep First","Exact Duplicate - Remove"),"Unique")</f>
        <v/>
      </c>
    </row>
    <row r="364" ht="15" customHeight="1" s="11">
      <c r="A364" s="10" t="inlineStr">
        <is>
          <t>USR-100363</t>
        </is>
      </c>
      <c r="B364" s="14" t="n">
        <v>45687</v>
      </c>
      <c r="C364" s="10" t="inlineStr">
        <is>
          <t>Control</t>
        </is>
      </c>
      <c r="D364" s="10" t="inlineStr">
        <is>
          <t>North</t>
        </is>
      </c>
      <c r="E364" s="10" t="inlineStr">
        <is>
          <t>Mobile</t>
        </is>
      </c>
      <c r="F364" s="10" t="inlineStr">
        <is>
          <t>Social</t>
        </is>
      </c>
      <c r="G364" s="10" t="inlineStr">
        <is>
          <t>Basic</t>
        </is>
      </c>
      <c r="H364" s="10" t="n">
        <v>0</v>
      </c>
      <c r="I364" s="10" t="n">
        <v>0</v>
      </c>
      <c r="J364" s="10" t="n">
        <v>0</v>
      </c>
      <c r="K364" s="10" t="n">
        <v>0</v>
      </c>
      <c r="L364" s="10" t="n">
        <v>0</v>
      </c>
      <c r="M364" s="10" t="n">
        <v>0</v>
      </c>
      <c r="N364" s="10" t="n">
        <v>0</v>
      </c>
      <c r="P364" s="10" t="n">
        <v>36.1</v>
      </c>
      <c r="Q364" s="10">
        <f>A364&amp;"|"&amp;B364&amp;"|"&amp;C364&amp;"|"&amp;D364&amp;"|"&amp;E364&amp;"|"&amp;F364&amp;"|"&amp;G364&amp;"|"&amp;H364&amp;"|"&amp;I364&amp;"|"&amp;J364&amp;"|"&amp;K364&amp;"|"&amp;L364&amp;"|"&amp;M364&amp;"|"&amp;N364&amp;"|"&amp;O364&amp;"|"&amp;P364</f>
        <v/>
      </c>
      <c r="R364" s="10">
        <f>IF(COUNTIF($Q$2:$Q$1409,Q364)&gt;1,IF(COUNTIF($Q$2:Q364,Q364)=1,"Exact Duplicate - Keep First","Exact Duplicate - Remove"),"Unique")</f>
        <v/>
      </c>
    </row>
    <row r="365" ht="15" customHeight="1" s="11">
      <c r="A365" s="10" t="inlineStr">
        <is>
          <t>USR-100364</t>
        </is>
      </c>
      <c r="B365" s="14" t="n">
        <v>45785</v>
      </c>
      <c r="C365" s="10" t="inlineStr">
        <is>
          <t>Control</t>
        </is>
      </c>
      <c r="D365" s="10" t="inlineStr">
        <is>
          <t>South</t>
        </is>
      </c>
      <c r="E365" s="10" t="inlineStr">
        <is>
          <t>Mobile</t>
        </is>
      </c>
      <c r="F365" s="10" t="inlineStr">
        <is>
          <t>Social</t>
        </is>
      </c>
      <c r="G365" s="10" t="inlineStr">
        <is>
          <t>Basic</t>
        </is>
      </c>
      <c r="H365" s="10" t="n">
        <v>1</v>
      </c>
      <c r="I365" s="10" t="n">
        <v>1</v>
      </c>
      <c r="J365" s="10" t="n">
        <v>1</v>
      </c>
      <c r="K365" s="10" t="n">
        <v>0</v>
      </c>
      <c r="L365" s="10" t="n">
        <v>0</v>
      </c>
      <c r="M365" s="10" t="n">
        <v>0</v>
      </c>
      <c r="N365" s="10" t="n">
        <v>0</v>
      </c>
      <c r="P365" s="10" t="n">
        <v>70.40000000000001</v>
      </c>
      <c r="Q365" s="10">
        <f>A365&amp;"|"&amp;B365&amp;"|"&amp;C365&amp;"|"&amp;D365&amp;"|"&amp;E365&amp;"|"&amp;F365&amp;"|"&amp;G365&amp;"|"&amp;H365&amp;"|"&amp;I365&amp;"|"&amp;J365&amp;"|"&amp;K365&amp;"|"&amp;L365&amp;"|"&amp;M365&amp;"|"&amp;N365&amp;"|"&amp;O365&amp;"|"&amp;P365</f>
        <v/>
      </c>
      <c r="R365" s="10">
        <f>IF(COUNTIF($Q$2:$Q$1409,Q365)&gt;1,IF(COUNTIF($Q$2:Q365,Q365)=1,"Exact Duplicate - Keep First","Exact Duplicate - Remove"),"Unique")</f>
        <v/>
      </c>
    </row>
    <row r="366" ht="15" customHeight="1" s="11">
      <c r="A366" s="10" t="inlineStr">
        <is>
          <t>USR-100365</t>
        </is>
      </c>
      <c r="B366" s="14" t="n">
        <v>45665</v>
      </c>
      <c r="C366" s="10" t="inlineStr">
        <is>
          <t>Control</t>
        </is>
      </c>
      <c r="D366" s="10" t="inlineStr">
        <is>
          <t>East</t>
        </is>
      </c>
      <c r="E366" s="10" t="inlineStr">
        <is>
          <t>Desktop</t>
        </is>
      </c>
      <c r="F366" s="10" t="inlineStr">
        <is>
          <t>Social</t>
        </is>
      </c>
      <c r="G366" s="10" t="inlineStr">
        <is>
          <t>Free</t>
        </is>
      </c>
      <c r="H366" s="10" t="n">
        <v>1</v>
      </c>
      <c r="I366" s="10" t="n">
        <v>0</v>
      </c>
      <c r="J366" s="10" t="n">
        <v>0</v>
      </c>
      <c r="K366" s="10" t="n">
        <v>0</v>
      </c>
      <c r="L366" s="10" t="n">
        <v>0</v>
      </c>
      <c r="M366" s="10" t="n">
        <v>0</v>
      </c>
      <c r="N366" s="10" t="n">
        <v>0</v>
      </c>
      <c r="P366" s="10" t="n">
        <v>56.4</v>
      </c>
      <c r="Q366" s="10">
        <f>A366&amp;"|"&amp;B366&amp;"|"&amp;C366&amp;"|"&amp;D366&amp;"|"&amp;E366&amp;"|"&amp;F366&amp;"|"&amp;G366&amp;"|"&amp;H366&amp;"|"&amp;I366&amp;"|"&amp;J366&amp;"|"&amp;K366&amp;"|"&amp;L366&amp;"|"&amp;M366&amp;"|"&amp;N366&amp;"|"&amp;O366&amp;"|"&amp;P366</f>
        <v/>
      </c>
      <c r="R366" s="10">
        <f>IF(COUNTIF($Q$2:$Q$1409,Q366)&gt;1,IF(COUNTIF($Q$2:Q366,Q366)=1,"Exact Duplicate - Keep First","Exact Duplicate - Remove"),"Unique")</f>
        <v/>
      </c>
    </row>
    <row r="367" ht="15" customHeight="1" s="11">
      <c r="A367" s="10" t="inlineStr">
        <is>
          <t>USR-100366</t>
        </is>
      </c>
      <c r="B367" s="14" t="n">
        <v>45780</v>
      </c>
      <c r="C367" s="10" t="inlineStr">
        <is>
          <t>Control</t>
        </is>
      </c>
      <c r="D367" s="10" t="inlineStr">
        <is>
          <t>South</t>
        </is>
      </c>
      <c r="E367" s="10" t="inlineStr">
        <is>
          <t>Mobile</t>
        </is>
      </c>
      <c r="F367" s="10" t="inlineStr">
        <is>
          <t>Organic</t>
        </is>
      </c>
      <c r="G367" s="10" t="inlineStr">
        <is>
          <t>Free</t>
        </is>
      </c>
      <c r="H367" s="10" t="n">
        <v>1</v>
      </c>
      <c r="I367" s="10" t="n">
        <v>0</v>
      </c>
      <c r="J367" s="10" t="n">
        <v>0</v>
      </c>
      <c r="K367" s="10" t="n">
        <v>0</v>
      </c>
      <c r="L367" s="10" t="n">
        <v>0</v>
      </c>
      <c r="M367" s="10" t="n">
        <v>0</v>
      </c>
      <c r="N367" s="10" t="n">
        <v>0</v>
      </c>
      <c r="P367" s="10" t="n">
        <v>79.2</v>
      </c>
      <c r="Q367" s="10">
        <f>A367&amp;"|"&amp;B367&amp;"|"&amp;C367&amp;"|"&amp;D367&amp;"|"&amp;E367&amp;"|"&amp;F367&amp;"|"&amp;G367&amp;"|"&amp;H367&amp;"|"&amp;I367&amp;"|"&amp;J367&amp;"|"&amp;K367&amp;"|"&amp;L367&amp;"|"&amp;M367&amp;"|"&amp;N367&amp;"|"&amp;O367&amp;"|"&amp;P367</f>
        <v/>
      </c>
      <c r="R367" s="10">
        <f>IF(COUNTIF($Q$2:$Q$1409,Q367)&gt;1,IF(COUNTIF($Q$2:Q367,Q367)=1,"Exact Duplicate - Keep First","Exact Duplicate - Remove"),"Unique")</f>
        <v/>
      </c>
    </row>
    <row r="368" ht="15" customHeight="1" s="11">
      <c r="A368" s="10" t="inlineStr">
        <is>
          <t>USR-100367</t>
        </is>
      </c>
      <c r="B368" s="14" t="n">
        <v>45700</v>
      </c>
      <c r="C368" s="10" t="inlineStr">
        <is>
          <t>Control</t>
        </is>
      </c>
      <c r="D368" s="10" t="inlineStr">
        <is>
          <t>East</t>
        </is>
      </c>
      <c r="E368" s="10" t="inlineStr">
        <is>
          <t>Mobile</t>
        </is>
      </c>
      <c r="F368" s="10" t="inlineStr">
        <is>
          <t>Paid Search</t>
        </is>
      </c>
      <c r="G368" s="10" t="inlineStr">
        <is>
          <t>Free</t>
        </is>
      </c>
      <c r="H368" s="10" t="n">
        <v>1</v>
      </c>
      <c r="I368" s="10" t="n">
        <v>1</v>
      </c>
      <c r="J368" s="10" t="n">
        <v>1</v>
      </c>
      <c r="K368" s="10" t="n">
        <v>0</v>
      </c>
      <c r="L368" s="10" t="n">
        <v>0</v>
      </c>
      <c r="M368" s="10" t="n">
        <v>0</v>
      </c>
      <c r="N368" s="10" t="n">
        <v>0</v>
      </c>
      <c r="P368" s="10" t="n">
        <v>60.1</v>
      </c>
      <c r="Q368" s="10">
        <f>A368&amp;"|"&amp;B368&amp;"|"&amp;C368&amp;"|"&amp;D368&amp;"|"&amp;E368&amp;"|"&amp;F368&amp;"|"&amp;G368&amp;"|"&amp;H368&amp;"|"&amp;I368&amp;"|"&amp;J368&amp;"|"&amp;K368&amp;"|"&amp;L368&amp;"|"&amp;M368&amp;"|"&amp;N368&amp;"|"&amp;O368&amp;"|"&amp;P368</f>
        <v/>
      </c>
      <c r="R368" s="10">
        <f>IF(COUNTIF($Q$2:$Q$1409,Q368)&gt;1,IF(COUNTIF($Q$2:Q368,Q368)=1,"Exact Duplicate - Keep First","Exact Duplicate - Remove"),"Unique")</f>
        <v/>
      </c>
    </row>
    <row r="369" ht="15" customHeight="1" s="11">
      <c r="A369" s="10" t="inlineStr">
        <is>
          <t>USR-100368</t>
        </is>
      </c>
      <c r="B369" s="14" t="n">
        <v>45713</v>
      </c>
      <c r="C369" s="10" t="inlineStr">
        <is>
          <t>Control</t>
        </is>
      </c>
      <c r="D369" s="10" t="inlineStr">
        <is>
          <t>South</t>
        </is>
      </c>
      <c r="E369" s="10" t="inlineStr">
        <is>
          <t>Tablet</t>
        </is>
      </c>
      <c r="F369" s="10" t="inlineStr">
        <is>
          <t>Organic</t>
        </is>
      </c>
      <c r="G369" s="10" t="inlineStr">
        <is>
          <t>Free</t>
        </is>
      </c>
      <c r="H369" s="10" t="n">
        <v>0</v>
      </c>
      <c r="I369" s="10" t="n">
        <v>0</v>
      </c>
      <c r="J369" s="10" t="n">
        <v>0</v>
      </c>
      <c r="K369" s="10" t="n">
        <v>0</v>
      </c>
      <c r="L369" s="10" t="n">
        <v>0</v>
      </c>
      <c r="M369" s="10" t="n">
        <v>0</v>
      </c>
      <c r="N369" s="10" t="n">
        <v>0</v>
      </c>
      <c r="P369" s="10" t="n">
        <v>58</v>
      </c>
      <c r="Q369" s="10">
        <f>A369&amp;"|"&amp;B369&amp;"|"&amp;C369&amp;"|"&amp;D369&amp;"|"&amp;E369&amp;"|"&amp;F369&amp;"|"&amp;G369&amp;"|"&amp;H369&amp;"|"&amp;I369&amp;"|"&amp;J369&amp;"|"&amp;K369&amp;"|"&amp;L369&amp;"|"&amp;M369&amp;"|"&amp;N369&amp;"|"&amp;O369&amp;"|"&amp;P369</f>
        <v/>
      </c>
      <c r="R369" s="10">
        <f>IF(COUNTIF($Q$2:$Q$1409,Q369)&gt;1,IF(COUNTIF($Q$2:Q369,Q369)=1,"Exact Duplicate - Keep First","Exact Duplicate - Remove"),"Unique")</f>
        <v/>
      </c>
    </row>
    <row r="370" ht="15" customHeight="1" s="11">
      <c r="A370" s="10" t="inlineStr">
        <is>
          <t>USR-100369</t>
        </is>
      </c>
      <c r="B370" s="14" t="n">
        <v>45761</v>
      </c>
      <c r="C370" s="10" t="inlineStr">
        <is>
          <t>Control</t>
        </is>
      </c>
      <c r="D370" s="10" t="inlineStr">
        <is>
          <t>South</t>
        </is>
      </c>
      <c r="E370" s="10" t="inlineStr">
        <is>
          <t>Mobile</t>
        </is>
      </c>
      <c r="F370" s="10" t="inlineStr">
        <is>
          <t>Referral</t>
        </is>
      </c>
      <c r="G370" s="10" t="inlineStr">
        <is>
          <t>Free</t>
        </is>
      </c>
      <c r="H370" s="10" t="n">
        <v>1</v>
      </c>
      <c r="I370" s="10" t="n">
        <v>1</v>
      </c>
      <c r="J370" s="10" t="n">
        <v>1</v>
      </c>
      <c r="K370" s="10" t="n">
        <v>0</v>
      </c>
      <c r="L370" s="10" t="n">
        <v>0</v>
      </c>
      <c r="M370" s="10" t="n">
        <v>0</v>
      </c>
      <c r="N370" s="10" t="n">
        <v>0</v>
      </c>
      <c r="P370" s="10" t="n">
        <v>69</v>
      </c>
      <c r="Q370" s="10">
        <f>A370&amp;"|"&amp;B370&amp;"|"&amp;C370&amp;"|"&amp;D370&amp;"|"&amp;E370&amp;"|"&amp;F370&amp;"|"&amp;G370&amp;"|"&amp;H370&amp;"|"&amp;I370&amp;"|"&amp;J370&amp;"|"&amp;K370&amp;"|"&amp;L370&amp;"|"&amp;M370&amp;"|"&amp;N370&amp;"|"&amp;O370&amp;"|"&amp;P370</f>
        <v/>
      </c>
      <c r="R370" s="10">
        <f>IF(COUNTIF($Q$2:$Q$1409,Q370)&gt;1,IF(COUNTIF($Q$2:Q370,Q370)=1,"Exact Duplicate - Keep First","Exact Duplicate - Remove"),"Unique")</f>
        <v/>
      </c>
    </row>
    <row r="371" ht="15" customHeight="1" s="11">
      <c r="A371" s="10" t="inlineStr">
        <is>
          <t>USR-100370</t>
        </is>
      </c>
      <c r="B371" s="14" t="n">
        <v>45665</v>
      </c>
      <c r="C371" s="10" t="inlineStr">
        <is>
          <t>Control</t>
        </is>
      </c>
      <c r="D371" s="10" t="inlineStr">
        <is>
          <t>North</t>
        </is>
      </c>
      <c r="E371" s="10" t="inlineStr">
        <is>
          <t>Mobile</t>
        </is>
      </c>
      <c r="F371" s="10" t="inlineStr">
        <is>
          <t>Referral</t>
        </is>
      </c>
      <c r="G371" s="10" t="inlineStr">
        <is>
          <t>Premium</t>
        </is>
      </c>
      <c r="H371" s="10" t="n">
        <v>1</v>
      </c>
      <c r="I371" s="10" t="n">
        <v>1</v>
      </c>
      <c r="J371" s="10" t="n">
        <v>1</v>
      </c>
      <c r="K371" s="10" t="n">
        <v>0</v>
      </c>
      <c r="L371" s="10" t="n">
        <v>0</v>
      </c>
      <c r="M371" s="10" t="n">
        <v>1</v>
      </c>
      <c r="N371" s="10" t="n">
        <v>0</v>
      </c>
      <c r="P371" s="10" t="n">
        <v>80.8</v>
      </c>
      <c r="Q371" s="10">
        <f>A371&amp;"|"&amp;B371&amp;"|"&amp;C371&amp;"|"&amp;D371&amp;"|"&amp;E371&amp;"|"&amp;F371&amp;"|"&amp;G371&amp;"|"&amp;H371&amp;"|"&amp;I371&amp;"|"&amp;J371&amp;"|"&amp;K371&amp;"|"&amp;L371&amp;"|"&amp;M371&amp;"|"&amp;N371&amp;"|"&amp;O371&amp;"|"&amp;P371</f>
        <v/>
      </c>
      <c r="R371" s="10">
        <f>IF(COUNTIF($Q$2:$Q$1409,Q371)&gt;1,IF(COUNTIF($Q$2:Q371,Q371)=1,"Exact Duplicate - Keep First","Exact Duplicate - Remove"),"Unique")</f>
        <v/>
      </c>
    </row>
    <row r="372" ht="15" customHeight="1" s="11">
      <c r="A372" s="10" t="inlineStr">
        <is>
          <t>USR-100371</t>
        </is>
      </c>
      <c r="B372" s="14" t="n">
        <v>45730</v>
      </c>
      <c r="C372" s="10" t="inlineStr">
        <is>
          <t>Control</t>
        </is>
      </c>
      <c r="D372" s="10" t="inlineStr">
        <is>
          <t>East</t>
        </is>
      </c>
      <c r="E372" s="10" t="inlineStr">
        <is>
          <t>Mobile</t>
        </is>
      </c>
      <c r="F372" s="10" t="inlineStr">
        <is>
          <t>Email</t>
        </is>
      </c>
      <c r="G372" s="10" t="inlineStr">
        <is>
          <t>Free</t>
        </is>
      </c>
      <c r="H372" s="10" t="n">
        <v>0</v>
      </c>
      <c r="I372" s="10" t="n">
        <v>0</v>
      </c>
      <c r="J372" s="10" t="n">
        <v>0</v>
      </c>
      <c r="K372" s="10" t="n">
        <v>0</v>
      </c>
      <c r="L372" s="10" t="n">
        <v>0</v>
      </c>
      <c r="M372" s="10" t="n">
        <v>0</v>
      </c>
      <c r="N372" s="10" t="n">
        <v>0</v>
      </c>
      <c r="P372" s="10" t="n">
        <v>32.8</v>
      </c>
      <c r="Q372" s="10">
        <f>A372&amp;"|"&amp;B372&amp;"|"&amp;C372&amp;"|"&amp;D372&amp;"|"&amp;E372&amp;"|"&amp;F372&amp;"|"&amp;G372&amp;"|"&amp;H372&amp;"|"&amp;I372&amp;"|"&amp;J372&amp;"|"&amp;K372&amp;"|"&amp;L372&amp;"|"&amp;M372&amp;"|"&amp;N372&amp;"|"&amp;O372&amp;"|"&amp;P372</f>
        <v/>
      </c>
      <c r="R372" s="10">
        <f>IF(COUNTIF($Q$2:$Q$1409,Q372)&gt;1,IF(COUNTIF($Q$2:Q372,Q372)=1,"Exact Duplicate - Keep First","Exact Duplicate - Remove"),"Unique")</f>
        <v/>
      </c>
    </row>
    <row r="373" ht="15" customHeight="1" s="11">
      <c r="A373" s="10" t="inlineStr">
        <is>
          <t>USR-100372</t>
        </is>
      </c>
      <c r="B373" s="14" t="n">
        <v>45776</v>
      </c>
      <c r="C373" s="10" t="inlineStr">
        <is>
          <t>Control</t>
        </is>
      </c>
      <c r="D373" s="10" t="inlineStr">
        <is>
          <t>North</t>
        </is>
      </c>
      <c r="E373" s="10" t="inlineStr">
        <is>
          <t>Desktop</t>
        </is>
      </c>
      <c r="F373" s="10" t="inlineStr">
        <is>
          <t>Paid Search</t>
        </is>
      </c>
      <c r="G373" s="10" t="inlineStr">
        <is>
          <t>Premium</t>
        </is>
      </c>
      <c r="H373" s="10" t="n">
        <v>1</v>
      </c>
      <c r="I373" s="10" t="n">
        <v>0</v>
      </c>
      <c r="J373" s="10" t="n">
        <v>0</v>
      </c>
      <c r="K373" s="10" t="n">
        <v>0</v>
      </c>
      <c r="L373" s="10" t="n">
        <v>0</v>
      </c>
      <c r="M373" s="10" t="n">
        <v>0</v>
      </c>
      <c r="N373" s="10" t="n">
        <v>0</v>
      </c>
      <c r="P373" s="10" t="n">
        <v>56</v>
      </c>
      <c r="Q373" s="10">
        <f>A373&amp;"|"&amp;B373&amp;"|"&amp;C373&amp;"|"&amp;D373&amp;"|"&amp;E373&amp;"|"&amp;F373&amp;"|"&amp;G373&amp;"|"&amp;H373&amp;"|"&amp;I373&amp;"|"&amp;J373&amp;"|"&amp;K373&amp;"|"&amp;L373&amp;"|"&amp;M373&amp;"|"&amp;N373&amp;"|"&amp;O373&amp;"|"&amp;P373</f>
        <v/>
      </c>
      <c r="R373" s="10">
        <f>IF(COUNTIF($Q$2:$Q$1409,Q373)&gt;1,IF(COUNTIF($Q$2:Q373,Q373)=1,"Exact Duplicate - Keep First","Exact Duplicate - Remove"),"Unique")</f>
        <v/>
      </c>
    </row>
    <row r="374" ht="15" customHeight="1" s="11">
      <c r="A374" s="10" t="inlineStr">
        <is>
          <t>USR-100373</t>
        </is>
      </c>
      <c r="B374" s="14" t="n">
        <v>45778</v>
      </c>
      <c r="C374" s="10" t="inlineStr">
        <is>
          <t>Control</t>
        </is>
      </c>
      <c r="D374" s="10" t="inlineStr">
        <is>
          <t>East</t>
        </is>
      </c>
      <c r="E374" s="10" t="inlineStr">
        <is>
          <t>Desktop</t>
        </is>
      </c>
      <c r="F374" s="10" t="inlineStr">
        <is>
          <t>Social</t>
        </is>
      </c>
      <c r="G374" s="10" t="inlineStr">
        <is>
          <t>Free</t>
        </is>
      </c>
      <c r="H374" s="10" t="n">
        <v>1</v>
      </c>
      <c r="I374" s="10" t="n">
        <v>0</v>
      </c>
      <c r="J374" s="10" t="n">
        <v>0</v>
      </c>
      <c r="K374" s="10" t="n">
        <v>0</v>
      </c>
      <c r="L374" s="10" t="n">
        <v>0</v>
      </c>
      <c r="M374" s="10" t="n">
        <v>0</v>
      </c>
      <c r="N374" s="10" t="n">
        <v>0</v>
      </c>
      <c r="P374" s="10" t="n">
        <v>76.40000000000001</v>
      </c>
      <c r="Q374" s="10">
        <f>A374&amp;"|"&amp;B374&amp;"|"&amp;C374&amp;"|"&amp;D374&amp;"|"&amp;E374&amp;"|"&amp;F374&amp;"|"&amp;G374&amp;"|"&amp;H374&amp;"|"&amp;I374&amp;"|"&amp;J374&amp;"|"&amp;K374&amp;"|"&amp;L374&amp;"|"&amp;M374&amp;"|"&amp;N374&amp;"|"&amp;O374&amp;"|"&amp;P374</f>
        <v/>
      </c>
      <c r="R374" s="10">
        <f>IF(COUNTIF($Q$2:$Q$1409,Q374)&gt;1,IF(COUNTIF($Q$2:Q374,Q374)=1,"Exact Duplicate - Keep First","Exact Duplicate - Remove"),"Unique")</f>
        <v/>
      </c>
    </row>
    <row r="375" ht="15" customHeight="1" s="11">
      <c r="A375" s="10" t="inlineStr">
        <is>
          <t>USR-100374</t>
        </is>
      </c>
      <c r="B375" s="14" t="n">
        <v>45735</v>
      </c>
      <c r="C375" s="10" t="inlineStr">
        <is>
          <t>Control</t>
        </is>
      </c>
      <c r="D375" s="10" t="inlineStr">
        <is>
          <t>North</t>
        </is>
      </c>
      <c r="E375" s="10" t="inlineStr">
        <is>
          <t>Mobile</t>
        </is>
      </c>
      <c r="F375" s="10" t="inlineStr">
        <is>
          <t>Referral</t>
        </is>
      </c>
      <c r="G375" s="10" t="inlineStr">
        <is>
          <t>Free</t>
        </is>
      </c>
      <c r="H375" s="10" t="n">
        <v>1</v>
      </c>
      <c r="I375" s="10" t="n">
        <v>0</v>
      </c>
      <c r="J375" s="10" t="n">
        <v>0</v>
      </c>
      <c r="K375" s="10" t="n">
        <v>0</v>
      </c>
      <c r="L375" s="10" t="n">
        <v>0</v>
      </c>
      <c r="M375" s="10" t="n">
        <v>0</v>
      </c>
      <c r="N375" s="10" t="n">
        <v>0</v>
      </c>
      <c r="P375" s="10" t="n">
        <v>28.5</v>
      </c>
      <c r="Q375" s="10">
        <f>A375&amp;"|"&amp;B375&amp;"|"&amp;C375&amp;"|"&amp;D375&amp;"|"&amp;E375&amp;"|"&amp;F375&amp;"|"&amp;G375&amp;"|"&amp;H375&amp;"|"&amp;I375&amp;"|"&amp;J375&amp;"|"&amp;K375&amp;"|"&amp;L375&amp;"|"&amp;M375&amp;"|"&amp;N375&amp;"|"&amp;O375&amp;"|"&amp;P375</f>
        <v/>
      </c>
      <c r="R375" s="10">
        <f>IF(COUNTIF($Q$2:$Q$1409,Q375)&gt;1,IF(COUNTIF($Q$2:Q375,Q375)=1,"Exact Duplicate - Keep First","Exact Duplicate - Remove"),"Unique")</f>
        <v/>
      </c>
    </row>
    <row r="376" ht="15" customHeight="1" s="11">
      <c r="A376" s="10" t="inlineStr">
        <is>
          <t>USR-100375</t>
        </is>
      </c>
      <c r="B376" s="14" t="n">
        <v>45778</v>
      </c>
      <c r="C376" s="10" t="inlineStr">
        <is>
          <t>Control</t>
        </is>
      </c>
      <c r="D376" s="10" t="inlineStr">
        <is>
          <t>South</t>
        </is>
      </c>
      <c r="E376" s="10" t="inlineStr">
        <is>
          <t>Desktop</t>
        </is>
      </c>
      <c r="F376" s="10" t="inlineStr">
        <is>
          <t>Social</t>
        </is>
      </c>
      <c r="G376" s="10" t="inlineStr">
        <is>
          <t>Basic</t>
        </is>
      </c>
      <c r="H376" s="10" t="n">
        <v>1</v>
      </c>
      <c r="I376" s="10" t="n">
        <v>1</v>
      </c>
      <c r="J376" s="10" t="n">
        <v>1</v>
      </c>
      <c r="K376" s="10" t="n">
        <v>0</v>
      </c>
      <c r="L376" s="10" t="n">
        <v>0</v>
      </c>
      <c r="M376" s="10" t="n">
        <v>0</v>
      </c>
      <c r="N376" s="10" t="n">
        <v>0</v>
      </c>
      <c r="P376" s="10" t="n">
        <v>48.3</v>
      </c>
      <c r="Q376" s="10">
        <f>A376&amp;"|"&amp;B376&amp;"|"&amp;C376&amp;"|"&amp;D376&amp;"|"&amp;E376&amp;"|"&amp;F376&amp;"|"&amp;G376&amp;"|"&amp;H376&amp;"|"&amp;I376&amp;"|"&amp;J376&amp;"|"&amp;K376&amp;"|"&amp;L376&amp;"|"&amp;M376&amp;"|"&amp;N376&amp;"|"&amp;O376&amp;"|"&amp;P376</f>
        <v/>
      </c>
      <c r="R376" s="10">
        <f>IF(COUNTIF($Q$2:$Q$1409,Q376)&gt;1,IF(COUNTIF($Q$2:Q376,Q376)=1,"Exact Duplicate - Keep First","Exact Duplicate - Remove"),"Unique")</f>
        <v/>
      </c>
    </row>
    <row r="377" ht="15" customHeight="1" s="11">
      <c r="A377" s="10" t="inlineStr">
        <is>
          <t>USR-100376</t>
        </is>
      </c>
      <c r="B377" s="14" t="n">
        <v>45730</v>
      </c>
      <c r="C377" s="10" t="inlineStr">
        <is>
          <t>Control</t>
        </is>
      </c>
      <c r="D377" s="10" t="inlineStr">
        <is>
          <t>West</t>
        </is>
      </c>
      <c r="E377" s="10" t="inlineStr">
        <is>
          <t>Mobile</t>
        </is>
      </c>
      <c r="F377" s="10" t="inlineStr">
        <is>
          <t>Organic</t>
        </is>
      </c>
      <c r="G377" s="10" t="inlineStr">
        <is>
          <t>Free</t>
        </is>
      </c>
      <c r="H377" s="10" t="n">
        <v>1</v>
      </c>
      <c r="I377" s="10" t="n">
        <v>1</v>
      </c>
      <c r="J377" s="10" t="n">
        <v>0</v>
      </c>
      <c r="K377" s="10" t="n">
        <v>0</v>
      </c>
      <c r="L377" s="10" t="n">
        <v>0</v>
      </c>
      <c r="M377" s="10" t="n">
        <v>0</v>
      </c>
      <c r="N377" s="10" t="n">
        <v>0</v>
      </c>
      <c r="P377" s="10" t="n">
        <v>43.4</v>
      </c>
      <c r="Q377" s="10">
        <f>A377&amp;"|"&amp;B377&amp;"|"&amp;C377&amp;"|"&amp;D377&amp;"|"&amp;E377&amp;"|"&amp;F377&amp;"|"&amp;G377&amp;"|"&amp;H377&amp;"|"&amp;I377&amp;"|"&amp;J377&amp;"|"&amp;K377&amp;"|"&amp;L377&amp;"|"&amp;M377&amp;"|"&amp;N377&amp;"|"&amp;O377&amp;"|"&amp;P377</f>
        <v/>
      </c>
      <c r="R377" s="10">
        <f>IF(COUNTIF($Q$2:$Q$1409,Q377)&gt;1,IF(COUNTIF($Q$2:Q377,Q377)=1,"Exact Duplicate - Keep First","Exact Duplicate - Remove"),"Unique")</f>
        <v/>
      </c>
    </row>
    <row r="378" ht="15" customHeight="1" s="11">
      <c r="A378" s="10" t="inlineStr">
        <is>
          <t>USR-100377</t>
        </is>
      </c>
      <c r="B378" s="14" t="n">
        <v>45739</v>
      </c>
      <c r="C378" s="10" t="inlineStr">
        <is>
          <t>Control</t>
        </is>
      </c>
      <c r="D378" s="10" t="inlineStr">
        <is>
          <t>North</t>
        </is>
      </c>
      <c r="E378" s="10" t="inlineStr">
        <is>
          <t>Mobile</t>
        </is>
      </c>
      <c r="F378" s="10" t="inlineStr">
        <is>
          <t>Paid Search</t>
        </is>
      </c>
      <c r="G378" s="10" t="inlineStr">
        <is>
          <t>Free</t>
        </is>
      </c>
      <c r="H378" s="10" t="n">
        <v>0</v>
      </c>
      <c r="I378" s="10" t="n">
        <v>0</v>
      </c>
      <c r="J378" s="10" t="n">
        <v>0</v>
      </c>
      <c r="K378" s="10" t="n">
        <v>0</v>
      </c>
      <c r="L378" s="10" t="n">
        <v>0</v>
      </c>
      <c r="M378" s="10" t="n">
        <v>0</v>
      </c>
      <c r="N378" s="10" t="n">
        <v>0</v>
      </c>
      <c r="P378" s="10" t="n">
        <v>43</v>
      </c>
      <c r="Q378" s="10">
        <f>A378&amp;"|"&amp;B378&amp;"|"&amp;C378&amp;"|"&amp;D378&amp;"|"&amp;E378&amp;"|"&amp;F378&amp;"|"&amp;G378&amp;"|"&amp;H378&amp;"|"&amp;I378&amp;"|"&amp;J378&amp;"|"&amp;K378&amp;"|"&amp;L378&amp;"|"&amp;M378&amp;"|"&amp;N378&amp;"|"&amp;O378&amp;"|"&amp;P378</f>
        <v/>
      </c>
      <c r="R378" s="10">
        <f>IF(COUNTIF($Q$2:$Q$1409,Q378)&gt;1,IF(COUNTIF($Q$2:Q378,Q378)=1,"Exact Duplicate - Keep First","Exact Duplicate - Remove"),"Unique")</f>
        <v/>
      </c>
    </row>
    <row r="379" ht="15" customHeight="1" s="11">
      <c r="A379" s="10" t="inlineStr">
        <is>
          <t>USR-100378</t>
        </is>
      </c>
      <c r="B379" s="14" t="n">
        <v>45696</v>
      </c>
      <c r="C379" s="10" t="inlineStr">
        <is>
          <t>Control</t>
        </is>
      </c>
      <c r="D379" s="10" t="inlineStr">
        <is>
          <t>East</t>
        </is>
      </c>
      <c r="E379" s="10" t="inlineStr">
        <is>
          <t>Mobile</t>
        </is>
      </c>
      <c r="F379" s="10" t="inlineStr">
        <is>
          <t>Referral</t>
        </is>
      </c>
      <c r="G379" s="10" t="inlineStr">
        <is>
          <t>Basic</t>
        </is>
      </c>
      <c r="H379" s="10" t="n">
        <v>1</v>
      </c>
      <c r="I379" s="10" t="n">
        <v>1</v>
      </c>
      <c r="J379" s="10" t="n">
        <v>1</v>
      </c>
      <c r="K379" s="10" t="n">
        <v>0</v>
      </c>
      <c r="L379" s="10" t="n">
        <v>0</v>
      </c>
      <c r="M379" s="10" t="n">
        <v>0</v>
      </c>
      <c r="N379" s="10" t="n">
        <v>0</v>
      </c>
      <c r="P379" s="10" t="n">
        <v>91.8</v>
      </c>
      <c r="Q379" s="10">
        <f>A379&amp;"|"&amp;B379&amp;"|"&amp;C379&amp;"|"&amp;D379&amp;"|"&amp;E379&amp;"|"&amp;F379&amp;"|"&amp;G379&amp;"|"&amp;H379&amp;"|"&amp;I379&amp;"|"&amp;J379&amp;"|"&amp;K379&amp;"|"&amp;L379&amp;"|"&amp;M379&amp;"|"&amp;N379&amp;"|"&amp;O379&amp;"|"&amp;P379</f>
        <v/>
      </c>
      <c r="R379" s="10">
        <f>IF(COUNTIF($Q$2:$Q$1409,Q379)&gt;1,IF(COUNTIF($Q$2:Q379,Q379)=1,"Exact Duplicate - Keep First","Exact Duplicate - Remove"),"Unique")</f>
        <v/>
      </c>
    </row>
    <row r="380" ht="15" customHeight="1" s="11">
      <c r="A380" s="10" t="inlineStr">
        <is>
          <t>USR-100379</t>
        </is>
      </c>
      <c r="B380" s="14" t="n">
        <v>45762</v>
      </c>
      <c r="C380" s="10" t="inlineStr">
        <is>
          <t>Control</t>
        </is>
      </c>
      <c r="D380" s="10" t="inlineStr">
        <is>
          <t>West</t>
        </is>
      </c>
      <c r="E380" s="10" t="inlineStr">
        <is>
          <t>Tablet</t>
        </is>
      </c>
      <c r="F380" s="10" t="inlineStr">
        <is>
          <t>Paid Search</t>
        </is>
      </c>
      <c r="G380" s="10" t="inlineStr">
        <is>
          <t>Basic</t>
        </is>
      </c>
      <c r="H380" s="10" t="n">
        <v>1</v>
      </c>
      <c r="I380" s="10" t="n">
        <v>0</v>
      </c>
      <c r="J380" s="10" t="n">
        <v>0</v>
      </c>
      <c r="K380" s="10" t="n">
        <v>0</v>
      </c>
      <c r="L380" s="10" t="n">
        <v>0</v>
      </c>
      <c r="M380" s="10" t="n">
        <v>1</v>
      </c>
      <c r="N380" s="10" t="n">
        <v>0</v>
      </c>
      <c r="P380" s="10" t="n">
        <v>69.3</v>
      </c>
      <c r="Q380" s="10">
        <f>A380&amp;"|"&amp;B380&amp;"|"&amp;C380&amp;"|"&amp;D380&amp;"|"&amp;E380&amp;"|"&amp;F380&amp;"|"&amp;G380&amp;"|"&amp;H380&amp;"|"&amp;I380&amp;"|"&amp;J380&amp;"|"&amp;K380&amp;"|"&amp;L380&amp;"|"&amp;M380&amp;"|"&amp;N380&amp;"|"&amp;O380&amp;"|"&amp;P380</f>
        <v/>
      </c>
      <c r="R380" s="10">
        <f>IF(COUNTIF($Q$2:$Q$1409,Q380)&gt;1,IF(COUNTIF($Q$2:Q380,Q380)=1,"Exact Duplicate - Keep First","Exact Duplicate - Remove"),"Unique")</f>
        <v/>
      </c>
    </row>
    <row r="381" ht="15" customHeight="1" s="11">
      <c r="A381" s="10" t="inlineStr">
        <is>
          <t>USR-100380</t>
        </is>
      </c>
      <c r="B381" s="14" t="n">
        <v>45660</v>
      </c>
      <c r="C381" s="10" t="inlineStr">
        <is>
          <t>Control</t>
        </is>
      </c>
      <c r="D381" s="10" t="inlineStr">
        <is>
          <t>South</t>
        </is>
      </c>
      <c r="E381" s="10" t="inlineStr">
        <is>
          <t>Desktop</t>
        </is>
      </c>
      <c r="F381" s="10" t="inlineStr">
        <is>
          <t>Paid Search</t>
        </is>
      </c>
      <c r="G381" s="10" t="inlineStr">
        <is>
          <t>Basic</t>
        </is>
      </c>
      <c r="H381" s="10" t="n">
        <v>1</v>
      </c>
      <c r="I381" s="10" t="n">
        <v>0</v>
      </c>
      <c r="J381" s="10" t="n">
        <v>0</v>
      </c>
      <c r="K381" s="10" t="n">
        <v>0</v>
      </c>
      <c r="L381" s="10" t="n">
        <v>0</v>
      </c>
      <c r="M381" s="10" t="n">
        <v>0</v>
      </c>
      <c r="N381" s="10" t="n">
        <v>0</v>
      </c>
      <c r="P381" s="10" t="n">
        <v>58.9</v>
      </c>
      <c r="Q381" s="10">
        <f>A381&amp;"|"&amp;B381&amp;"|"&amp;C381&amp;"|"&amp;D381&amp;"|"&amp;E381&amp;"|"&amp;F381&amp;"|"&amp;G381&amp;"|"&amp;H381&amp;"|"&amp;I381&amp;"|"&amp;J381&amp;"|"&amp;K381&amp;"|"&amp;L381&amp;"|"&amp;M381&amp;"|"&amp;N381&amp;"|"&amp;O381&amp;"|"&amp;P381</f>
        <v/>
      </c>
      <c r="R381" s="10">
        <f>IF(COUNTIF($Q$2:$Q$1409,Q381)&gt;1,IF(COUNTIF($Q$2:Q381,Q381)=1,"Exact Duplicate - Keep First","Exact Duplicate - Remove"),"Unique")</f>
        <v/>
      </c>
    </row>
    <row r="382" ht="15" customHeight="1" s="11">
      <c r="A382" s="10" t="inlineStr">
        <is>
          <t>USR-100381</t>
        </is>
      </c>
      <c r="B382" s="14" t="n">
        <v>45739</v>
      </c>
      <c r="C382" s="10" t="inlineStr">
        <is>
          <t>Control</t>
        </is>
      </c>
      <c r="D382" s="10" t="inlineStr">
        <is>
          <t>West</t>
        </is>
      </c>
      <c r="E382" s="10" t="inlineStr">
        <is>
          <t>Mobile</t>
        </is>
      </c>
      <c r="F382" s="10" t="inlineStr">
        <is>
          <t>Social</t>
        </is>
      </c>
      <c r="G382" s="10" t="inlineStr">
        <is>
          <t>Free</t>
        </is>
      </c>
      <c r="H382" s="10" t="n">
        <v>1</v>
      </c>
      <c r="I382" s="10" t="n">
        <v>1</v>
      </c>
      <c r="J382" s="10" t="n">
        <v>1</v>
      </c>
      <c r="K382" s="10" t="n">
        <v>0</v>
      </c>
      <c r="L382" s="10" t="n">
        <v>0</v>
      </c>
      <c r="M382" s="10" t="n">
        <v>0</v>
      </c>
      <c r="N382" s="10" t="n">
        <v>0</v>
      </c>
      <c r="P382" s="10" t="n">
        <v>76</v>
      </c>
      <c r="Q382" s="10">
        <f>A382&amp;"|"&amp;B382&amp;"|"&amp;C382&amp;"|"&amp;D382&amp;"|"&amp;E382&amp;"|"&amp;F382&amp;"|"&amp;G382&amp;"|"&amp;H382&amp;"|"&amp;I382&amp;"|"&amp;J382&amp;"|"&amp;K382&amp;"|"&amp;L382&amp;"|"&amp;M382&amp;"|"&amp;N382&amp;"|"&amp;O382&amp;"|"&amp;P382</f>
        <v/>
      </c>
      <c r="R382" s="10">
        <f>IF(COUNTIF($Q$2:$Q$1409,Q382)&gt;1,IF(COUNTIF($Q$2:Q382,Q382)=1,"Exact Duplicate - Keep First","Exact Duplicate - Remove"),"Unique")</f>
        <v/>
      </c>
    </row>
    <row r="383" ht="15" customHeight="1" s="11">
      <c r="A383" s="10" t="inlineStr">
        <is>
          <t>USR-100382</t>
        </is>
      </c>
      <c r="B383" s="14" t="n">
        <v>45804</v>
      </c>
      <c r="C383" s="10" t="inlineStr">
        <is>
          <t>Control</t>
        </is>
      </c>
      <c r="D383" s="10" t="inlineStr">
        <is>
          <t>South</t>
        </is>
      </c>
      <c r="E383" s="10" t="inlineStr">
        <is>
          <t>Mobile</t>
        </is>
      </c>
      <c r="F383" s="10" t="inlineStr">
        <is>
          <t>Referral</t>
        </is>
      </c>
      <c r="G383" s="10" t="inlineStr">
        <is>
          <t>Premium</t>
        </is>
      </c>
      <c r="H383" s="10" t="n">
        <v>1</v>
      </c>
      <c r="I383" s="10" t="n">
        <v>0</v>
      </c>
      <c r="J383" s="10" t="n">
        <v>0</v>
      </c>
      <c r="K383" s="10" t="n">
        <v>0</v>
      </c>
      <c r="L383" s="10" t="n">
        <v>0</v>
      </c>
      <c r="M383" s="10" t="n">
        <v>0</v>
      </c>
      <c r="N383" s="10" t="n">
        <v>0</v>
      </c>
      <c r="P383" s="10" t="n">
        <v>46</v>
      </c>
      <c r="Q383" s="10">
        <f>A383&amp;"|"&amp;B383&amp;"|"&amp;C383&amp;"|"&amp;D383&amp;"|"&amp;E383&amp;"|"&amp;F383&amp;"|"&amp;G383&amp;"|"&amp;H383&amp;"|"&amp;I383&amp;"|"&amp;J383&amp;"|"&amp;K383&amp;"|"&amp;L383&amp;"|"&amp;M383&amp;"|"&amp;N383&amp;"|"&amp;O383&amp;"|"&amp;P383</f>
        <v/>
      </c>
      <c r="R383" s="10">
        <f>IF(COUNTIF($Q$2:$Q$1409,Q383)&gt;1,IF(COUNTIF($Q$2:Q383,Q383)=1,"Exact Duplicate - Keep First","Exact Duplicate - Remove"),"Unique")</f>
        <v/>
      </c>
    </row>
    <row r="384" ht="15" customHeight="1" s="11">
      <c r="A384" s="10" t="inlineStr">
        <is>
          <t>USR-100383</t>
        </is>
      </c>
      <c r="B384" s="14" t="n">
        <v>45777</v>
      </c>
      <c r="C384" s="10" t="inlineStr">
        <is>
          <t>Control</t>
        </is>
      </c>
      <c r="D384" s="10" t="inlineStr">
        <is>
          <t>East</t>
        </is>
      </c>
      <c r="E384" s="10" t="inlineStr">
        <is>
          <t>Mobile</t>
        </is>
      </c>
      <c r="F384" s="10" t="inlineStr">
        <is>
          <t>Organic</t>
        </is>
      </c>
      <c r="G384" s="10" t="inlineStr">
        <is>
          <t>Free</t>
        </is>
      </c>
      <c r="H384" s="10" t="n">
        <v>1</v>
      </c>
      <c r="I384" s="10" t="n">
        <v>0</v>
      </c>
      <c r="J384" s="10" t="n">
        <v>0</v>
      </c>
      <c r="K384" s="10" t="n">
        <v>0</v>
      </c>
      <c r="L384" s="10" t="n">
        <v>0</v>
      </c>
      <c r="M384" s="10" t="n">
        <v>0</v>
      </c>
      <c r="N384" s="10" t="n">
        <v>0</v>
      </c>
      <c r="P384" s="10" t="n">
        <v>54.1</v>
      </c>
      <c r="Q384" s="10">
        <f>A384&amp;"|"&amp;B384&amp;"|"&amp;C384&amp;"|"&amp;D384&amp;"|"&amp;E384&amp;"|"&amp;F384&amp;"|"&amp;G384&amp;"|"&amp;H384&amp;"|"&amp;I384&amp;"|"&amp;J384&amp;"|"&amp;K384&amp;"|"&amp;L384&amp;"|"&amp;M384&amp;"|"&amp;N384&amp;"|"&amp;O384&amp;"|"&amp;P384</f>
        <v/>
      </c>
      <c r="R384" s="10">
        <f>IF(COUNTIF($Q$2:$Q$1409,Q384)&gt;1,IF(COUNTIF($Q$2:Q384,Q384)=1,"Exact Duplicate - Keep First","Exact Duplicate - Remove"),"Unique")</f>
        <v/>
      </c>
    </row>
    <row r="385" ht="15" customHeight="1" s="11">
      <c r="A385" s="10" t="inlineStr">
        <is>
          <t>USR-100384</t>
        </is>
      </c>
      <c r="B385" s="14" t="n">
        <v>45723</v>
      </c>
      <c r="C385" s="10" t="inlineStr">
        <is>
          <t>Control</t>
        </is>
      </c>
      <c r="D385" s="10" t="inlineStr">
        <is>
          <t>West</t>
        </is>
      </c>
      <c r="E385" s="10" t="inlineStr">
        <is>
          <t>Mobile</t>
        </is>
      </c>
      <c r="F385" s="10" t="inlineStr">
        <is>
          <t>Social</t>
        </is>
      </c>
      <c r="G385" s="10" t="inlineStr">
        <is>
          <t>Basic</t>
        </is>
      </c>
      <c r="H385" s="10" t="n">
        <v>1</v>
      </c>
      <c r="I385" s="10" t="n">
        <v>0</v>
      </c>
      <c r="J385" s="10" t="n">
        <v>0</v>
      </c>
      <c r="K385" s="10" t="n">
        <v>0</v>
      </c>
      <c r="L385" s="10" t="n">
        <v>0</v>
      </c>
      <c r="M385" s="10" t="n">
        <v>0</v>
      </c>
      <c r="N385" s="10" t="n">
        <v>0</v>
      </c>
      <c r="P385" s="10" t="n">
        <v>82.40000000000001</v>
      </c>
      <c r="Q385" s="10">
        <f>A385&amp;"|"&amp;B385&amp;"|"&amp;C385&amp;"|"&amp;D385&amp;"|"&amp;E385&amp;"|"&amp;F385&amp;"|"&amp;G385&amp;"|"&amp;H385&amp;"|"&amp;I385&amp;"|"&amp;J385&amp;"|"&amp;K385&amp;"|"&amp;L385&amp;"|"&amp;M385&amp;"|"&amp;N385&amp;"|"&amp;O385&amp;"|"&amp;P385</f>
        <v/>
      </c>
      <c r="R385" s="10">
        <f>IF(COUNTIF($Q$2:$Q$1409,Q385)&gt;1,IF(COUNTIF($Q$2:Q385,Q385)=1,"Exact Duplicate - Keep First","Exact Duplicate - Remove"),"Unique")</f>
        <v/>
      </c>
    </row>
    <row r="386" ht="15" customHeight="1" s="11">
      <c r="A386" s="10" t="inlineStr">
        <is>
          <t>USR-100385</t>
        </is>
      </c>
      <c r="B386" s="14" t="n">
        <v>45787</v>
      </c>
      <c r="C386" s="10" t="inlineStr">
        <is>
          <t>Control</t>
        </is>
      </c>
      <c r="D386" s="10" t="inlineStr">
        <is>
          <t>South</t>
        </is>
      </c>
      <c r="E386" s="10" t="inlineStr">
        <is>
          <t>Mobile</t>
        </is>
      </c>
      <c r="F386" s="10" t="inlineStr">
        <is>
          <t>Organic</t>
        </is>
      </c>
      <c r="G386" s="10" t="inlineStr">
        <is>
          <t>Basic</t>
        </is>
      </c>
      <c r="H386" s="10" t="n">
        <v>1</v>
      </c>
      <c r="I386" s="10" t="n">
        <v>1</v>
      </c>
      <c r="J386" s="10" t="n">
        <v>1</v>
      </c>
      <c r="K386" s="10" t="n">
        <v>0</v>
      </c>
      <c r="L386" s="10" t="n">
        <v>0</v>
      </c>
      <c r="M386" s="10" t="n">
        <v>0</v>
      </c>
      <c r="N386" s="10" t="n">
        <v>0</v>
      </c>
      <c r="P386" s="10" t="n">
        <v>71.90000000000001</v>
      </c>
      <c r="Q386" s="10">
        <f>A386&amp;"|"&amp;B386&amp;"|"&amp;C386&amp;"|"&amp;D386&amp;"|"&amp;E386&amp;"|"&amp;F386&amp;"|"&amp;G386&amp;"|"&amp;H386&amp;"|"&amp;I386&amp;"|"&amp;J386&amp;"|"&amp;K386&amp;"|"&amp;L386&amp;"|"&amp;M386&amp;"|"&amp;N386&amp;"|"&amp;O386&amp;"|"&amp;P386</f>
        <v/>
      </c>
      <c r="R386" s="10">
        <f>IF(COUNTIF($Q$2:$Q$1409,Q386)&gt;1,IF(COUNTIF($Q$2:Q386,Q386)=1,"Exact Duplicate - Keep First","Exact Duplicate - Remove"),"Unique")</f>
        <v/>
      </c>
    </row>
    <row r="387" ht="15" customHeight="1" s="11">
      <c r="A387" s="10" t="inlineStr">
        <is>
          <t>USR-100386</t>
        </is>
      </c>
      <c r="B387" s="14" t="n">
        <v>45799</v>
      </c>
      <c r="C387" s="10" t="inlineStr">
        <is>
          <t>Control</t>
        </is>
      </c>
      <c r="D387" s="10" t="inlineStr">
        <is>
          <t>East</t>
        </is>
      </c>
      <c r="E387" s="10" t="inlineStr">
        <is>
          <t>Mobile</t>
        </is>
      </c>
      <c r="F387" s="10" t="inlineStr">
        <is>
          <t>Organic</t>
        </is>
      </c>
      <c r="G387" s="10" t="inlineStr">
        <is>
          <t>Free</t>
        </is>
      </c>
      <c r="H387" s="10" t="n">
        <v>0</v>
      </c>
      <c r="I387" s="10" t="n">
        <v>0</v>
      </c>
      <c r="J387" s="10" t="n">
        <v>0</v>
      </c>
      <c r="K387" s="10" t="n">
        <v>0</v>
      </c>
      <c r="L387" s="10" t="n">
        <v>0</v>
      </c>
      <c r="M387" s="10" t="n">
        <v>2</v>
      </c>
      <c r="N387" s="10" t="n">
        <v>0</v>
      </c>
      <c r="P387" s="10" t="n">
        <v>38</v>
      </c>
      <c r="Q387" s="10">
        <f>A387&amp;"|"&amp;B387&amp;"|"&amp;C387&amp;"|"&amp;D387&amp;"|"&amp;E387&amp;"|"&amp;F387&amp;"|"&amp;G387&amp;"|"&amp;H387&amp;"|"&amp;I387&amp;"|"&amp;J387&amp;"|"&amp;K387&amp;"|"&amp;L387&amp;"|"&amp;M387&amp;"|"&amp;N387&amp;"|"&amp;O387&amp;"|"&amp;P387</f>
        <v/>
      </c>
      <c r="R387" s="10">
        <f>IF(COUNTIF($Q$2:$Q$1409,Q387)&gt;1,IF(COUNTIF($Q$2:Q387,Q387)=1,"Exact Duplicate - Keep First","Exact Duplicate - Remove"),"Unique")</f>
        <v/>
      </c>
    </row>
    <row r="388" ht="15" customHeight="1" s="11">
      <c r="A388" s="10" t="inlineStr">
        <is>
          <t>USR-100387</t>
        </is>
      </c>
      <c r="B388" s="14" t="n">
        <v>45697</v>
      </c>
      <c r="C388" s="10" t="inlineStr">
        <is>
          <t>Control</t>
        </is>
      </c>
      <c r="D388" s="10" t="inlineStr">
        <is>
          <t>East</t>
        </is>
      </c>
      <c r="E388" s="10" t="inlineStr">
        <is>
          <t>Mobile</t>
        </is>
      </c>
      <c r="F388" s="10" t="inlineStr">
        <is>
          <t>Paid Search</t>
        </is>
      </c>
      <c r="G388" s="10" t="inlineStr">
        <is>
          <t>Free</t>
        </is>
      </c>
      <c r="H388" s="10" t="n">
        <v>1</v>
      </c>
      <c r="I388" s="10" t="n">
        <v>1</v>
      </c>
      <c r="J388" s="10" t="n">
        <v>0</v>
      </c>
      <c r="K388" s="10" t="n">
        <v>0</v>
      </c>
      <c r="L388" s="10" t="n">
        <v>0</v>
      </c>
      <c r="M388" s="10" t="n">
        <v>0</v>
      </c>
      <c r="N388" s="10" t="n">
        <v>0</v>
      </c>
      <c r="P388" s="10" t="n">
        <v>43.7</v>
      </c>
      <c r="Q388" s="10">
        <f>A388&amp;"|"&amp;B388&amp;"|"&amp;C388&amp;"|"&amp;D388&amp;"|"&amp;E388&amp;"|"&amp;F388&amp;"|"&amp;G388&amp;"|"&amp;H388&amp;"|"&amp;I388&amp;"|"&amp;J388&amp;"|"&amp;K388&amp;"|"&amp;L388&amp;"|"&amp;M388&amp;"|"&amp;N388&amp;"|"&amp;O388&amp;"|"&amp;P388</f>
        <v/>
      </c>
      <c r="R388" s="10">
        <f>IF(COUNTIF($Q$2:$Q$1409,Q388)&gt;1,IF(COUNTIF($Q$2:Q388,Q388)=1,"Exact Duplicate - Keep First","Exact Duplicate - Remove"),"Unique")</f>
        <v/>
      </c>
    </row>
    <row r="389" ht="15" customHeight="1" s="11">
      <c r="A389" s="10" t="inlineStr">
        <is>
          <t>USR-100388</t>
        </is>
      </c>
      <c r="B389" s="14" t="n">
        <v>45807</v>
      </c>
      <c r="C389" s="10" t="inlineStr">
        <is>
          <t>Control</t>
        </is>
      </c>
      <c r="D389" s="10" t="inlineStr">
        <is>
          <t>West</t>
        </is>
      </c>
      <c r="E389" s="10" t="inlineStr">
        <is>
          <t>Desktop</t>
        </is>
      </c>
      <c r="F389" s="10" t="inlineStr">
        <is>
          <t>Organic</t>
        </is>
      </c>
      <c r="G389" s="10" t="inlineStr">
        <is>
          <t>Premium</t>
        </is>
      </c>
      <c r="H389" s="10" t="n">
        <v>1</v>
      </c>
      <c r="I389" s="10" t="n">
        <v>0</v>
      </c>
      <c r="J389" s="10" t="n">
        <v>0</v>
      </c>
      <c r="K389" s="10" t="n">
        <v>0</v>
      </c>
      <c r="L389" s="10" t="n">
        <v>0</v>
      </c>
      <c r="M389" s="10" t="n">
        <v>1</v>
      </c>
      <c r="N389" s="10" t="n">
        <v>0</v>
      </c>
      <c r="P389" s="10" t="n">
        <v>32.2</v>
      </c>
      <c r="Q389" s="10">
        <f>A389&amp;"|"&amp;B389&amp;"|"&amp;C389&amp;"|"&amp;D389&amp;"|"&amp;E389&amp;"|"&amp;F389&amp;"|"&amp;G389&amp;"|"&amp;H389&amp;"|"&amp;I389&amp;"|"&amp;J389&amp;"|"&amp;K389&amp;"|"&amp;L389&amp;"|"&amp;M389&amp;"|"&amp;N389&amp;"|"&amp;O389&amp;"|"&amp;P389</f>
        <v/>
      </c>
      <c r="R389" s="10">
        <f>IF(COUNTIF($Q$2:$Q$1409,Q389)&gt;1,IF(COUNTIF($Q$2:Q389,Q389)=1,"Exact Duplicate - Keep First","Exact Duplicate - Remove"),"Unique")</f>
        <v/>
      </c>
    </row>
    <row r="390" ht="15" customHeight="1" s="11">
      <c r="A390" s="10" t="inlineStr">
        <is>
          <t>USR-100389</t>
        </is>
      </c>
      <c r="B390" s="14" t="n">
        <v>45778</v>
      </c>
      <c r="C390" s="10" t="inlineStr">
        <is>
          <t>Control</t>
        </is>
      </c>
      <c r="D390" s="10" t="inlineStr">
        <is>
          <t>South</t>
        </is>
      </c>
      <c r="E390" s="10" t="inlineStr">
        <is>
          <t>Mobile</t>
        </is>
      </c>
      <c r="F390" s="10" t="inlineStr">
        <is>
          <t>Organic</t>
        </is>
      </c>
      <c r="G390" s="10" t="inlineStr">
        <is>
          <t>Premium</t>
        </is>
      </c>
      <c r="H390" s="10" t="n">
        <v>1</v>
      </c>
      <c r="I390" s="10" t="n">
        <v>0</v>
      </c>
      <c r="J390" s="10" t="n">
        <v>0</v>
      </c>
      <c r="K390" s="10" t="n">
        <v>0</v>
      </c>
      <c r="L390" s="10" t="n">
        <v>0</v>
      </c>
      <c r="M390" s="10" t="n">
        <v>0</v>
      </c>
      <c r="N390" s="10" t="n">
        <v>0</v>
      </c>
      <c r="P390" s="10" t="n">
        <v>61</v>
      </c>
      <c r="Q390" s="10">
        <f>A390&amp;"|"&amp;B390&amp;"|"&amp;C390&amp;"|"&amp;D390&amp;"|"&amp;E390&amp;"|"&amp;F390&amp;"|"&amp;G390&amp;"|"&amp;H390&amp;"|"&amp;I390&amp;"|"&amp;J390&amp;"|"&amp;K390&amp;"|"&amp;L390&amp;"|"&amp;M390&amp;"|"&amp;N390&amp;"|"&amp;O390&amp;"|"&amp;P390</f>
        <v/>
      </c>
      <c r="R390" s="10">
        <f>IF(COUNTIF($Q$2:$Q$1409,Q390)&gt;1,IF(COUNTIF($Q$2:Q390,Q390)=1,"Exact Duplicate - Keep First","Exact Duplicate - Remove"),"Unique")</f>
        <v/>
      </c>
    </row>
    <row r="391" ht="15" customHeight="1" s="11">
      <c r="A391" s="10" t="inlineStr">
        <is>
          <t>USR-100390</t>
        </is>
      </c>
      <c r="B391" s="14" t="n">
        <v>45660</v>
      </c>
      <c r="C391" s="10" t="inlineStr">
        <is>
          <t>Control</t>
        </is>
      </c>
      <c r="D391" s="10" t="inlineStr">
        <is>
          <t>South</t>
        </is>
      </c>
      <c r="E391" s="10" t="inlineStr">
        <is>
          <t>Mobile</t>
        </is>
      </c>
      <c r="F391" s="10" t="inlineStr">
        <is>
          <t>Paid Search</t>
        </is>
      </c>
      <c r="G391" s="10" t="inlineStr">
        <is>
          <t>Free</t>
        </is>
      </c>
      <c r="H391" s="10" t="n">
        <v>1</v>
      </c>
      <c r="I391" s="10" t="n">
        <v>0</v>
      </c>
      <c r="J391" s="10" t="n">
        <v>0</v>
      </c>
      <c r="K391" s="10" t="n">
        <v>0</v>
      </c>
      <c r="L391" s="10" t="n">
        <v>0</v>
      </c>
      <c r="M391" s="10" t="n">
        <v>0</v>
      </c>
      <c r="N391" s="10" t="n">
        <v>0</v>
      </c>
      <c r="P391" s="10" t="n">
        <v>49</v>
      </c>
      <c r="Q391" s="10">
        <f>A391&amp;"|"&amp;B391&amp;"|"&amp;C391&amp;"|"&amp;D391&amp;"|"&amp;E391&amp;"|"&amp;F391&amp;"|"&amp;G391&amp;"|"&amp;H391&amp;"|"&amp;I391&amp;"|"&amp;J391&amp;"|"&amp;K391&amp;"|"&amp;L391&amp;"|"&amp;M391&amp;"|"&amp;N391&amp;"|"&amp;O391&amp;"|"&amp;P391</f>
        <v/>
      </c>
      <c r="R391" s="10">
        <f>IF(COUNTIF($Q$2:$Q$1409,Q391)&gt;1,IF(COUNTIF($Q$2:Q391,Q391)=1,"Exact Duplicate - Keep First","Exact Duplicate - Remove"),"Unique")</f>
        <v/>
      </c>
    </row>
    <row r="392" ht="15" customHeight="1" s="11">
      <c r="A392" s="10" t="inlineStr">
        <is>
          <t>USR-100391</t>
        </is>
      </c>
      <c r="B392" s="14" t="n">
        <v>45701</v>
      </c>
      <c r="C392" s="10" t="inlineStr">
        <is>
          <t>Control</t>
        </is>
      </c>
      <c r="D392" s="10" t="inlineStr">
        <is>
          <t>East</t>
        </is>
      </c>
      <c r="E392" s="10" t="inlineStr">
        <is>
          <t>Mobile</t>
        </is>
      </c>
      <c r="F392" s="10" t="inlineStr">
        <is>
          <t>Organic</t>
        </is>
      </c>
      <c r="G392" s="10" t="inlineStr">
        <is>
          <t>Free</t>
        </is>
      </c>
      <c r="H392" s="10" t="n">
        <v>0</v>
      </c>
      <c r="I392" s="10" t="n">
        <v>0</v>
      </c>
      <c r="J392" s="10" t="n">
        <v>0</v>
      </c>
      <c r="K392" s="10" t="n">
        <v>0</v>
      </c>
      <c r="L392" s="10" t="n">
        <v>0</v>
      </c>
      <c r="M392" s="10" t="n">
        <v>0</v>
      </c>
      <c r="N392" s="10" t="n">
        <v>0</v>
      </c>
      <c r="P392" s="10" t="n">
        <v>48.1</v>
      </c>
      <c r="Q392" s="10">
        <f>A392&amp;"|"&amp;B392&amp;"|"&amp;C392&amp;"|"&amp;D392&amp;"|"&amp;E392&amp;"|"&amp;F392&amp;"|"&amp;G392&amp;"|"&amp;H392&amp;"|"&amp;I392&amp;"|"&amp;J392&amp;"|"&amp;K392&amp;"|"&amp;L392&amp;"|"&amp;M392&amp;"|"&amp;N392&amp;"|"&amp;O392&amp;"|"&amp;P392</f>
        <v/>
      </c>
      <c r="R392" s="10">
        <f>IF(COUNTIF($Q$2:$Q$1409,Q392)&gt;1,IF(COUNTIF($Q$2:Q392,Q392)=1,"Exact Duplicate - Keep First","Exact Duplicate - Remove"),"Unique")</f>
        <v/>
      </c>
    </row>
    <row r="393" ht="15" customHeight="1" s="11">
      <c r="A393" s="10" t="inlineStr">
        <is>
          <t>USR-100392</t>
        </is>
      </c>
      <c r="B393" s="14" t="n">
        <v>45671</v>
      </c>
      <c r="C393" s="10" t="inlineStr">
        <is>
          <t>Control</t>
        </is>
      </c>
      <c r="D393" s="10" t="inlineStr">
        <is>
          <t>South</t>
        </is>
      </c>
      <c r="E393" s="10" t="inlineStr">
        <is>
          <t>Desktop</t>
        </is>
      </c>
      <c r="F393" s="10" t="inlineStr">
        <is>
          <t>Organic</t>
        </is>
      </c>
      <c r="G393" s="10" t="inlineStr">
        <is>
          <t>Free</t>
        </is>
      </c>
      <c r="H393" s="10" t="n">
        <v>0</v>
      </c>
      <c r="I393" s="10" t="n">
        <v>0</v>
      </c>
      <c r="J393" s="10" t="n">
        <v>0</v>
      </c>
      <c r="K393" s="10" t="n">
        <v>0</v>
      </c>
      <c r="L393" s="10" t="n">
        <v>0</v>
      </c>
      <c r="M393" s="10" t="n">
        <v>2</v>
      </c>
      <c r="N393" s="10" t="n">
        <v>0</v>
      </c>
      <c r="P393" s="10" t="n">
        <v>46.3</v>
      </c>
      <c r="Q393" s="10">
        <f>A393&amp;"|"&amp;B393&amp;"|"&amp;C393&amp;"|"&amp;D393&amp;"|"&amp;E393&amp;"|"&amp;F393&amp;"|"&amp;G393&amp;"|"&amp;H393&amp;"|"&amp;I393&amp;"|"&amp;J393&amp;"|"&amp;K393&amp;"|"&amp;L393&amp;"|"&amp;M393&amp;"|"&amp;N393&amp;"|"&amp;O393&amp;"|"&amp;P393</f>
        <v/>
      </c>
      <c r="R393" s="10">
        <f>IF(COUNTIF($Q$2:$Q$1409,Q393)&gt;1,IF(COUNTIF($Q$2:Q393,Q393)=1,"Exact Duplicate - Keep First","Exact Duplicate - Remove"),"Unique")</f>
        <v/>
      </c>
    </row>
    <row r="394" ht="15" customHeight="1" s="11">
      <c r="A394" s="10" t="inlineStr">
        <is>
          <t>USR-100393</t>
        </is>
      </c>
      <c r="B394" s="14" t="n">
        <v>45712</v>
      </c>
      <c r="C394" s="10" t="inlineStr">
        <is>
          <t>Control</t>
        </is>
      </c>
      <c r="D394" s="10" t="inlineStr">
        <is>
          <t>North</t>
        </is>
      </c>
      <c r="E394" s="10" t="inlineStr">
        <is>
          <t>Mobile</t>
        </is>
      </c>
      <c r="F394" s="10" t="inlineStr">
        <is>
          <t>Referral</t>
        </is>
      </c>
      <c r="G394" s="10" t="inlineStr">
        <is>
          <t>Free</t>
        </is>
      </c>
      <c r="H394" s="10" t="n">
        <v>0</v>
      </c>
      <c r="I394" s="10" t="n">
        <v>0</v>
      </c>
      <c r="J394" s="10" t="n">
        <v>0</v>
      </c>
      <c r="K394" s="10" t="n">
        <v>0</v>
      </c>
      <c r="L394" s="10" t="n">
        <v>0</v>
      </c>
      <c r="M394" s="10" t="n">
        <v>0</v>
      </c>
      <c r="N394" s="10" t="n">
        <v>0</v>
      </c>
      <c r="P394" s="10" t="n">
        <v>64</v>
      </c>
      <c r="Q394" s="10">
        <f>A394&amp;"|"&amp;B394&amp;"|"&amp;C394&amp;"|"&amp;D394&amp;"|"&amp;E394&amp;"|"&amp;F394&amp;"|"&amp;G394&amp;"|"&amp;H394&amp;"|"&amp;I394&amp;"|"&amp;J394&amp;"|"&amp;K394&amp;"|"&amp;L394&amp;"|"&amp;M394&amp;"|"&amp;N394&amp;"|"&amp;O394&amp;"|"&amp;P394</f>
        <v/>
      </c>
      <c r="R394" s="10">
        <f>IF(COUNTIF($Q$2:$Q$1409,Q394)&gt;1,IF(COUNTIF($Q$2:Q394,Q394)=1,"Exact Duplicate - Keep First","Exact Duplicate - Remove"),"Unique")</f>
        <v/>
      </c>
    </row>
    <row r="395" ht="15" customHeight="1" s="11">
      <c r="A395" s="10" t="inlineStr">
        <is>
          <t>USR-100394</t>
        </is>
      </c>
      <c r="B395" s="14" t="n">
        <v>45793</v>
      </c>
      <c r="C395" s="10" t="inlineStr">
        <is>
          <t>Control</t>
        </is>
      </c>
      <c r="D395" s="10" t="inlineStr">
        <is>
          <t>West</t>
        </is>
      </c>
      <c r="E395" s="10" t="inlineStr">
        <is>
          <t>Desktop</t>
        </is>
      </c>
      <c r="F395" s="10" t="inlineStr">
        <is>
          <t>Organic</t>
        </is>
      </c>
      <c r="G395" s="10" t="inlineStr">
        <is>
          <t>Basic</t>
        </is>
      </c>
      <c r="H395" s="10" t="n">
        <v>1</v>
      </c>
      <c r="I395" s="10" t="n">
        <v>1</v>
      </c>
      <c r="J395" s="10" t="n">
        <v>0</v>
      </c>
      <c r="K395" s="10" t="n">
        <v>0</v>
      </c>
      <c r="L395" s="10" t="n">
        <v>0</v>
      </c>
      <c r="M395" s="10" t="n">
        <v>0</v>
      </c>
      <c r="N395" s="10" t="n">
        <v>0</v>
      </c>
      <c r="P395" s="10" t="n">
        <v>56.2</v>
      </c>
      <c r="Q395" s="10">
        <f>A395&amp;"|"&amp;B395&amp;"|"&amp;C395&amp;"|"&amp;D395&amp;"|"&amp;E395&amp;"|"&amp;F395&amp;"|"&amp;G395&amp;"|"&amp;H395&amp;"|"&amp;I395&amp;"|"&amp;J395&amp;"|"&amp;K395&amp;"|"&amp;L395&amp;"|"&amp;M395&amp;"|"&amp;N395&amp;"|"&amp;O395&amp;"|"&amp;P395</f>
        <v/>
      </c>
      <c r="R395" s="10">
        <f>IF(COUNTIF($Q$2:$Q$1409,Q395)&gt;1,IF(COUNTIF($Q$2:Q395,Q395)=1,"Exact Duplicate - Keep First","Exact Duplicate - Remove"),"Unique")</f>
        <v/>
      </c>
    </row>
    <row r="396" ht="15" customHeight="1" s="11">
      <c r="A396" s="10" t="inlineStr">
        <is>
          <t>USR-100395</t>
        </is>
      </c>
      <c r="B396" s="14" t="n">
        <v>45776</v>
      </c>
      <c r="C396" s="10" t="inlineStr">
        <is>
          <t>Control</t>
        </is>
      </c>
      <c r="D396" s="10" t="inlineStr">
        <is>
          <t>North</t>
        </is>
      </c>
      <c r="E396" s="10" t="inlineStr">
        <is>
          <t>Mobile</t>
        </is>
      </c>
      <c r="F396" s="10" t="inlineStr">
        <is>
          <t>Paid Search</t>
        </is>
      </c>
      <c r="G396" s="10" t="inlineStr">
        <is>
          <t>Free</t>
        </is>
      </c>
      <c r="H396" s="10" t="n">
        <v>1</v>
      </c>
      <c r="I396" s="10" t="n">
        <v>1</v>
      </c>
      <c r="J396" s="10" t="n">
        <v>1</v>
      </c>
      <c r="K396" s="10" t="n">
        <v>0</v>
      </c>
      <c r="L396" s="10" t="n">
        <v>0</v>
      </c>
      <c r="M396" s="10" t="n">
        <v>0</v>
      </c>
      <c r="N396" s="10" t="n">
        <v>0</v>
      </c>
      <c r="P396" s="10" t="n">
        <v>77.5</v>
      </c>
      <c r="Q396" s="10">
        <f>A396&amp;"|"&amp;B396&amp;"|"&amp;C396&amp;"|"&amp;D396&amp;"|"&amp;E396&amp;"|"&amp;F396&amp;"|"&amp;G396&amp;"|"&amp;H396&amp;"|"&amp;I396&amp;"|"&amp;J396&amp;"|"&amp;K396&amp;"|"&amp;L396&amp;"|"&amp;M396&amp;"|"&amp;N396&amp;"|"&amp;O396&amp;"|"&amp;P396</f>
        <v/>
      </c>
      <c r="R396" s="10">
        <f>IF(COUNTIF($Q$2:$Q$1409,Q396)&gt;1,IF(COUNTIF($Q$2:Q396,Q396)=1,"Exact Duplicate - Keep First","Exact Duplicate - Remove"),"Unique")</f>
        <v/>
      </c>
    </row>
    <row r="397" ht="15" customHeight="1" s="11">
      <c r="A397" s="10" t="inlineStr">
        <is>
          <t>USR-100396</t>
        </is>
      </c>
      <c r="B397" s="14" t="n">
        <v>45777</v>
      </c>
      <c r="C397" s="10" t="inlineStr">
        <is>
          <t>Control</t>
        </is>
      </c>
      <c r="D397" s="10" t="inlineStr">
        <is>
          <t>South</t>
        </is>
      </c>
      <c r="E397" s="10" t="inlineStr">
        <is>
          <t>Desktop</t>
        </is>
      </c>
      <c r="F397" s="10" t="inlineStr">
        <is>
          <t>Email</t>
        </is>
      </c>
      <c r="G397" s="10" t="inlineStr">
        <is>
          <t>Basic</t>
        </is>
      </c>
      <c r="H397" s="10" t="n">
        <v>1</v>
      </c>
      <c r="I397" s="10" t="n">
        <v>0</v>
      </c>
      <c r="J397" s="10" t="n">
        <v>0</v>
      </c>
      <c r="K397" s="10" t="n">
        <v>0</v>
      </c>
      <c r="L397" s="10" t="n">
        <v>0</v>
      </c>
      <c r="M397" s="10" t="n">
        <v>0</v>
      </c>
      <c r="N397" s="10" t="n">
        <v>0</v>
      </c>
      <c r="P397" s="10" t="n">
        <v>59.9</v>
      </c>
      <c r="Q397" s="10">
        <f>A397&amp;"|"&amp;B397&amp;"|"&amp;C397&amp;"|"&amp;D397&amp;"|"&amp;E397&amp;"|"&amp;F397&amp;"|"&amp;G397&amp;"|"&amp;H397&amp;"|"&amp;I397&amp;"|"&amp;J397&amp;"|"&amp;K397&amp;"|"&amp;L397&amp;"|"&amp;M397&amp;"|"&amp;N397&amp;"|"&amp;O397&amp;"|"&amp;P397</f>
        <v/>
      </c>
      <c r="R397" s="10">
        <f>IF(COUNTIF($Q$2:$Q$1409,Q397)&gt;1,IF(COUNTIF($Q$2:Q397,Q397)=1,"Exact Duplicate - Keep First","Exact Duplicate - Remove"),"Unique")</f>
        <v/>
      </c>
    </row>
    <row r="398" ht="15" customHeight="1" s="11">
      <c r="A398" s="10" t="inlineStr">
        <is>
          <t>USR-100397</t>
        </is>
      </c>
      <c r="B398" s="14" t="n">
        <v>45666</v>
      </c>
      <c r="C398" s="10" t="inlineStr">
        <is>
          <t>Control</t>
        </is>
      </c>
      <c r="D398" s="10" t="inlineStr">
        <is>
          <t>South</t>
        </is>
      </c>
      <c r="E398" s="10" t="inlineStr">
        <is>
          <t>Desktop</t>
        </is>
      </c>
      <c r="F398" s="10" t="inlineStr">
        <is>
          <t>Organic</t>
        </is>
      </c>
      <c r="G398" s="10" t="inlineStr">
        <is>
          <t>Free</t>
        </is>
      </c>
      <c r="H398" s="10" t="n">
        <v>1</v>
      </c>
      <c r="I398" s="10" t="n">
        <v>1</v>
      </c>
      <c r="J398" s="10" t="n">
        <v>0</v>
      </c>
      <c r="K398" s="10" t="n">
        <v>0</v>
      </c>
      <c r="L398" s="10" t="n">
        <v>0</v>
      </c>
      <c r="M398" s="10" t="n">
        <v>0</v>
      </c>
      <c r="N398" s="10" t="n">
        <v>0</v>
      </c>
      <c r="P398" s="10" t="n">
        <v>63</v>
      </c>
      <c r="Q398" s="10">
        <f>A398&amp;"|"&amp;B398&amp;"|"&amp;C398&amp;"|"&amp;D398&amp;"|"&amp;E398&amp;"|"&amp;F398&amp;"|"&amp;G398&amp;"|"&amp;H398&amp;"|"&amp;I398&amp;"|"&amp;J398&amp;"|"&amp;K398&amp;"|"&amp;L398&amp;"|"&amp;M398&amp;"|"&amp;N398&amp;"|"&amp;O398&amp;"|"&amp;P398</f>
        <v/>
      </c>
      <c r="R398" s="10">
        <f>IF(COUNTIF($Q$2:$Q$1409,Q398)&gt;1,IF(COUNTIF($Q$2:Q398,Q398)=1,"Exact Duplicate - Keep First","Exact Duplicate - Remove"),"Unique")</f>
        <v/>
      </c>
    </row>
    <row r="399" ht="15" customHeight="1" s="11">
      <c r="A399" s="10" t="inlineStr">
        <is>
          <t>USR-100398</t>
        </is>
      </c>
      <c r="B399" s="14" t="n">
        <v>45772</v>
      </c>
      <c r="C399" s="10" t="inlineStr">
        <is>
          <t>Control</t>
        </is>
      </c>
      <c r="D399" s="10" t="inlineStr">
        <is>
          <t>South</t>
        </is>
      </c>
      <c r="E399" s="10" t="inlineStr">
        <is>
          <t>Mobile</t>
        </is>
      </c>
      <c r="F399" s="10" t="inlineStr">
        <is>
          <t>Organic</t>
        </is>
      </c>
      <c r="G399" s="10" t="inlineStr">
        <is>
          <t>Free</t>
        </is>
      </c>
      <c r="H399" s="10" t="n">
        <v>1</v>
      </c>
      <c r="I399" s="10" t="n">
        <v>1</v>
      </c>
      <c r="J399" s="10" t="n">
        <v>0</v>
      </c>
      <c r="K399" s="10" t="n">
        <v>0</v>
      </c>
      <c r="L399" s="10" t="n">
        <v>0</v>
      </c>
      <c r="M399" s="10" t="n">
        <v>0</v>
      </c>
      <c r="N399" s="10" t="n">
        <v>0</v>
      </c>
      <c r="P399" s="10" t="n">
        <v>76.5</v>
      </c>
      <c r="Q399" s="10">
        <f>A399&amp;"|"&amp;B399&amp;"|"&amp;C399&amp;"|"&amp;D399&amp;"|"&amp;E399&amp;"|"&amp;F399&amp;"|"&amp;G399&amp;"|"&amp;H399&amp;"|"&amp;I399&amp;"|"&amp;J399&amp;"|"&amp;K399&amp;"|"&amp;L399&amp;"|"&amp;M399&amp;"|"&amp;N399&amp;"|"&amp;O399&amp;"|"&amp;P399</f>
        <v/>
      </c>
      <c r="R399" s="10">
        <f>IF(COUNTIF($Q$2:$Q$1409,Q399)&gt;1,IF(COUNTIF($Q$2:Q399,Q399)=1,"Exact Duplicate - Keep First","Exact Duplicate - Remove"),"Unique")</f>
        <v/>
      </c>
    </row>
    <row r="400" ht="15" customHeight="1" s="11">
      <c r="A400" s="10" t="inlineStr">
        <is>
          <t>USR-100399</t>
        </is>
      </c>
      <c r="B400" s="14" t="n">
        <v>45728</v>
      </c>
      <c r="C400" s="10" t="inlineStr">
        <is>
          <t>Control</t>
        </is>
      </c>
      <c r="D400" s="10" t="inlineStr">
        <is>
          <t>North</t>
        </is>
      </c>
      <c r="E400" s="10" t="inlineStr">
        <is>
          <t>Desktop</t>
        </is>
      </c>
      <c r="F400" s="10" t="inlineStr">
        <is>
          <t>Paid Search</t>
        </is>
      </c>
      <c r="G400" s="10" t="inlineStr">
        <is>
          <t>Free</t>
        </is>
      </c>
      <c r="H400" s="10" t="n">
        <v>1</v>
      </c>
      <c r="I400" s="10" t="n">
        <v>0</v>
      </c>
      <c r="J400" s="10" t="n">
        <v>0</v>
      </c>
      <c r="K400" s="10" t="n">
        <v>0</v>
      </c>
      <c r="L400" s="10" t="n">
        <v>0</v>
      </c>
      <c r="M400" s="10" t="n">
        <v>0</v>
      </c>
      <c r="N400" s="10" t="n">
        <v>0</v>
      </c>
      <c r="P400" s="10" t="n">
        <v>39.7</v>
      </c>
      <c r="Q400" s="10">
        <f>A400&amp;"|"&amp;B400&amp;"|"&amp;C400&amp;"|"&amp;D400&amp;"|"&amp;E400&amp;"|"&amp;F400&amp;"|"&amp;G400&amp;"|"&amp;H400&amp;"|"&amp;I400&amp;"|"&amp;J400&amp;"|"&amp;K400&amp;"|"&amp;L400&amp;"|"&amp;M400&amp;"|"&amp;N400&amp;"|"&amp;O400&amp;"|"&amp;P400</f>
        <v/>
      </c>
      <c r="R400" s="10">
        <f>IF(COUNTIF($Q$2:$Q$1409,Q400)&gt;1,IF(COUNTIF($Q$2:Q400,Q400)=1,"Exact Duplicate - Keep First","Exact Duplicate - Remove"),"Unique")</f>
        <v/>
      </c>
    </row>
    <row r="401" ht="15" customHeight="1" s="11">
      <c r="A401" s="10" t="inlineStr">
        <is>
          <t>USR-100400</t>
        </is>
      </c>
      <c r="B401" s="14" t="n">
        <v>45736</v>
      </c>
      <c r="C401" s="10" t="inlineStr">
        <is>
          <t>Control</t>
        </is>
      </c>
      <c r="D401" s="10" t="inlineStr">
        <is>
          <t>North</t>
        </is>
      </c>
      <c r="E401" s="10" t="inlineStr">
        <is>
          <t>Mobile</t>
        </is>
      </c>
      <c r="F401" s="10" t="inlineStr">
        <is>
          <t>Organic</t>
        </is>
      </c>
      <c r="G401" s="10" t="inlineStr">
        <is>
          <t>Free</t>
        </is>
      </c>
      <c r="H401" s="10" t="n">
        <v>1</v>
      </c>
      <c r="I401" s="10" t="n">
        <v>1</v>
      </c>
      <c r="J401" s="10" t="n">
        <v>0</v>
      </c>
      <c r="K401" s="10" t="n">
        <v>0</v>
      </c>
      <c r="L401" s="10" t="n">
        <v>0</v>
      </c>
      <c r="M401" s="10" t="n">
        <v>0</v>
      </c>
      <c r="N401" s="10" t="n">
        <v>0</v>
      </c>
      <c r="P401" s="10" t="n">
        <v>80.2</v>
      </c>
      <c r="Q401" s="10">
        <f>A401&amp;"|"&amp;B401&amp;"|"&amp;C401&amp;"|"&amp;D401&amp;"|"&amp;E401&amp;"|"&amp;F401&amp;"|"&amp;G401&amp;"|"&amp;H401&amp;"|"&amp;I401&amp;"|"&amp;J401&amp;"|"&amp;K401&amp;"|"&amp;L401&amp;"|"&amp;M401&amp;"|"&amp;N401&amp;"|"&amp;O401&amp;"|"&amp;P401</f>
        <v/>
      </c>
      <c r="R401" s="10">
        <f>IF(COUNTIF($Q$2:$Q$1409,Q401)&gt;1,IF(COUNTIF($Q$2:Q401,Q401)=1,"Exact Duplicate - Keep First","Exact Duplicate - Remove"),"Unique")</f>
        <v/>
      </c>
    </row>
    <row r="402" ht="15" customHeight="1" s="11">
      <c r="A402" s="10" t="inlineStr">
        <is>
          <t>USR-100401</t>
        </is>
      </c>
      <c r="B402" s="14" t="n">
        <v>45706</v>
      </c>
      <c r="C402" s="10" t="inlineStr">
        <is>
          <t>Control</t>
        </is>
      </c>
      <c r="D402" s="10" t="inlineStr">
        <is>
          <t>West</t>
        </is>
      </c>
      <c r="E402" s="10" t="inlineStr">
        <is>
          <t>Mobile</t>
        </is>
      </c>
      <c r="F402" s="10" t="inlineStr">
        <is>
          <t>Paid Search</t>
        </is>
      </c>
      <c r="G402" s="10" t="inlineStr">
        <is>
          <t>Free</t>
        </is>
      </c>
      <c r="H402" s="10" t="n">
        <v>1</v>
      </c>
      <c r="I402" s="10" t="n">
        <v>0</v>
      </c>
      <c r="J402" s="10" t="n">
        <v>0</v>
      </c>
      <c r="K402" s="10" t="n">
        <v>0</v>
      </c>
      <c r="L402" s="10" t="n">
        <v>0</v>
      </c>
      <c r="M402" s="10" t="n">
        <v>0</v>
      </c>
      <c r="N402" s="10" t="n">
        <v>0</v>
      </c>
      <c r="P402" s="10" t="n">
        <v>72.2</v>
      </c>
      <c r="Q402" s="10">
        <f>A402&amp;"|"&amp;B402&amp;"|"&amp;C402&amp;"|"&amp;D402&amp;"|"&amp;E402&amp;"|"&amp;F402&amp;"|"&amp;G402&amp;"|"&amp;H402&amp;"|"&amp;I402&amp;"|"&amp;J402&amp;"|"&amp;K402&amp;"|"&amp;L402&amp;"|"&amp;M402&amp;"|"&amp;N402&amp;"|"&amp;O402&amp;"|"&amp;P402</f>
        <v/>
      </c>
      <c r="R402" s="10">
        <f>IF(COUNTIF($Q$2:$Q$1409,Q402)&gt;1,IF(COUNTIF($Q$2:Q402,Q402)=1,"Exact Duplicate - Keep First","Exact Duplicate - Remove"),"Unique")</f>
        <v/>
      </c>
    </row>
    <row r="403" ht="15" customHeight="1" s="11">
      <c r="A403" s="10" t="inlineStr">
        <is>
          <t>USR-100402</t>
        </is>
      </c>
      <c r="B403" s="14" t="n">
        <v>45679</v>
      </c>
      <c r="C403" s="10" t="inlineStr">
        <is>
          <t>Control</t>
        </is>
      </c>
      <c r="D403" s="10" t="inlineStr">
        <is>
          <t>North</t>
        </is>
      </c>
      <c r="E403" s="10" t="inlineStr">
        <is>
          <t>Mobile</t>
        </is>
      </c>
      <c r="F403" s="10" t="inlineStr">
        <is>
          <t>Social</t>
        </is>
      </c>
      <c r="G403" s="10" t="inlineStr">
        <is>
          <t>Basic</t>
        </is>
      </c>
      <c r="H403" s="10" t="n">
        <v>0</v>
      </c>
      <c r="I403" s="10" t="n">
        <v>0</v>
      </c>
      <c r="J403" s="10" t="n">
        <v>0</v>
      </c>
      <c r="K403" s="10" t="n">
        <v>0</v>
      </c>
      <c r="L403" s="10" t="n">
        <v>0</v>
      </c>
      <c r="M403" s="10" t="n">
        <v>0</v>
      </c>
      <c r="N403" s="10" t="n">
        <v>0</v>
      </c>
      <c r="P403" s="10" t="n">
        <v>56</v>
      </c>
      <c r="Q403" s="10">
        <f>A403&amp;"|"&amp;B403&amp;"|"&amp;C403&amp;"|"&amp;D403&amp;"|"&amp;E403&amp;"|"&amp;F403&amp;"|"&amp;G403&amp;"|"&amp;H403&amp;"|"&amp;I403&amp;"|"&amp;J403&amp;"|"&amp;K403&amp;"|"&amp;L403&amp;"|"&amp;M403&amp;"|"&amp;N403&amp;"|"&amp;O403&amp;"|"&amp;P403</f>
        <v/>
      </c>
      <c r="R403" s="10">
        <f>IF(COUNTIF($Q$2:$Q$1409,Q403)&gt;1,IF(COUNTIF($Q$2:Q403,Q403)=1,"Exact Duplicate - Keep First","Exact Duplicate - Remove"),"Unique")</f>
        <v/>
      </c>
    </row>
    <row r="404" ht="15" customHeight="1" s="11">
      <c r="A404" s="10" t="inlineStr">
        <is>
          <t>USR-100403</t>
        </is>
      </c>
      <c r="B404" s="14" t="n">
        <v>45696</v>
      </c>
      <c r="C404" s="10" t="inlineStr">
        <is>
          <t>Control</t>
        </is>
      </c>
      <c r="D404" s="10" t="inlineStr">
        <is>
          <t>West</t>
        </is>
      </c>
      <c r="E404" s="10" t="inlineStr">
        <is>
          <t>Mobile</t>
        </is>
      </c>
      <c r="F404" s="10" t="inlineStr">
        <is>
          <t>Email</t>
        </is>
      </c>
      <c r="G404" s="10" t="inlineStr">
        <is>
          <t>Basic</t>
        </is>
      </c>
      <c r="H404" s="10" t="n">
        <v>1</v>
      </c>
      <c r="I404" s="10" t="n">
        <v>1</v>
      </c>
      <c r="J404" s="10" t="n">
        <v>1</v>
      </c>
      <c r="K404" s="10" t="n">
        <v>0</v>
      </c>
      <c r="L404" s="10" t="n">
        <v>0</v>
      </c>
      <c r="M404" s="10" t="n">
        <v>0</v>
      </c>
      <c r="N404" s="10" t="n">
        <v>0</v>
      </c>
      <c r="P404" s="10" t="n">
        <v>69.09999999999999</v>
      </c>
      <c r="Q404" s="10">
        <f>A404&amp;"|"&amp;B404&amp;"|"&amp;C404&amp;"|"&amp;D404&amp;"|"&amp;E404&amp;"|"&amp;F404&amp;"|"&amp;G404&amp;"|"&amp;H404&amp;"|"&amp;I404&amp;"|"&amp;J404&amp;"|"&amp;K404&amp;"|"&amp;L404&amp;"|"&amp;M404&amp;"|"&amp;N404&amp;"|"&amp;O404&amp;"|"&amp;P404</f>
        <v/>
      </c>
      <c r="R404" s="10">
        <f>IF(COUNTIF($Q$2:$Q$1409,Q404)&gt;1,IF(COUNTIF($Q$2:Q404,Q404)=1,"Exact Duplicate - Keep First","Exact Duplicate - Remove"),"Unique")</f>
        <v/>
      </c>
    </row>
    <row r="405" ht="15" customHeight="1" s="11">
      <c r="A405" s="10" t="inlineStr">
        <is>
          <t>USR-100404</t>
        </is>
      </c>
      <c r="B405" s="14" t="n">
        <v>45677</v>
      </c>
      <c r="C405" s="10" t="inlineStr">
        <is>
          <t>Control</t>
        </is>
      </c>
      <c r="D405" s="10" t="inlineStr">
        <is>
          <t>North</t>
        </is>
      </c>
      <c r="E405" s="10" t="inlineStr">
        <is>
          <t>Mobile</t>
        </is>
      </c>
      <c r="F405" s="10" t="inlineStr">
        <is>
          <t>Email</t>
        </is>
      </c>
      <c r="G405" s="10" t="inlineStr">
        <is>
          <t>Premium</t>
        </is>
      </c>
      <c r="H405" s="10" t="n">
        <v>0</v>
      </c>
      <c r="I405" s="10" t="n">
        <v>0</v>
      </c>
      <c r="J405" s="10" t="n">
        <v>0</v>
      </c>
      <c r="K405" s="10" t="n">
        <v>0</v>
      </c>
      <c r="L405" s="10" t="n">
        <v>0</v>
      </c>
      <c r="M405" s="10" t="n">
        <v>1</v>
      </c>
      <c r="N405" s="10" t="n">
        <v>0</v>
      </c>
      <c r="P405" s="10" t="n">
        <v>70.59999999999999</v>
      </c>
      <c r="Q405" s="10">
        <f>A405&amp;"|"&amp;B405&amp;"|"&amp;C405&amp;"|"&amp;D405&amp;"|"&amp;E405&amp;"|"&amp;F405&amp;"|"&amp;G405&amp;"|"&amp;H405&amp;"|"&amp;I405&amp;"|"&amp;J405&amp;"|"&amp;K405&amp;"|"&amp;L405&amp;"|"&amp;M405&amp;"|"&amp;N405&amp;"|"&amp;O405&amp;"|"&amp;P405</f>
        <v/>
      </c>
      <c r="R405" s="10">
        <f>IF(COUNTIF($Q$2:$Q$1409,Q405)&gt;1,IF(COUNTIF($Q$2:Q405,Q405)=1,"Exact Duplicate - Keep First","Exact Duplicate - Remove"),"Unique")</f>
        <v/>
      </c>
    </row>
    <row r="406" ht="15" customHeight="1" s="11">
      <c r="A406" s="10" t="inlineStr">
        <is>
          <t>USR-100405</t>
        </is>
      </c>
      <c r="B406" s="14" t="n">
        <v>45769</v>
      </c>
      <c r="C406" s="10" t="inlineStr">
        <is>
          <t>Control</t>
        </is>
      </c>
      <c r="D406" s="10" t="inlineStr">
        <is>
          <t>West</t>
        </is>
      </c>
      <c r="E406" s="10" t="inlineStr">
        <is>
          <t>Desktop</t>
        </is>
      </c>
      <c r="F406" s="10" t="inlineStr">
        <is>
          <t>Referral</t>
        </is>
      </c>
      <c r="G406" s="10" t="inlineStr">
        <is>
          <t>Free</t>
        </is>
      </c>
      <c r="H406" s="10" t="n">
        <v>1</v>
      </c>
      <c r="I406" s="10" t="n">
        <v>0</v>
      </c>
      <c r="J406" s="10" t="n">
        <v>0</v>
      </c>
      <c r="K406" s="10" t="n">
        <v>0</v>
      </c>
      <c r="L406" s="10" t="n">
        <v>0</v>
      </c>
      <c r="M406" s="10" t="n">
        <v>0</v>
      </c>
      <c r="N406" s="10" t="n">
        <v>0</v>
      </c>
      <c r="P406" s="10" t="n">
        <v>57.9</v>
      </c>
      <c r="Q406" s="10">
        <f>A406&amp;"|"&amp;B406&amp;"|"&amp;C406&amp;"|"&amp;D406&amp;"|"&amp;E406&amp;"|"&amp;F406&amp;"|"&amp;G406&amp;"|"&amp;H406&amp;"|"&amp;I406&amp;"|"&amp;J406&amp;"|"&amp;K406&amp;"|"&amp;L406&amp;"|"&amp;M406&amp;"|"&amp;N406&amp;"|"&amp;O406&amp;"|"&amp;P406</f>
        <v/>
      </c>
      <c r="R406" s="10">
        <f>IF(COUNTIF($Q$2:$Q$1409,Q406)&gt;1,IF(COUNTIF($Q$2:Q406,Q406)=1,"Exact Duplicate - Keep First","Exact Duplicate - Remove"),"Unique")</f>
        <v/>
      </c>
    </row>
    <row r="407" ht="15" customHeight="1" s="11">
      <c r="A407" s="10" t="inlineStr">
        <is>
          <t>USR-100406</t>
        </is>
      </c>
      <c r="B407" s="14" t="n">
        <v>45679</v>
      </c>
      <c r="C407" s="10" t="inlineStr">
        <is>
          <t>Control</t>
        </is>
      </c>
      <c r="D407" s="10" t="inlineStr">
        <is>
          <t>East</t>
        </is>
      </c>
      <c r="E407" s="10" t="inlineStr">
        <is>
          <t>Mobile</t>
        </is>
      </c>
      <c r="F407" s="10" t="inlineStr">
        <is>
          <t>Organic</t>
        </is>
      </c>
      <c r="G407" s="10" t="inlineStr">
        <is>
          <t>Basic</t>
        </is>
      </c>
      <c r="H407" s="10" t="n">
        <v>1</v>
      </c>
      <c r="I407" s="10" t="n">
        <v>1</v>
      </c>
      <c r="J407" s="10" t="n">
        <v>0</v>
      </c>
      <c r="K407" s="10" t="n">
        <v>0</v>
      </c>
      <c r="L407" s="10" t="n">
        <v>0</v>
      </c>
      <c r="M407" s="10" t="n">
        <v>0</v>
      </c>
      <c r="N407" s="10" t="n">
        <v>0</v>
      </c>
      <c r="P407" s="10" t="n">
        <v>41.4</v>
      </c>
      <c r="Q407" s="10">
        <f>A407&amp;"|"&amp;B407&amp;"|"&amp;C407&amp;"|"&amp;D407&amp;"|"&amp;E407&amp;"|"&amp;F407&amp;"|"&amp;G407&amp;"|"&amp;H407&amp;"|"&amp;I407&amp;"|"&amp;J407&amp;"|"&amp;K407&amp;"|"&amp;L407&amp;"|"&amp;M407&amp;"|"&amp;N407&amp;"|"&amp;O407&amp;"|"&amp;P407</f>
        <v/>
      </c>
      <c r="R407" s="10">
        <f>IF(COUNTIF($Q$2:$Q$1409,Q407)&gt;1,IF(COUNTIF($Q$2:Q407,Q407)=1,"Exact Duplicate - Keep First","Exact Duplicate - Remove"),"Unique")</f>
        <v/>
      </c>
    </row>
    <row r="408" ht="15" customHeight="1" s="11">
      <c r="A408" s="10" t="inlineStr">
        <is>
          <t>USR-100407</t>
        </is>
      </c>
      <c r="B408" s="14" t="n">
        <v>45788</v>
      </c>
      <c r="C408" s="10" t="inlineStr">
        <is>
          <t>Control</t>
        </is>
      </c>
      <c r="D408" s="10" t="inlineStr">
        <is>
          <t>West</t>
        </is>
      </c>
      <c r="E408" s="10" t="inlineStr">
        <is>
          <t>Mobile</t>
        </is>
      </c>
      <c r="F408" s="10" t="inlineStr">
        <is>
          <t>Organic</t>
        </is>
      </c>
      <c r="G408" s="10" t="inlineStr">
        <is>
          <t>Basic</t>
        </is>
      </c>
      <c r="H408" s="10" t="n">
        <v>1</v>
      </c>
      <c r="I408" s="10" t="n">
        <v>0</v>
      </c>
      <c r="J408" s="10" t="n">
        <v>0</v>
      </c>
      <c r="K408" s="10" t="n">
        <v>0</v>
      </c>
      <c r="L408" s="10" t="n">
        <v>0</v>
      </c>
      <c r="M408" s="10" t="n">
        <v>0</v>
      </c>
      <c r="N408" s="10" t="n">
        <v>0</v>
      </c>
      <c r="P408" s="10" t="n">
        <v>60.9</v>
      </c>
      <c r="Q408" s="10">
        <f>A408&amp;"|"&amp;B408&amp;"|"&amp;C408&amp;"|"&amp;D408&amp;"|"&amp;E408&amp;"|"&amp;F408&amp;"|"&amp;G408&amp;"|"&amp;H408&amp;"|"&amp;I408&amp;"|"&amp;J408&amp;"|"&amp;K408&amp;"|"&amp;L408&amp;"|"&amp;M408&amp;"|"&amp;N408&amp;"|"&amp;O408&amp;"|"&amp;P408</f>
        <v/>
      </c>
      <c r="R408" s="10">
        <f>IF(COUNTIF($Q$2:$Q$1409,Q408)&gt;1,IF(COUNTIF($Q$2:Q408,Q408)=1,"Exact Duplicate - Keep First","Exact Duplicate - Remove"),"Unique")</f>
        <v/>
      </c>
    </row>
    <row r="409" ht="15" customHeight="1" s="11">
      <c r="A409" s="10" t="inlineStr">
        <is>
          <t>USR-100408</t>
        </is>
      </c>
      <c r="B409" s="14" t="n">
        <v>45694</v>
      </c>
      <c r="C409" s="10" t="inlineStr">
        <is>
          <t>Control</t>
        </is>
      </c>
      <c r="D409" s="10" t="inlineStr">
        <is>
          <t>South</t>
        </is>
      </c>
      <c r="E409" s="10" t="inlineStr">
        <is>
          <t>Mobile</t>
        </is>
      </c>
      <c r="F409" s="10" t="inlineStr">
        <is>
          <t>Organic</t>
        </is>
      </c>
      <c r="G409" s="10" t="inlineStr">
        <is>
          <t>Basic</t>
        </is>
      </c>
      <c r="H409" s="10" t="n">
        <v>0</v>
      </c>
      <c r="I409" s="10" t="n">
        <v>0</v>
      </c>
      <c r="J409" s="10" t="n">
        <v>0</v>
      </c>
      <c r="K409" s="10" t="n">
        <v>0</v>
      </c>
      <c r="L409" s="10" t="n">
        <v>0</v>
      </c>
      <c r="M409" s="10" t="n">
        <v>1</v>
      </c>
      <c r="N409" s="10" t="n">
        <v>0</v>
      </c>
      <c r="P409" s="10" t="n">
        <v>63.8</v>
      </c>
      <c r="Q409" s="10">
        <f>A409&amp;"|"&amp;B409&amp;"|"&amp;C409&amp;"|"&amp;D409&amp;"|"&amp;E409&amp;"|"&amp;F409&amp;"|"&amp;G409&amp;"|"&amp;H409&amp;"|"&amp;I409&amp;"|"&amp;J409&amp;"|"&amp;K409&amp;"|"&amp;L409&amp;"|"&amp;M409&amp;"|"&amp;N409&amp;"|"&amp;O409&amp;"|"&amp;P409</f>
        <v/>
      </c>
      <c r="R409" s="10">
        <f>IF(COUNTIF($Q$2:$Q$1409,Q409)&gt;1,IF(COUNTIF($Q$2:Q409,Q409)=1,"Exact Duplicate - Keep First","Exact Duplicate - Remove"),"Unique")</f>
        <v/>
      </c>
    </row>
    <row r="410" ht="15" customHeight="1" s="11">
      <c r="A410" s="10" t="inlineStr">
        <is>
          <t>USR-100409</t>
        </is>
      </c>
      <c r="B410" s="14" t="n">
        <v>45709</v>
      </c>
      <c r="C410" s="10" t="inlineStr">
        <is>
          <t>Control</t>
        </is>
      </c>
      <c r="D410" s="10" t="inlineStr">
        <is>
          <t>North</t>
        </is>
      </c>
      <c r="E410" s="10" t="inlineStr">
        <is>
          <t>Desktop</t>
        </is>
      </c>
      <c r="F410" s="10" t="inlineStr">
        <is>
          <t>Organic</t>
        </is>
      </c>
      <c r="G410" s="10" t="inlineStr">
        <is>
          <t>Premium</t>
        </is>
      </c>
      <c r="H410" s="10" t="n">
        <v>1</v>
      </c>
      <c r="I410" s="10" t="n">
        <v>0</v>
      </c>
      <c r="J410" s="10" t="n">
        <v>0</v>
      </c>
      <c r="K410" s="10" t="n">
        <v>0</v>
      </c>
      <c r="L410" s="10" t="n">
        <v>0</v>
      </c>
      <c r="M410" s="10" t="n">
        <v>0</v>
      </c>
      <c r="N410" s="10" t="n">
        <v>0</v>
      </c>
      <c r="P410" s="10" t="n">
        <v>79.2</v>
      </c>
      <c r="Q410" s="10">
        <f>A410&amp;"|"&amp;B410&amp;"|"&amp;C410&amp;"|"&amp;D410&amp;"|"&amp;E410&amp;"|"&amp;F410&amp;"|"&amp;G410&amp;"|"&amp;H410&amp;"|"&amp;I410&amp;"|"&amp;J410&amp;"|"&amp;K410&amp;"|"&amp;L410&amp;"|"&amp;M410&amp;"|"&amp;N410&amp;"|"&amp;O410&amp;"|"&amp;P410</f>
        <v/>
      </c>
      <c r="R410" s="10">
        <f>IF(COUNTIF($Q$2:$Q$1409,Q410)&gt;1,IF(COUNTIF($Q$2:Q410,Q410)=1,"Exact Duplicate - Keep First","Exact Duplicate - Remove"),"Unique")</f>
        <v/>
      </c>
    </row>
    <row r="411" ht="15" customHeight="1" s="11">
      <c r="A411" s="10" t="inlineStr">
        <is>
          <t>USR-100410</t>
        </is>
      </c>
      <c r="B411" s="14" t="n">
        <v>45670</v>
      </c>
      <c r="C411" s="10" t="inlineStr">
        <is>
          <t>Control</t>
        </is>
      </c>
      <c r="D411" s="10" t="inlineStr">
        <is>
          <t>West</t>
        </is>
      </c>
      <c r="E411" s="10" t="inlineStr">
        <is>
          <t>Mobile</t>
        </is>
      </c>
      <c r="F411" s="10" t="inlineStr">
        <is>
          <t>Email</t>
        </is>
      </c>
      <c r="G411" s="10" t="inlineStr">
        <is>
          <t>Premium</t>
        </is>
      </c>
      <c r="H411" s="10" t="n">
        <v>1</v>
      </c>
      <c r="I411" s="10" t="n">
        <v>1</v>
      </c>
      <c r="J411" s="10" t="n">
        <v>1</v>
      </c>
      <c r="K411" s="10" t="n">
        <v>0</v>
      </c>
      <c r="L411" s="10" t="n">
        <v>0</v>
      </c>
      <c r="M411" s="10" t="n">
        <v>0</v>
      </c>
      <c r="N411" s="10" t="n">
        <v>0</v>
      </c>
      <c r="P411" s="10" t="n">
        <v>53.3</v>
      </c>
      <c r="Q411" s="10">
        <f>A411&amp;"|"&amp;B411&amp;"|"&amp;C411&amp;"|"&amp;D411&amp;"|"&amp;E411&amp;"|"&amp;F411&amp;"|"&amp;G411&amp;"|"&amp;H411&amp;"|"&amp;I411&amp;"|"&amp;J411&amp;"|"&amp;K411&amp;"|"&amp;L411&amp;"|"&amp;M411&amp;"|"&amp;N411&amp;"|"&amp;O411&amp;"|"&amp;P411</f>
        <v/>
      </c>
      <c r="R411" s="10">
        <f>IF(COUNTIF($Q$2:$Q$1409,Q411)&gt;1,IF(COUNTIF($Q$2:Q411,Q411)=1,"Exact Duplicate - Keep First","Exact Duplicate - Remove"),"Unique")</f>
        <v/>
      </c>
    </row>
    <row r="412" ht="15" customHeight="1" s="11">
      <c r="A412" s="10" t="inlineStr">
        <is>
          <t>USR-100411</t>
        </is>
      </c>
      <c r="B412" s="14" t="n">
        <v>45723</v>
      </c>
      <c r="C412" s="10" t="inlineStr">
        <is>
          <t>Control</t>
        </is>
      </c>
      <c r="D412" s="10" t="inlineStr">
        <is>
          <t>North</t>
        </is>
      </c>
      <c r="E412" s="10" t="inlineStr">
        <is>
          <t>Mobile</t>
        </is>
      </c>
      <c r="F412" s="10" t="inlineStr">
        <is>
          <t>Referral</t>
        </is>
      </c>
      <c r="G412" s="10" t="inlineStr">
        <is>
          <t>Premium</t>
        </is>
      </c>
      <c r="H412" s="10" t="n">
        <v>1</v>
      </c>
      <c r="I412" s="10" t="n">
        <v>1</v>
      </c>
      <c r="J412" s="10" t="n">
        <v>1</v>
      </c>
      <c r="K412" s="10" t="n">
        <v>1</v>
      </c>
      <c r="L412" s="10" t="n">
        <v>2144.82</v>
      </c>
      <c r="M412" s="10" t="n">
        <v>0</v>
      </c>
      <c r="N412" s="10" t="n">
        <v>0</v>
      </c>
      <c r="O412" s="10" t="n">
        <v>6</v>
      </c>
      <c r="P412" s="10" t="n">
        <v>52.3</v>
      </c>
      <c r="Q412" s="10">
        <f>A412&amp;"|"&amp;B412&amp;"|"&amp;C412&amp;"|"&amp;D412&amp;"|"&amp;E412&amp;"|"&amp;F412&amp;"|"&amp;G412&amp;"|"&amp;H412&amp;"|"&amp;I412&amp;"|"&amp;J412&amp;"|"&amp;K412&amp;"|"&amp;L412&amp;"|"&amp;M412&amp;"|"&amp;N412&amp;"|"&amp;O412&amp;"|"&amp;P412</f>
        <v/>
      </c>
      <c r="R412" s="10">
        <f>IF(COUNTIF($Q$2:$Q$1409,Q412)&gt;1,IF(COUNTIF($Q$2:Q412,Q412)=1,"Exact Duplicate - Keep First","Exact Duplicate - Remove"),"Unique")</f>
        <v/>
      </c>
    </row>
    <row r="413" ht="15" customHeight="1" s="11">
      <c r="A413" s="10" t="inlineStr">
        <is>
          <t>USR-100412</t>
        </is>
      </c>
      <c r="B413" s="14" t="n">
        <v>45714</v>
      </c>
      <c r="C413" s="10" t="inlineStr">
        <is>
          <t>Control</t>
        </is>
      </c>
      <c r="D413" s="10" t="inlineStr">
        <is>
          <t>West</t>
        </is>
      </c>
      <c r="E413" s="10" t="inlineStr">
        <is>
          <t>Desktop</t>
        </is>
      </c>
      <c r="F413" s="10" t="inlineStr">
        <is>
          <t>Organic</t>
        </is>
      </c>
      <c r="G413" s="10" t="inlineStr">
        <is>
          <t>Basic</t>
        </is>
      </c>
      <c r="H413" s="10" t="n">
        <v>1</v>
      </c>
      <c r="I413" s="10" t="n">
        <v>1</v>
      </c>
      <c r="J413" s="10" t="n">
        <v>0</v>
      </c>
      <c r="K413" s="10" t="n">
        <v>0</v>
      </c>
      <c r="L413" s="10" t="n">
        <v>0</v>
      </c>
      <c r="M413" s="10" t="n">
        <v>0</v>
      </c>
      <c r="N413" s="10" t="n">
        <v>0</v>
      </c>
      <c r="P413" s="10" t="n">
        <v>62.4</v>
      </c>
      <c r="Q413" s="10">
        <f>A413&amp;"|"&amp;B413&amp;"|"&amp;C413&amp;"|"&amp;D413&amp;"|"&amp;E413&amp;"|"&amp;F413&amp;"|"&amp;G413&amp;"|"&amp;H413&amp;"|"&amp;I413&amp;"|"&amp;J413&amp;"|"&amp;K413&amp;"|"&amp;L413&amp;"|"&amp;M413&amp;"|"&amp;N413&amp;"|"&amp;O413&amp;"|"&amp;P413</f>
        <v/>
      </c>
      <c r="R413" s="10">
        <f>IF(COUNTIF($Q$2:$Q$1409,Q413)&gt;1,IF(COUNTIF($Q$2:Q413,Q413)=1,"Exact Duplicate - Keep First","Exact Duplicate - Remove"),"Unique")</f>
        <v/>
      </c>
    </row>
    <row r="414" ht="15" customHeight="1" s="11">
      <c r="A414" s="10" t="inlineStr">
        <is>
          <t>USR-100413</t>
        </is>
      </c>
      <c r="B414" s="14" t="n">
        <v>45782</v>
      </c>
      <c r="C414" s="10" t="inlineStr">
        <is>
          <t>Control</t>
        </is>
      </c>
      <c r="D414" s="10" t="inlineStr">
        <is>
          <t>North</t>
        </is>
      </c>
      <c r="E414" s="10" t="inlineStr">
        <is>
          <t>Mobile</t>
        </is>
      </c>
      <c r="F414" s="10" t="inlineStr">
        <is>
          <t>Referral</t>
        </is>
      </c>
      <c r="G414" s="10" t="inlineStr">
        <is>
          <t>Premium</t>
        </is>
      </c>
      <c r="H414" s="10" t="n">
        <v>1</v>
      </c>
      <c r="I414" s="10" t="n">
        <v>0</v>
      </c>
      <c r="J414" s="10" t="n">
        <v>0</v>
      </c>
      <c r="K414" s="10" t="n">
        <v>0</v>
      </c>
      <c r="L414" s="10" t="n">
        <v>0</v>
      </c>
      <c r="M414" s="10" t="n">
        <v>0</v>
      </c>
      <c r="N414" s="10" t="n">
        <v>0</v>
      </c>
      <c r="P414" s="10" t="n">
        <v>45.5</v>
      </c>
      <c r="Q414" s="10">
        <f>A414&amp;"|"&amp;B414&amp;"|"&amp;C414&amp;"|"&amp;D414&amp;"|"&amp;E414&amp;"|"&amp;F414&amp;"|"&amp;G414&amp;"|"&amp;H414&amp;"|"&amp;I414&amp;"|"&amp;J414&amp;"|"&amp;K414&amp;"|"&amp;L414&amp;"|"&amp;M414&amp;"|"&amp;N414&amp;"|"&amp;O414&amp;"|"&amp;P414</f>
        <v/>
      </c>
      <c r="R414" s="10">
        <f>IF(COUNTIF($Q$2:$Q$1409,Q414)&gt;1,IF(COUNTIF($Q$2:Q414,Q414)=1,"Exact Duplicate - Keep First","Exact Duplicate - Remove"),"Unique")</f>
        <v/>
      </c>
    </row>
    <row r="415" ht="15" customHeight="1" s="11">
      <c r="A415" s="10" t="inlineStr">
        <is>
          <t>USR-100414</t>
        </is>
      </c>
      <c r="B415" s="14" t="n">
        <v>45665</v>
      </c>
      <c r="C415" s="10" t="inlineStr">
        <is>
          <t>Control</t>
        </is>
      </c>
      <c r="D415" s="10" t="inlineStr">
        <is>
          <t>East</t>
        </is>
      </c>
      <c r="E415" s="10" t="inlineStr">
        <is>
          <t>Desktop</t>
        </is>
      </c>
      <c r="F415" s="10" t="inlineStr">
        <is>
          <t>Organic</t>
        </is>
      </c>
      <c r="G415" s="10" t="inlineStr">
        <is>
          <t>Basic</t>
        </is>
      </c>
      <c r="H415" s="10" t="n">
        <v>0</v>
      </c>
      <c r="I415" s="10" t="n">
        <v>0</v>
      </c>
      <c r="J415" s="10" t="n">
        <v>0</v>
      </c>
      <c r="K415" s="10" t="n">
        <v>0</v>
      </c>
      <c r="L415" s="10" t="n">
        <v>0</v>
      </c>
      <c r="M415" s="10" t="n">
        <v>1</v>
      </c>
      <c r="N415" s="10" t="n">
        <v>0</v>
      </c>
      <c r="P415" s="10" t="n">
        <v>72.59999999999999</v>
      </c>
      <c r="Q415" s="10">
        <f>A415&amp;"|"&amp;B415&amp;"|"&amp;C415&amp;"|"&amp;D415&amp;"|"&amp;E415&amp;"|"&amp;F415&amp;"|"&amp;G415&amp;"|"&amp;H415&amp;"|"&amp;I415&amp;"|"&amp;J415&amp;"|"&amp;K415&amp;"|"&amp;L415&amp;"|"&amp;M415&amp;"|"&amp;N415&amp;"|"&amp;O415&amp;"|"&amp;P415</f>
        <v/>
      </c>
      <c r="R415" s="10">
        <f>IF(COUNTIF($Q$2:$Q$1409,Q415)&gt;1,IF(COUNTIF($Q$2:Q415,Q415)=1,"Exact Duplicate - Keep First","Exact Duplicate - Remove"),"Unique")</f>
        <v/>
      </c>
    </row>
    <row r="416" ht="15" customHeight="1" s="11">
      <c r="A416" s="10" t="inlineStr">
        <is>
          <t>USR-100415</t>
        </is>
      </c>
      <c r="B416" s="14" t="n">
        <v>45735</v>
      </c>
      <c r="C416" s="10" t="inlineStr">
        <is>
          <t>Control</t>
        </is>
      </c>
      <c r="D416" s="10" t="inlineStr">
        <is>
          <t>South</t>
        </is>
      </c>
      <c r="E416" s="10" t="inlineStr">
        <is>
          <t>Mobile</t>
        </is>
      </c>
      <c r="F416" s="10" t="inlineStr">
        <is>
          <t>Email</t>
        </is>
      </c>
      <c r="G416" s="10" t="inlineStr">
        <is>
          <t>Premium</t>
        </is>
      </c>
      <c r="H416" s="10" t="n">
        <v>1</v>
      </c>
      <c r="I416" s="10" t="n">
        <v>1</v>
      </c>
      <c r="J416" s="10" t="n">
        <v>1</v>
      </c>
      <c r="K416" s="10" t="n">
        <v>0</v>
      </c>
      <c r="L416" s="10" t="n">
        <v>0</v>
      </c>
      <c r="M416" s="10" t="n">
        <v>0</v>
      </c>
      <c r="N416" s="10" t="n">
        <v>0</v>
      </c>
      <c r="P416" s="10" t="n">
        <v>50.1</v>
      </c>
      <c r="Q416" s="10">
        <f>A416&amp;"|"&amp;B416&amp;"|"&amp;C416&amp;"|"&amp;D416&amp;"|"&amp;E416&amp;"|"&amp;F416&amp;"|"&amp;G416&amp;"|"&amp;H416&amp;"|"&amp;I416&amp;"|"&amp;J416&amp;"|"&amp;K416&amp;"|"&amp;L416&amp;"|"&amp;M416&amp;"|"&amp;N416&amp;"|"&amp;O416&amp;"|"&amp;P416</f>
        <v/>
      </c>
      <c r="R416" s="10">
        <f>IF(COUNTIF($Q$2:$Q$1409,Q416)&gt;1,IF(COUNTIF($Q$2:Q416,Q416)=1,"Exact Duplicate - Keep First","Exact Duplicate - Remove"),"Unique")</f>
        <v/>
      </c>
    </row>
    <row r="417" ht="15" customHeight="1" s="11">
      <c r="A417" s="10" t="inlineStr">
        <is>
          <t>USR-100416</t>
        </is>
      </c>
      <c r="B417" s="14" t="n">
        <v>45687</v>
      </c>
      <c r="C417" s="10" t="inlineStr">
        <is>
          <t>Control</t>
        </is>
      </c>
      <c r="D417" s="10" t="inlineStr">
        <is>
          <t>East</t>
        </is>
      </c>
      <c r="E417" s="10" t="inlineStr">
        <is>
          <t>Desktop</t>
        </is>
      </c>
      <c r="F417" s="10" t="inlineStr">
        <is>
          <t>Paid Search</t>
        </is>
      </c>
      <c r="G417" s="10" t="inlineStr">
        <is>
          <t>Free</t>
        </is>
      </c>
      <c r="H417" s="10" t="n">
        <v>1</v>
      </c>
      <c r="I417" s="10" t="n">
        <v>1</v>
      </c>
      <c r="J417" s="10" t="n">
        <v>1</v>
      </c>
      <c r="K417" s="10" t="n">
        <v>0</v>
      </c>
      <c r="L417" s="10" t="n">
        <v>0</v>
      </c>
      <c r="M417" s="10" t="n">
        <v>2</v>
      </c>
      <c r="N417" s="10" t="n">
        <v>0</v>
      </c>
      <c r="P417" s="10" t="n">
        <v>58.1</v>
      </c>
      <c r="Q417" s="10">
        <f>A417&amp;"|"&amp;B417&amp;"|"&amp;C417&amp;"|"&amp;D417&amp;"|"&amp;E417&amp;"|"&amp;F417&amp;"|"&amp;G417&amp;"|"&amp;H417&amp;"|"&amp;I417&amp;"|"&amp;J417&amp;"|"&amp;K417&amp;"|"&amp;L417&amp;"|"&amp;M417&amp;"|"&amp;N417&amp;"|"&amp;O417&amp;"|"&amp;P417</f>
        <v/>
      </c>
      <c r="R417" s="10">
        <f>IF(COUNTIF($Q$2:$Q$1409,Q417)&gt;1,IF(COUNTIF($Q$2:Q417,Q417)=1,"Exact Duplicate - Keep First","Exact Duplicate - Remove"),"Unique")</f>
        <v/>
      </c>
    </row>
    <row r="418" ht="15" customHeight="1" s="11">
      <c r="A418" s="10" t="inlineStr">
        <is>
          <t>USR-100417</t>
        </is>
      </c>
      <c r="B418" s="14" t="n">
        <v>45775</v>
      </c>
      <c r="C418" s="10" t="inlineStr">
        <is>
          <t>Control</t>
        </is>
      </c>
      <c r="D418" s="10" t="inlineStr">
        <is>
          <t>East</t>
        </is>
      </c>
      <c r="E418" s="10" t="inlineStr">
        <is>
          <t>Mobile</t>
        </is>
      </c>
      <c r="F418" s="10" t="inlineStr">
        <is>
          <t>Organic</t>
        </is>
      </c>
      <c r="G418" s="10" t="inlineStr">
        <is>
          <t>Basic</t>
        </is>
      </c>
      <c r="H418" s="10" t="n">
        <v>1</v>
      </c>
      <c r="I418" s="10" t="n">
        <v>0</v>
      </c>
      <c r="J418" s="10" t="n">
        <v>0</v>
      </c>
      <c r="K418" s="10" t="n">
        <v>0</v>
      </c>
      <c r="L418" s="10" t="n">
        <v>0</v>
      </c>
      <c r="M418" s="10" t="n">
        <v>0</v>
      </c>
      <c r="N418" s="10" t="n">
        <v>0</v>
      </c>
      <c r="P418" s="10" t="n">
        <v>42.9</v>
      </c>
      <c r="Q418" s="10">
        <f>A418&amp;"|"&amp;B418&amp;"|"&amp;C418&amp;"|"&amp;D418&amp;"|"&amp;E418&amp;"|"&amp;F418&amp;"|"&amp;G418&amp;"|"&amp;H418&amp;"|"&amp;I418&amp;"|"&amp;J418&amp;"|"&amp;K418&amp;"|"&amp;L418&amp;"|"&amp;M418&amp;"|"&amp;N418&amp;"|"&amp;O418&amp;"|"&amp;P418</f>
        <v/>
      </c>
      <c r="R418" s="10">
        <f>IF(COUNTIF($Q$2:$Q$1409,Q418)&gt;1,IF(COUNTIF($Q$2:Q418,Q418)=1,"Exact Duplicate - Keep First","Exact Duplicate - Remove"),"Unique")</f>
        <v/>
      </c>
    </row>
    <row r="419" ht="15" customHeight="1" s="11">
      <c r="A419" s="10" t="inlineStr">
        <is>
          <t>USR-100418</t>
        </is>
      </c>
      <c r="B419" s="14" t="n">
        <v>45723</v>
      </c>
      <c r="C419" s="10" t="inlineStr">
        <is>
          <t>Control</t>
        </is>
      </c>
      <c r="D419" s="10" t="inlineStr">
        <is>
          <t>North</t>
        </is>
      </c>
      <c r="E419" s="10" t="inlineStr">
        <is>
          <t>Mobile</t>
        </is>
      </c>
      <c r="F419" s="10" t="inlineStr">
        <is>
          <t>Referral</t>
        </is>
      </c>
      <c r="G419" s="10" t="inlineStr">
        <is>
          <t>Basic</t>
        </is>
      </c>
      <c r="H419" s="10" t="n">
        <v>0</v>
      </c>
      <c r="I419" s="10" t="n">
        <v>0</v>
      </c>
      <c r="J419" s="10" t="n">
        <v>0</v>
      </c>
      <c r="K419" s="10" t="n">
        <v>0</v>
      </c>
      <c r="L419" s="10" t="n">
        <v>0</v>
      </c>
      <c r="M419" s="10" t="n">
        <v>0</v>
      </c>
      <c r="N419" s="10" t="n">
        <v>0</v>
      </c>
      <c r="P419" s="10" t="n">
        <v>69.7</v>
      </c>
      <c r="Q419" s="10">
        <f>A419&amp;"|"&amp;B419&amp;"|"&amp;C419&amp;"|"&amp;D419&amp;"|"&amp;E419&amp;"|"&amp;F419&amp;"|"&amp;G419&amp;"|"&amp;H419&amp;"|"&amp;I419&amp;"|"&amp;J419&amp;"|"&amp;K419&amp;"|"&amp;L419&amp;"|"&amp;M419&amp;"|"&amp;N419&amp;"|"&amp;O419&amp;"|"&amp;P419</f>
        <v/>
      </c>
      <c r="R419" s="10">
        <f>IF(COUNTIF($Q$2:$Q$1409,Q419)&gt;1,IF(COUNTIF($Q$2:Q419,Q419)=1,"Exact Duplicate - Keep First","Exact Duplicate - Remove"),"Unique")</f>
        <v/>
      </c>
    </row>
    <row r="420" ht="15" customHeight="1" s="11">
      <c r="A420" s="10" t="inlineStr">
        <is>
          <t>USR-100419</t>
        </is>
      </c>
      <c r="B420" s="14" t="n">
        <v>45754</v>
      </c>
      <c r="C420" s="10" t="inlineStr">
        <is>
          <t>Control</t>
        </is>
      </c>
      <c r="D420" s="10" t="inlineStr">
        <is>
          <t>North</t>
        </is>
      </c>
      <c r="E420" s="10" t="inlineStr">
        <is>
          <t>Desktop</t>
        </is>
      </c>
      <c r="F420" s="10" t="inlineStr">
        <is>
          <t>Organic</t>
        </is>
      </c>
      <c r="G420" s="10" t="inlineStr">
        <is>
          <t>Free</t>
        </is>
      </c>
      <c r="H420" s="10" t="n">
        <v>0</v>
      </c>
      <c r="I420" s="10" t="n">
        <v>0</v>
      </c>
      <c r="J420" s="10" t="n">
        <v>0</v>
      </c>
      <c r="K420" s="10" t="n">
        <v>0</v>
      </c>
      <c r="L420" s="10" t="n">
        <v>0</v>
      </c>
      <c r="M420" s="10" t="n">
        <v>0</v>
      </c>
      <c r="N420" s="10" t="n">
        <v>0</v>
      </c>
      <c r="P420" s="10" t="n">
        <v>63.3</v>
      </c>
      <c r="Q420" s="10">
        <f>A420&amp;"|"&amp;B420&amp;"|"&amp;C420&amp;"|"&amp;D420&amp;"|"&amp;E420&amp;"|"&amp;F420&amp;"|"&amp;G420&amp;"|"&amp;H420&amp;"|"&amp;I420&amp;"|"&amp;J420&amp;"|"&amp;K420&amp;"|"&amp;L420&amp;"|"&amp;M420&amp;"|"&amp;N420&amp;"|"&amp;O420&amp;"|"&amp;P420</f>
        <v/>
      </c>
      <c r="R420" s="10">
        <f>IF(COUNTIF($Q$2:$Q$1409,Q420)&gt;1,IF(COUNTIF($Q$2:Q420,Q420)=1,"Exact Duplicate - Keep First","Exact Duplicate - Remove"),"Unique")</f>
        <v/>
      </c>
    </row>
    <row r="421" ht="15" customHeight="1" s="11">
      <c r="A421" s="10" t="inlineStr">
        <is>
          <t>USR-100420</t>
        </is>
      </c>
      <c r="B421" s="14" t="n">
        <v>45785</v>
      </c>
      <c r="C421" s="10" t="inlineStr">
        <is>
          <t>Control</t>
        </is>
      </c>
      <c r="D421" s="10" t="inlineStr">
        <is>
          <t>North</t>
        </is>
      </c>
      <c r="E421" s="10" t="inlineStr">
        <is>
          <t>Desktop</t>
        </is>
      </c>
      <c r="F421" s="10" t="inlineStr">
        <is>
          <t>Organic</t>
        </is>
      </c>
      <c r="G421" s="10" t="inlineStr">
        <is>
          <t>Premium</t>
        </is>
      </c>
      <c r="H421" s="10" t="n">
        <v>1</v>
      </c>
      <c r="I421" s="10" t="n">
        <v>0</v>
      </c>
      <c r="J421" s="10" t="n">
        <v>0</v>
      </c>
      <c r="K421" s="10" t="n">
        <v>0</v>
      </c>
      <c r="L421" s="10" t="n">
        <v>0</v>
      </c>
      <c r="M421" s="10" t="n">
        <v>0</v>
      </c>
      <c r="N421" s="10" t="n">
        <v>0</v>
      </c>
      <c r="P421" s="10" t="n">
        <v>71.2</v>
      </c>
      <c r="Q421" s="10">
        <f>A421&amp;"|"&amp;B421&amp;"|"&amp;C421&amp;"|"&amp;D421&amp;"|"&amp;E421&amp;"|"&amp;F421&amp;"|"&amp;G421&amp;"|"&amp;H421&amp;"|"&amp;I421&amp;"|"&amp;J421&amp;"|"&amp;K421&amp;"|"&amp;L421&amp;"|"&amp;M421&amp;"|"&amp;N421&amp;"|"&amp;O421&amp;"|"&amp;P421</f>
        <v/>
      </c>
      <c r="R421" s="10">
        <f>IF(COUNTIF($Q$2:$Q$1409,Q421)&gt;1,IF(COUNTIF($Q$2:Q421,Q421)=1,"Exact Duplicate - Keep First","Exact Duplicate - Remove"),"Unique")</f>
        <v/>
      </c>
    </row>
    <row r="422" ht="15" customHeight="1" s="11">
      <c r="A422" s="10" t="inlineStr">
        <is>
          <t>USR-100421</t>
        </is>
      </c>
      <c r="B422" s="14" t="n">
        <v>45762</v>
      </c>
      <c r="C422" s="10" t="inlineStr">
        <is>
          <t>Control</t>
        </is>
      </c>
      <c r="D422" s="10" t="inlineStr">
        <is>
          <t>South</t>
        </is>
      </c>
      <c r="E422" s="10" t="inlineStr">
        <is>
          <t>Mobile</t>
        </is>
      </c>
      <c r="F422" s="10" t="inlineStr">
        <is>
          <t>Email</t>
        </is>
      </c>
      <c r="G422" s="10" t="inlineStr">
        <is>
          <t>Free</t>
        </is>
      </c>
      <c r="H422" s="10" t="n">
        <v>1</v>
      </c>
      <c r="I422" s="10" t="n">
        <v>0</v>
      </c>
      <c r="J422" s="10" t="n">
        <v>0</v>
      </c>
      <c r="K422" s="10" t="n">
        <v>0</v>
      </c>
      <c r="L422" s="10" t="n">
        <v>0</v>
      </c>
      <c r="M422" s="10" t="n">
        <v>0</v>
      </c>
      <c r="N422" s="10" t="n">
        <v>0</v>
      </c>
      <c r="P422" s="10" t="n">
        <v>39.1</v>
      </c>
      <c r="Q422" s="10">
        <f>A422&amp;"|"&amp;B422&amp;"|"&amp;C422&amp;"|"&amp;D422&amp;"|"&amp;E422&amp;"|"&amp;F422&amp;"|"&amp;G422&amp;"|"&amp;H422&amp;"|"&amp;I422&amp;"|"&amp;J422&amp;"|"&amp;K422&amp;"|"&amp;L422&amp;"|"&amp;M422&amp;"|"&amp;N422&amp;"|"&amp;O422&amp;"|"&amp;P422</f>
        <v/>
      </c>
      <c r="R422" s="10">
        <f>IF(COUNTIF($Q$2:$Q$1409,Q422)&gt;1,IF(COUNTIF($Q$2:Q422,Q422)=1,"Exact Duplicate - Keep First","Exact Duplicate - Remove"),"Unique")</f>
        <v/>
      </c>
    </row>
    <row r="423" ht="15" customHeight="1" s="11">
      <c r="A423" s="10" t="inlineStr">
        <is>
          <t>USR-100422</t>
        </is>
      </c>
      <c r="B423" s="14" t="n">
        <v>45767</v>
      </c>
      <c r="C423" s="10" t="inlineStr">
        <is>
          <t>Control</t>
        </is>
      </c>
      <c r="D423" s="10" t="inlineStr">
        <is>
          <t>East</t>
        </is>
      </c>
      <c r="E423" s="10" t="inlineStr">
        <is>
          <t>Desktop</t>
        </is>
      </c>
      <c r="F423" s="10" t="inlineStr">
        <is>
          <t>Social</t>
        </is>
      </c>
      <c r="G423" s="10" t="inlineStr">
        <is>
          <t>Free</t>
        </is>
      </c>
      <c r="H423" s="10" t="n">
        <v>1</v>
      </c>
      <c r="I423" s="10" t="n">
        <v>0</v>
      </c>
      <c r="J423" s="10" t="n">
        <v>0</v>
      </c>
      <c r="K423" s="10" t="n">
        <v>0</v>
      </c>
      <c r="L423" s="10" t="n">
        <v>0</v>
      </c>
      <c r="M423" s="10" t="n">
        <v>0</v>
      </c>
      <c r="N423" s="10" t="n">
        <v>0</v>
      </c>
      <c r="P423" s="10" t="n">
        <v>42.6</v>
      </c>
      <c r="Q423" s="10">
        <f>A423&amp;"|"&amp;B423&amp;"|"&amp;C423&amp;"|"&amp;D423&amp;"|"&amp;E423&amp;"|"&amp;F423&amp;"|"&amp;G423&amp;"|"&amp;H423&amp;"|"&amp;I423&amp;"|"&amp;J423&amp;"|"&amp;K423&amp;"|"&amp;L423&amp;"|"&amp;M423&amp;"|"&amp;N423&amp;"|"&amp;O423&amp;"|"&amp;P423</f>
        <v/>
      </c>
      <c r="R423" s="10">
        <f>IF(COUNTIF($Q$2:$Q$1409,Q423)&gt;1,IF(COUNTIF($Q$2:Q423,Q423)=1,"Exact Duplicate - Keep First","Exact Duplicate - Remove"),"Unique")</f>
        <v/>
      </c>
    </row>
    <row r="424" ht="15" customHeight="1" s="11">
      <c r="A424" s="10" t="inlineStr">
        <is>
          <t>USR-100423</t>
        </is>
      </c>
      <c r="B424" s="14" t="n">
        <v>45807</v>
      </c>
      <c r="C424" s="10" t="inlineStr">
        <is>
          <t>Control</t>
        </is>
      </c>
      <c r="D424" s="10" t="inlineStr">
        <is>
          <t>South</t>
        </is>
      </c>
      <c r="E424" s="10" t="inlineStr">
        <is>
          <t>Tablet</t>
        </is>
      </c>
      <c r="F424" s="10" t="inlineStr">
        <is>
          <t>Organic</t>
        </is>
      </c>
      <c r="G424" s="10" t="inlineStr">
        <is>
          <t>Free</t>
        </is>
      </c>
      <c r="H424" s="10" t="n">
        <v>0</v>
      </c>
      <c r="I424" s="10" t="n">
        <v>0</v>
      </c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P424" s="10" t="n">
        <v>74.40000000000001</v>
      </c>
      <c r="Q424" s="10">
        <f>A424&amp;"|"&amp;B424&amp;"|"&amp;C424&amp;"|"&amp;D424&amp;"|"&amp;E424&amp;"|"&amp;F424&amp;"|"&amp;G424&amp;"|"&amp;H424&amp;"|"&amp;I424&amp;"|"&amp;J424&amp;"|"&amp;K424&amp;"|"&amp;L424&amp;"|"&amp;M424&amp;"|"&amp;N424&amp;"|"&amp;O424&amp;"|"&amp;P424</f>
        <v/>
      </c>
      <c r="R424" s="10">
        <f>IF(COUNTIF($Q$2:$Q$1409,Q424)&gt;1,IF(COUNTIF($Q$2:Q424,Q424)=1,"Exact Duplicate - Keep First","Exact Duplicate - Remove"),"Unique")</f>
        <v/>
      </c>
    </row>
    <row r="425" ht="15" customHeight="1" s="11">
      <c r="A425" s="10" t="inlineStr">
        <is>
          <t>USR-100424</t>
        </is>
      </c>
      <c r="B425" s="14" t="n">
        <v>45701</v>
      </c>
      <c r="C425" s="10" t="inlineStr">
        <is>
          <t>Control</t>
        </is>
      </c>
      <c r="D425" s="10" t="inlineStr">
        <is>
          <t>West</t>
        </is>
      </c>
      <c r="E425" s="10" t="inlineStr">
        <is>
          <t>Mobile</t>
        </is>
      </c>
      <c r="F425" s="10" t="inlineStr">
        <is>
          <t>Referral</t>
        </is>
      </c>
      <c r="G425" s="10" t="inlineStr">
        <is>
          <t>Free</t>
        </is>
      </c>
      <c r="H425" s="10" t="n">
        <v>0</v>
      </c>
      <c r="I425" s="10" t="n">
        <v>0</v>
      </c>
      <c r="J425" s="10" t="n">
        <v>0</v>
      </c>
      <c r="K425" s="10" t="n">
        <v>0</v>
      </c>
      <c r="L425" s="10" t="n">
        <v>0</v>
      </c>
      <c r="M425" s="10" t="n">
        <v>0</v>
      </c>
      <c r="N425" s="10" t="n">
        <v>0</v>
      </c>
      <c r="P425" s="10" t="n">
        <v>55.6</v>
      </c>
      <c r="Q425" s="10">
        <f>A425&amp;"|"&amp;B425&amp;"|"&amp;C425&amp;"|"&amp;D425&amp;"|"&amp;E425&amp;"|"&amp;F425&amp;"|"&amp;G425&amp;"|"&amp;H425&amp;"|"&amp;I425&amp;"|"&amp;J425&amp;"|"&amp;K425&amp;"|"&amp;L425&amp;"|"&amp;M425&amp;"|"&amp;N425&amp;"|"&amp;O425&amp;"|"&amp;P425</f>
        <v/>
      </c>
      <c r="R425" s="10">
        <f>IF(COUNTIF($Q$2:$Q$1409,Q425)&gt;1,IF(COUNTIF($Q$2:Q425,Q425)=1,"Exact Duplicate - Keep First","Exact Duplicate - Remove"),"Unique")</f>
        <v/>
      </c>
    </row>
    <row r="426" ht="15" customHeight="1" s="11">
      <c r="A426" s="10" t="inlineStr">
        <is>
          <t>USR-100425</t>
        </is>
      </c>
      <c r="B426" s="14" t="n">
        <v>45775</v>
      </c>
      <c r="C426" s="10" t="inlineStr">
        <is>
          <t>Control</t>
        </is>
      </c>
      <c r="D426" s="10" t="inlineStr">
        <is>
          <t>West</t>
        </is>
      </c>
      <c r="E426" s="10" t="inlineStr">
        <is>
          <t>Mobile</t>
        </is>
      </c>
      <c r="F426" s="10" t="inlineStr">
        <is>
          <t>Social</t>
        </is>
      </c>
      <c r="G426" s="10" t="inlineStr">
        <is>
          <t>Free</t>
        </is>
      </c>
      <c r="H426" s="10" t="n">
        <v>1</v>
      </c>
      <c r="I426" s="10" t="n">
        <v>0</v>
      </c>
      <c r="J426" s="10" t="n">
        <v>0</v>
      </c>
      <c r="K426" s="10" t="n">
        <v>0</v>
      </c>
      <c r="L426" s="10" t="n">
        <v>0</v>
      </c>
      <c r="M426" s="10" t="n">
        <v>0</v>
      </c>
      <c r="N426" s="10" t="n">
        <v>0</v>
      </c>
      <c r="P426" s="10" t="n">
        <v>35.8</v>
      </c>
      <c r="Q426" s="10">
        <f>A426&amp;"|"&amp;B426&amp;"|"&amp;C426&amp;"|"&amp;D426&amp;"|"&amp;E426&amp;"|"&amp;F426&amp;"|"&amp;G426&amp;"|"&amp;H426&amp;"|"&amp;I426&amp;"|"&amp;J426&amp;"|"&amp;K426&amp;"|"&amp;L426&amp;"|"&amp;M426&amp;"|"&amp;N426&amp;"|"&amp;O426&amp;"|"&amp;P426</f>
        <v/>
      </c>
      <c r="R426" s="10">
        <f>IF(COUNTIF($Q$2:$Q$1409,Q426)&gt;1,IF(COUNTIF($Q$2:Q426,Q426)=1,"Exact Duplicate - Keep First","Exact Duplicate - Remove"),"Unique")</f>
        <v/>
      </c>
    </row>
    <row r="427" ht="15" customHeight="1" s="11">
      <c r="A427" s="10" t="inlineStr">
        <is>
          <t>USR-100426</t>
        </is>
      </c>
      <c r="B427" s="14" t="n">
        <v>45700</v>
      </c>
      <c r="C427" s="10" t="inlineStr">
        <is>
          <t>Control</t>
        </is>
      </c>
      <c r="D427" s="10" t="inlineStr">
        <is>
          <t>North</t>
        </is>
      </c>
      <c r="E427" s="10" t="inlineStr">
        <is>
          <t>Mobile</t>
        </is>
      </c>
      <c r="F427" s="10" t="inlineStr">
        <is>
          <t>Paid Search</t>
        </is>
      </c>
      <c r="G427" s="10" t="inlineStr">
        <is>
          <t>Basic</t>
        </is>
      </c>
      <c r="H427" s="10" t="n">
        <v>1</v>
      </c>
      <c r="I427" s="10" t="n">
        <v>0</v>
      </c>
      <c r="J427" s="10" t="n">
        <v>0</v>
      </c>
      <c r="K427" s="10" t="n">
        <v>0</v>
      </c>
      <c r="L427" s="10" t="n">
        <v>0</v>
      </c>
      <c r="M427" s="10" t="n">
        <v>1</v>
      </c>
      <c r="N427" s="10" t="n">
        <v>0</v>
      </c>
      <c r="P427" s="10" t="n">
        <v>28.2</v>
      </c>
      <c r="Q427" s="10">
        <f>A427&amp;"|"&amp;B427&amp;"|"&amp;C427&amp;"|"&amp;D427&amp;"|"&amp;E427&amp;"|"&amp;F427&amp;"|"&amp;G427&amp;"|"&amp;H427&amp;"|"&amp;I427&amp;"|"&amp;J427&amp;"|"&amp;K427&amp;"|"&amp;L427&amp;"|"&amp;M427&amp;"|"&amp;N427&amp;"|"&amp;O427&amp;"|"&amp;P427</f>
        <v/>
      </c>
      <c r="R427" s="10">
        <f>IF(COUNTIF($Q$2:$Q$1409,Q427)&gt;1,IF(COUNTIF($Q$2:Q427,Q427)=1,"Exact Duplicate - Keep First","Exact Duplicate - Remove"),"Unique")</f>
        <v/>
      </c>
    </row>
    <row r="428" ht="15" customHeight="1" s="11">
      <c r="A428" s="10" t="inlineStr">
        <is>
          <t>USR-100427</t>
        </is>
      </c>
      <c r="B428" s="14" t="n">
        <v>45700</v>
      </c>
      <c r="C428" s="10" t="inlineStr">
        <is>
          <t>Control</t>
        </is>
      </c>
      <c r="D428" s="10" t="inlineStr">
        <is>
          <t>East</t>
        </is>
      </c>
      <c r="E428" s="10" t="inlineStr">
        <is>
          <t>Mobile</t>
        </is>
      </c>
      <c r="F428" s="10" t="inlineStr">
        <is>
          <t>Organic</t>
        </is>
      </c>
      <c r="G428" s="10" t="inlineStr">
        <is>
          <t>Free</t>
        </is>
      </c>
      <c r="H428" s="10" t="n">
        <v>0</v>
      </c>
      <c r="I428" s="10" t="n">
        <v>0</v>
      </c>
      <c r="J428" s="10" t="n">
        <v>0</v>
      </c>
      <c r="K428" s="10" t="n">
        <v>0</v>
      </c>
      <c r="L428" s="10" t="n">
        <v>0</v>
      </c>
      <c r="M428" s="10" t="n">
        <v>2</v>
      </c>
      <c r="N428" s="10" t="n">
        <v>0</v>
      </c>
      <c r="P428" s="10" t="n">
        <v>44.4</v>
      </c>
      <c r="Q428" s="10">
        <f>A428&amp;"|"&amp;B428&amp;"|"&amp;C428&amp;"|"&amp;D428&amp;"|"&amp;E428&amp;"|"&amp;F428&amp;"|"&amp;G428&amp;"|"&amp;H428&amp;"|"&amp;I428&amp;"|"&amp;J428&amp;"|"&amp;K428&amp;"|"&amp;L428&amp;"|"&amp;M428&amp;"|"&amp;N428&amp;"|"&amp;O428&amp;"|"&amp;P428</f>
        <v/>
      </c>
      <c r="R428" s="10">
        <f>IF(COUNTIF($Q$2:$Q$1409,Q428)&gt;1,IF(COUNTIF($Q$2:Q428,Q428)=1,"Exact Duplicate - Keep First","Exact Duplicate - Remove"),"Unique")</f>
        <v/>
      </c>
    </row>
    <row r="429" ht="15" customHeight="1" s="11">
      <c r="A429" s="10" t="inlineStr">
        <is>
          <t>USR-100428</t>
        </is>
      </c>
      <c r="B429" s="14" t="n">
        <v>45743</v>
      </c>
      <c r="C429" s="10" t="inlineStr">
        <is>
          <t>Control</t>
        </is>
      </c>
      <c r="D429" s="10" t="inlineStr">
        <is>
          <t>North</t>
        </is>
      </c>
      <c r="E429" s="10" t="inlineStr">
        <is>
          <t>Mobile</t>
        </is>
      </c>
      <c r="F429" s="10" t="inlineStr">
        <is>
          <t>Email</t>
        </is>
      </c>
      <c r="G429" s="10" t="inlineStr">
        <is>
          <t>Premium</t>
        </is>
      </c>
      <c r="H429" s="10" t="n">
        <v>1</v>
      </c>
      <c r="I429" s="10" t="n">
        <v>0</v>
      </c>
      <c r="J429" s="10" t="n">
        <v>0</v>
      </c>
      <c r="K429" s="10" t="n">
        <v>0</v>
      </c>
      <c r="L429" s="10" t="n">
        <v>0</v>
      </c>
      <c r="M429" s="10" t="n">
        <v>0</v>
      </c>
      <c r="N429" s="10" t="n">
        <v>0</v>
      </c>
      <c r="P429" s="10" t="n">
        <v>49.9</v>
      </c>
      <c r="Q429" s="10">
        <f>A429&amp;"|"&amp;B429&amp;"|"&amp;C429&amp;"|"&amp;D429&amp;"|"&amp;E429&amp;"|"&amp;F429&amp;"|"&amp;G429&amp;"|"&amp;H429&amp;"|"&amp;I429&amp;"|"&amp;J429&amp;"|"&amp;K429&amp;"|"&amp;L429&amp;"|"&amp;M429&amp;"|"&amp;N429&amp;"|"&amp;O429&amp;"|"&amp;P429</f>
        <v/>
      </c>
      <c r="R429" s="10">
        <f>IF(COUNTIF($Q$2:$Q$1409,Q429)&gt;1,IF(COUNTIF($Q$2:Q429,Q429)=1,"Exact Duplicate - Keep First","Exact Duplicate - Remove"),"Unique")</f>
        <v/>
      </c>
    </row>
    <row r="430" ht="15" customHeight="1" s="11">
      <c r="A430" s="10" t="inlineStr">
        <is>
          <t>USR-100429</t>
        </is>
      </c>
      <c r="B430" s="14" t="n">
        <v>45759</v>
      </c>
      <c r="C430" s="10" t="inlineStr">
        <is>
          <t>Control</t>
        </is>
      </c>
      <c r="D430" s="10" t="inlineStr">
        <is>
          <t>South</t>
        </is>
      </c>
      <c r="E430" s="10" t="inlineStr">
        <is>
          <t>Desktop</t>
        </is>
      </c>
      <c r="F430" s="10" t="inlineStr">
        <is>
          <t>Organic</t>
        </is>
      </c>
      <c r="G430" s="10" t="inlineStr">
        <is>
          <t>Free</t>
        </is>
      </c>
      <c r="H430" s="10" t="n">
        <v>0</v>
      </c>
      <c r="I430" s="10" t="n">
        <v>0</v>
      </c>
      <c r="J430" s="10" t="n">
        <v>0</v>
      </c>
      <c r="K430" s="10" t="n">
        <v>0</v>
      </c>
      <c r="L430" s="10" t="n">
        <v>0</v>
      </c>
      <c r="M430" s="10" t="n">
        <v>0</v>
      </c>
      <c r="N430" s="10" t="n">
        <v>0</v>
      </c>
      <c r="P430" s="10" t="n">
        <v>40.4</v>
      </c>
      <c r="Q430" s="10">
        <f>A430&amp;"|"&amp;B430&amp;"|"&amp;C430&amp;"|"&amp;D430&amp;"|"&amp;E430&amp;"|"&amp;F430&amp;"|"&amp;G430&amp;"|"&amp;H430&amp;"|"&amp;I430&amp;"|"&amp;J430&amp;"|"&amp;K430&amp;"|"&amp;L430&amp;"|"&amp;M430&amp;"|"&amp;N430&amp;"|"&amp;O430&amp;"|"&amp;P430</f>
        <v/>
      </c>
      <c r="R430" s="10">
        <f>IF(COUNTIF($Q$2:$Q$1409,Q430)&gt;1,IF(COUNTIF($Q$2:Q430,Q430)=1,"Exact Duplicate - Keep First","Exact Duplicate - Remove"),"Unique")</f>
        <v/>
      </c>
    </row>
    <row r="431" ht="15" customHeight="1" s="11">
      <c r="A431" s="10" t="inlineStr">
        <is>
          <t>USR-100430</t>
        </is>
      </c>
      <c r="B431" s="14" t="n">
        <v>45687</v>
      </c>
      <c r="C431" s="10" t="inlineStr">
        <is>
          <t>Control</t>
        </is>
      </c>
      <c r="D431" s="10" t="inlineStr">
        <is>
          <t>West</t>
        </is>
      </c>
      <c r="E431" s="10" t="inlineStr">
        <is>
          <t>Mobile</t>
        </is>
      </c>
      <c r="F431" s="10" t="inlineStr">
        <is>
          <t>Social</t>
        </is>
      </c>
      <c r="G431" s="10" t="inlineStr">
        <is>
          <t>Free</t>
        </is>
      </c>
      <c r="H431" s="10" t="n">
        <v>0</v>
      </c>
      <c r="I431" s="10" t="n">
        <v>0</v>
      </c>
      <c r="J431" s="10" t="n">
        <v>0</v>
      </c>
      <c r="K431" s="10" t="n">
        <v>0</v>
      </c>
      <c r="L431" s="10" t="n">
        <v>0</v>
      </c>
      <c r="M431" s="10" t="n">
        <v>0</v>
      </c>
      <c r="N431" s="10" t="n">
        <v>0</v>
      </c>
      <c r="P431" s="10" t="n">
        <v>60.4</v>
      </c>
      <c r="Q431" s="10">
        <f>A431&amp;"|"&amp;B431&amp;"|"&amp;C431&amp;"|"&amp;D431&amp;"|"&amp;E431&amp;"|"&amp;F431&amp;"|"&amp;G431&amp;"|"&amp;H431&amp;"|"&amp;I431&amp;"|"&amp;J431&amp;"|"&amp;K431&amp;"|"&amp;L431&amp;"|"&amp;M431&amp;"|"&amp;N431&amp;"|"&amp;O431&amp;"|"&amp;P431</f>
        <v/>
      </c>
      <c r="R431" s="10">
        <f>IF(COUNTIF($Q$2:$Q$1409,Q431)&gt;1,IF(COUNTIF($Q$2:Q431,Q431)=1,"Exact Duplicate - Keep First","Exact Duplicate - Remove"),"Unique")</f>
        <v/>
      </c>
    </row>
    <row r="432" ht="15" customHeight="1" s="11">
      <c r="A432" s="10" t="inlineStr">
        <is>
          <t>USR-100431</t>
        </is>
      </c>
      <c r="B432" s="14" t="n">
        <v>45805</v>
      </c>
      <c r="C432" s="10" t="inlineStr">
        <is>
          <t>Control</t>
        </is>
      </c>
      <c r="D432" s="10" t="inlineStr">
        <is>
          <t>West</t>
        </is>
      </c>
      <c r="E432" s="10" t="inlineStr">
        <is>
          <t>Mobile</t>
        </is>
      </c>
      <c r="F432" s="10" t="inlineStr">
        <is>
          <t>Social</t>
        </is>
      </c>
      <c r="G432" s="10" t="inlineStr">
        <is>
          <t>Premium</t>
        </is>
      </c>
      <c r="H432" s="10" t="n">
        <v>0</v>
      </c>
      <c r="I432" s="10" t="n">
        <v>0</v>
      </c>
      <c r="J432" s="10" t="n">
        <v>0</v>
      </c>
      <c r="K432" s="10" t="n">
        <v>0</v>
      </c>
      <c r="L432" s="10" t="n">
        <v>0</v>
      </c>
      <c r="M432" s="10" t="n">
        <v>1</v>
      </c>
      <c r="N432" s="10" t="n">
        <v>0</v>
      </c>
      <c r="P432" s="10" t="n">
        <v>52.4</v>
      </c>
      <c r="Q432" s="10">
        <f>A432&amp;"|"&amp;B432&amp;"|"&amp;C432&amp;"|"&amp;D432&amp;"|"&amp;E432&amp;"|"&amp;F432&amp;"|"&amp;G432&amp;"|"&amp;H432&amp;"|"&amp;I432&amp;"|"&amp;J432&amp;"|"&amp;K432&amp;"|"&amp;L432&amp;"|"&amp;M432&amp;"|"&amp;N432&amp;"|"&amp;O432&amp;"|"&amp;P432</f>
        <v/>
      </c>
      <c r="R432" s="10">
        <f>IF(COUNTIF($Q$2:$Q$1409,Q432)&gt;1,IF(COUNTIF($Q$2:Q432,Q432)=1,"Exact Duplicate - Keep First","Exact Duplicate - Remove"),"Unique")</f>
        <v/>
      </c>
    </row>
    <row r="433" ht="15" customHeight="1" s="11">
      <c r="A433" s="10" t="inlineStr">
        <is>
          <t>USR-100432</t>
        </is>
      </c>
      <c r="B433" s="14" t="n">
        <v>45778</v>
      </c>
      <c r="C433" s="10" t="inlineStr">
        <is>
          <t>Control</t>
        </is>
      </c>
      <c r="D433" s="10" t="inlineStr">
        <is>
          <t>South</t>
        </is>
      </c>
      <c r="E433" s="10" t="inlineStr">
        <is>
          <t>Mobile</t>
        </is>
      </c>
      <c r="F433" s="10" t="inlineStr">
        <is>
          <t>Organic</t>
        </is>
      </c>
      <c r="G433" s="10" t="inlineStr">
        <is>
          <t>Basic</t>
        </is>
      </c>
      <c r="H433" s="10" t="n">
        <v>1</v>
      </c>
      <c r="I433" s="10" t="n">
        <v>1</v>
      </c>
      <c r="J433" s="10" t="n">
        <v>0</v>
      </c>
      <c r="K433" s="10" t="n">
        <v>0</v>
      </c>
      <c r="L433" s="10" t="n">
        <v>0</v>
      </c>
      <c r="M433" s="10" t="n">
        <v>0</v>
      </c>
      <c r="N433" s="10" t="n">
        <v>0</v>
      </c>
      <c r="P433" s="10" t="n">
        <v>48.8</v>
      </c>
      <c r="Q433" s="10">
        <f>A433&amp;"|"&amp;B433&amp;"|"&amp;C433&amp;"|"&amp;D433&amp;"|"&amp;E433&amp;"|"&amp;F433&amp;"|"&amp;G433&amp;"|"&amp;H433&amp;"|"&amp;I433&amp;"|"&amp;J433&amp;"|"&amp;K433&amp;"|"&amp;L433&amp;"|"&amp;M433&amp;"|"&amp;N433&amp;"|"&amp;O433&amp;"|"&amp;P433</f>
        <v/>
      </c>
      <c r="R433" s="10">
        <f>IF(COUNTIF($Q$2:$Q$1409,Q433)&gt;1,IF(COUNTIF($Q$2:Q433,Q433)=1,"Exact Duplicate - Keep First","Exact Duplicate - Remove"),"Unique")</f>
        <v/>
      </c>
    </row>
    <row r="434" ht="15" customHeight="1" s="11">
      <c r="A434" s="10" t="inlineStr">
        <is>
          <t>USR-100433</t>
        </is>
      </c>
      <c r="B434" s="14" t="n">
        <v>45691</v>
      </c>
      <c r="C434" s="10" t="inlineStr">
        <is>
          <t>Control</t>
        </is>
      </c>
      <c r="D434" s="10" t="inlineStr">
        <is>
          <t>North</t>
        </is>
      </c>
      <c r="E434" s="10" t="inlineStr">
        <is>
          <t>Tablet</t>
        </is>
      </c>
      <c r="F434" s="10" t="inlineStr">
        <is>
          <t>Email</t>
        </is>
      </c>
      <c r="G434" s="10" t="inlineStr">
        <is>
          <t>Basic</t>
        </is>
      </c>
      <c r="H434" s="10" t="n">
        <v>1</v>
      </c>
      <c r="I434" s="10" t="n">
        <v>0</v>
      </c>
      <c r="J434" s="10" t="n">
        <v>0</v>
      </c>
      <c r="K434" s="10" t="n">
        <v>0</v>
      </c>
      <c r="L434" s="10" t="n">
        <v>0</v>
      </c>
      <c r="M434" s="10" t="n">
        <v>0</v>
      </c>
      <c r="N434" s="10" t="n">
        <v>0</v>
      </c>
      <c r="P434" s="10" t="n">
        <v>60.9</v>
      </c>
      <c r="Q434" s="10">
        <f>A434&amp;"|"&amp;B434&amp;"|"&amp;C434&amp;"|"&amp;D434&amp;"|"&amp;E434&amp;"|"&amp;F434&amp;"|"&amp;G434&amp;"|"&amp;H434&amp;"|"&amp;I434&amp;"|"&amp;J434&amp;"|"&amp;K434&amp;"|"&amp;L434&amp;"|"&amp;M434&amp;"|"&amp;N434&amp;"|"&amp;O434&amp;"|"&amp;P434</f>
        <v/>
      </c>
      <c r="R434" s="10">
        <f>IF(COUNTIF($Q$2:$Q$1409,Q434)&gt;1,IF(COUNTIF($Q$2:Q434,Q434)=1,"Exact Duplicate - Keep First","Exact Duplicate - Remove"),"Unique")</f>
        <v/>
      </c>
    </row>
    <row r="435" ht="15" customHeight="1" s="11">
      <c r="A435" s="10" t="inlineStr">
        <is>
          <t>USR-100434</t>
        </is>
      </c>
      <c r="B435" s="14" t="n">
        <v>45667</v>
      </c>
      <c r="C435" s="10" t="inlineStr">
        <is>
          <t>Control</t>
        </is>
      </c>
      <c r="D435" s="10" t="inlineStr">
        <is>
          <t>South</t>
        </is>
      </c>
      <c r="E435" s="10" t="inlineStr">
        <is>
          <t>Desktop</t>
        </is>
      </c>
      <c r="F435" s="10" t="inlineStr">
        <is>
          <t>Social</t>
        </is>
      </c>
      <c r="G435" s="10" t="inlineStr">
        <is>
          <t>Basic</t>
        </is>
      </c>
      <c r="H435" s="10" t="n">
        <v>0</v>
      </c>
      <c r="I435" s="10" t="n">
        <v>0</v>
      </c>
      <c r="J435" s="10" t="n">
        <v>0</v>
      </c>
      <c r="K435" s="10" t="n">
        <v>0</v>
      </c>
      <c r="L435" s="10" t="n">
        <v>0</v>
      </c>
      <c r="M435" s="10" t="n">
        <v>0</v>
      </c>
      <c r="N435" s="10" t="n">
        <v>0</v>
      </c>
      <c r="P435" s="10" t="n">
        <v>68.2</v>
      </c>
      <c r="Q435" s="10">
        <f>A435&amp;"|"&amp;B435&amp;"|"&amp;C435&amp;"|"&amp;D435&amp;"|"&amp;E435&amp;"|"&amp;F435&amp;"|"&amp;G435&amp;"|"&amp;H435&amp;"|"&amp;I435&amp;"|"&amp;J435&amp;"|"&amp;K435&amp;"|"&amp;L435&amp;"|"&amp;M435&amp;"|"&amp;N435&amp;"|"&amp;O435&amp;"|"&amp;P435</f>
        <v/>
      </c>
      <c r="R435" s="10">
        <f>IF(COUNTIF($Q$2:$Q$1409,Q435)&gt;1,IF(COUNTIF($Q$2:Q435,Q435)=1,"Exact Duplicate - Keep First","Exact Duplicate - Remove"),"Unique")</f>
        <v/>
      </c>
    </row>
    <row r="436" ht="15" customHeight="1" s="11">
      <c r="A436" s="10" t="inlineStr">
        <is>
          <t>USR-100435</t>
        </is>
      </c>
      <c r="B436" s="14" t="n">
        <v>45779</v>
      </c>
      <c r="C436" s="10" t="inlineStr">
        <is>
          <t>Control</t>
        </is>
      </c>
      <c r="D436" s="10" t="inlineStr">
        <is>
          <t>North</t>
        </is>
      </c>
      <c r="E436" s="10" t="inlineStr">
        <is>
          <t>Desktop</t>
        </is>
      </c>
      <c r="F436" s="10" t="inlineStr">
        <is>
          <t>Organic</t>
        </is>
      </c>
      <c r="G436" s="10" t="inlineStr">
        <is>
          <t>Basic</t>
        </is>
      </c>
      <c r="H436" s="10" t="n">
        <v>1</v>
      </c>
      <c r="I436" s="10" t="n">
        <v>0</v>
      </c>
      <c r="J436" s="10" t="n">
        <v>0</v>
      </c>
      <c r="K436" s="10" t="n">
        <v>0</v>
      </c>
      <c r="L436" s="10" t="n">
        <v>0</v>
      </c>
      <c r="M436" s="10" t="n">
        <v>0</v>
      </c>
      <c r="N436" s="10" t="n">
        <v>0</v>
      </c>
      <c r="P436" s="10" t="n">
        <v>65.59999999999999</v>
      </c>
      <c r="Q436" s="10">
        <f>A436&amp;"|"&amp;B436&amp;"|"&amp;C436&amp;"|"&amp;D436&amp;"|"&amp;E436&amp;"|"&amp;F436&amp;"|"&amp;G436&amp;"|"&amp;H436&amp;"|"&amp;I436&amp;"|"&amp;J436&amp;"|"&amp;K436&amp;"|"&amp;L436&amp;"|"&amp;M436&amp;"|"&amp;N436&amp;"|"&amp;O436&amp;"|"&amp;P436</f>
        <v/>
      </c>
      <c r="R436" s="10">
        <f>IF(COUNTIF($Q$2:$Q$1409,Q436)&gt;1,IF(COUNTIF($Q$2:Q436,Q436)=1,"Exact Duplicate - Keep First","Exact Duplicate - Remove"),"Unique")</f>
        <v/>
      </c>
    </row>
    <row r="437" ht="15" customHeight="1" s="11">
      <c r="A437" s="10" t="inlineStr">
        <is>
          <t>USR-100436</t>
        </is>
      </c>
      <c r="B437" s="14" t="n">
        <v>45803</v>
      </c>
      <c r="C437" s="10" t="inlineStr">
        <is>
          <t>Control</t>
        </is>
      </c>
      <c r="D437" s="10" t="inlineStr">
        <is>
          <t>North</t>
        </is>
      </c>
      <c r="E437" s="10" t="inlineStr">
        <is>
          <t>Desktop</t>
        </is>
      </c>
      <c r="F437" s="10" t="inlineStr">
        <is>
          <t>Organic</t>
        </is>
      </c>
      <c r="G437" s="10" t="inlineStr">
        <is>
          <t>Basic</t>
        </is>
      </c>
      <c r="H437" s="10" t="n">
        <v>1</v>
      </c>
      <c r="I437" s="10" t="n">
        <v>0</v>
      </c>
      <c r="J437" s="10" t="n">
        <v>0</v>
      </c>
      <c r="K437" s="10" t="n">
        <v>0</v>
      </c>
      <c r="L437" s="10" t="n">
        <v>0</v>
      </c>
      <c r="M437" s="10" t="n">
        <v>0</v>
      </c>
      <c r="N437" s="10" t="n">
        <v>0</v>
      </c>
      <c r="P437" s="10" t="n">
        <v>65.40000000000001</v>
      </c>
      <c r="Q437" s="10">
        <f>A437&amp;"|"&amp;B437&amp;"|"&amp;C437&amp;"|"&amp;D437&amp;"|"&amp;E437&amp;"|"&amp;F437&amp;"|"&amp;G437&amp;"|"&amp;H437&amp;"|"&amp;I437&amp;"|"&amp;J437&amp;"|"&amp;K437&amp;"|"&amp;L437&amp;"|"&amp;M437&amp;"|"&amp;N437&amp;"|"&amp;O437&amp;"|"&amp;P437</f>
        <v/>
      </c>
      <c r="R437" s="10">
        <f>IF(COUNTIF($Q$2:$Q$1409,Q437)&gt;1,IF(COUNTIF($Q$2:Q437,Q437)=1,"Exact Duplicate - Keep First","Exact Duplicate - Remove"),"Unique")</f>
        <v/>
      </c>
    </row>
    <row r="438" ht="15" customHeight="1" s="11">
      <c r="A438" s="10" t="inlineStr">
        <is>
          <t>USR-100437</t>
        </is>
      </c>
      <c r="B438" s="14" t="n">
        <v>45669</v>
      </c>
      <c r="C438" s="10" t="inlineStr">
        <is>
          <t>Control</t>
        </is>
      </c>
      <c r="D438" s="10" t="inlineStr">
        <is>
          <t>West</t>
        </is>
      </c>
      <c r="E438" s="10" t="inlineStr">
        <is>
          <t>Mobile</t>
        </is>
      </c>
      <c r="F438" s="10" t="inlineStr">
        <is>
          <t>Organic</t>
        </is>
      </c>
      <c r="G438" s="10" t="inlineStr">
        <is>
          <t>Basic</t>
        </is>
      </c>
      <c r="H438" s="10" t="n">
        <v>1</v>
      </c>
      <c r="I438" s="10" t="n">
        <v>0</v>
      </c>
      <c r="J438" s="10" t="n">
        <v>0</v>
      </c>
      <c r="K438" s="10" t="n">
        <v>0</v>
      </c>
      <c r="L438" s="10" t="n">
        <v>0</v>
      </c>
      <c r="M438" s="10" t="n">
        <v>0</v>
      </c>
      <c r="N438" s="10" t="n">
        <v>0</v>
      </c>
      <c r="P438" s="10" t="n">
        <v>78.90000000000001</v>
      </c>
      <c r="Q438" s="10">
        <f>A438&amp;"|"&amp;B438&amp;"|"&amp;C438&amp;"|"&amp;D438&amp;"|"&amp;E438&amp;"|"&amp;F438&amp;"|"&amp;G438&amp;"|"&amp;H438&amp;"|"&amp;I438&amp;"|"&amp;J438&amp;"|"&amp;K438&amp;"|"&amp;L438&amp;"|"&amp;M438&amp;"|"&amp;N438&amp;"|"&amp;O438&amp;"|"&amp;P438</f>
        <v/>
      </c>
      <c r="R438" s="10">
        <f>IF(COUNTIF($Q$2:$Q$1409,Q438)&gt;1,IF(COUNTIF($Q$2:Q438,Q438)=1,"Exact Duplicate - Keep First","Exact Duplicate - Remove"),"Unique")</f>
        <v/>
      </c>
    </row>
    <row r="439" ht="15" customHeight="1" s="11">
      <c r="A439" s="10" t="inlineStr">
        <is>
          <t>USR-100438</t>
        </is>
      </c>
      <c r="B439" s="14" t="n">
        <v>45804</v>
      </c>
      <c r="C439" s="10" t="inlineStr">
        <is>
          <t>Control</t>
        </is>
      </c>
      <c r="D439" s="10" t="inlineStr">
        <is>
          <t>East</t>
        </is>
      </c>
      <c r="E439" s="10" t="inlineStr">
        <is>
          <t>Mobile</t>
        </is>
      </c>
      <c r="F439" s="10" t="inlineStr">
        <is>
          <t>Paid Search</t>
        </is>
      </c>
      <c r="G439" s="10" t="inlineStr">
        <is>
          <t>Basic</t>
        </is>
      </c>
      <c r="H439" s="10" t="n">
        <v>1</v>
      </c>
      <c r="I439" s="10" t="n">
        <v>1</v>
      </c>
      <c r="J439" s="10" t="n">
        <v>1</v>
      </c>
      <c r="K439" s="10" t="n">
        <v>0</v>
      </c>
      <c r="L439" s="10" t="n">
        <v>0</v>
      </c>
      <c r="M439" s="10" t="n">
        <v>0</v>
      </c>
      <c r="N439" s="10" t="n">
        <v>0</v>
      </c>
      <c r="P439" s="10" t="n">
        <v>78.3</v>
      </c>
      <c r="Q439" s="10">
        <f>A439&amp;"|"&amp;B439&amp;"|"&amp;C439&amp;"|"&amp;D439&amp;"|"&amp;E439&amp;"|"&amp;F439&amp;"|"&amp;G439&amp;"|"&amp;H439&amp;"|"&amp;I439&amp;"|"&amp;J439&amp;"|"&amp;K439&amp;"|"&amp;L439&amp;"|"&amp;M439&amp;"|"&amp;N439&amp;"|"&amp;O439&amp;"|"&amp;P439</f>
        <v/>
      </c>
      <c r="R439" s="10">
        <f>IF(COUNTIF($Q$2:$Q$1409,Q439)&gt;1,IF(COUNTIF($Q$2:Q439,Q439)=1,"Exact Duplicate - Keep First","Exact Duplicate - Remove"),"Unique")</f>
        <v/>
      </c>
    </row>
    <row r="440" ht="15" customHeight="1" s="11">
      <c r="A440" s="10" t="inlineStr">
        <is>
          <t>USR-100439</t>
        </is>
      </c>
      <c r="B440" s="14" t="n">
        <v>45799</v>
      </c>
      <c r="C440" s="10" t="inlineStr">
        <is>
          <t>Control</t>
        </is>
      </c>
      <c r="D440" s="10" t="inlineStr">
        <is>
          <t>West</t>
        </is>
      </c>
      <c r="E440" s="10" t="inlineStr">
        <is>
          <t>Desktop</t>
        </is>
      </c>
      <c r="F440" s="10" t="inlineStr">
        <is>
          <t>Email</t>
        </is>
      </c>
      <c r="G440" s="10" t="inlineStr">
        <is>
          <t>Basic</t>
        </is>
      </c>
      <c r="H440" s="10" t="n">
        <v>0</v>
      </c>
      <c r="I440" s="10" t="n">
        <v>0</v>
      </c>
      <c r="J440" s="10" t="n">
        <v>0</v>
      </c>
      <c r="K440" s="10" t="n">
        <v>0</v>
      </c>
      <c r="L440" s="10" t="n">
        <v>0</v>
      </c>
      <c r="M440" s="10" t="n">
        <v>0</v>
      </c>
      <c r="N440" s="10" t="n">
        <v>0</v>
      </c>
      <c r="P440" s="10" t="n">
        <v>49.2</v>
      </c>
      <c r="Q440" s="10">
        <f>A440&amp;"|"&amp;B440&amp;"|"&amp;C440&amp;"|"&amp;D440&amp;"|"&amp;E440&amp;"|"&amp;F440&amp;"|"&amp;G440&amp;"|"&amp;H440&amp;"|"&amp;I440&amp;"|"&amp;J440&amp;"|"&amp;K440&amp;"|"&amp;L440&amp;"|"&amp;M440&amp;"|"&amp;N440&amp;"|"&amp;O440&amp;"|"&amp;P440</f>
        <v/>
      </c>
      <c r="R440" s="10">
        <f>IF(COUNTIF($Q$2:$Q$1409,Q440)&gt;1,IF(COUNTIF($Q$2:Q440,Q440)=1,"Exact Duplicate - Keep First","Exact Duplicate - Remove"),"Unique")</f>
        <v/>
      </c>
    </row>
    <row r="441" ht="15" customHeight="1" s="11">
      <c r="A441" s="10" t="inlineStr">
        <is>
          <t>USR-100440</t>
        </is>
      </c>
      <c r="B441" s="14" t="n">
        <v>45748</v>
      </c>
      <c r="C441" s="10" t="inlineStr">
        <is>
          <t>Control</t>
        </is>
      </c>
      <c r="D441" s="10" t="inlineStr">
        <is>
          <t>East</t>
        </is>
      </c>
      <c r="E441" s="10" t="inlineStr">
        <is>
          <t>Mobile</t>
        </is>
      </c>
      <c r="F441" s="10" t="inlineStr">
        <is>
          <t>Social</t>
        </is>
      </c>
      <c r="G441" s="10" t="inlineStr">
        <is>
          <t>Premium</t>
        </is>
      </c>
      <c r="H441" s="10" t="n">
        <v>1</v>
      </c>
      <c r="I441" s="10" t="n">
        <v>1</v>
      </c>
      <c r="J441" s="10" t="n">
        <v>1</v>
      </c>
      <c r="K441" s="10" t="n">
        <v>1</v>
      </c>
      <c r="L441" s="10" t="n">
        <v>1518.83</v>
      </c>
      <c r="M441" s="10" t="n">
        <v>0</v>
      </c>
      <c r="N441" s="10" t="n">
        <v>0</v>
      </c>
      <c r="O441" s="10" t="n">
        <v>9</v>
      </c>
      <c r="P441" s="10" t="n">
        <v>32.2</v>
      </c>
      <c r="Q441" s="10">
        <f>A441&amp;"|"&amp;B441&amp;"|"&amp;C441&amp;"|"&amp;D441&amp;"|"&amp;E441&amp;"|"&amp;F441&amp;"|"&amp;G441&amp;"|"&amp;H441&amp;"|"&amp;I441&amp;"|"&amp;J441&amp;"|"&amp;K441&amp;"|"&amp;L441&amp;"|"&amp;M441&amp;"|"&amp;N441&amp;"|"&amp;O441&amp;"|"&amp;P441</f>
        <v/>
      </c>
      <c r="R441" s="10">
        <f>IF(COUNTIF($Q$2:$Q$1409,Q441)&gt;1,IF(COUNTIF($Q$2:Q441,Q441)=1,"Exact Duplicate - Keep First","Exact Duplicate - Remove"),"Unique")</f>
        <v/>
      </c>
    </row>
    <row r="442" ht="15" customHeight="1" s="11">
      <c r="A442" s="10" t="inlineStr">
        <is>
          <t>USR-100441</t>
        </is>
      </c>
      <c r="B442" s="14" t="n">
        <v>45679</v>
      </c>
      <c r="C442" s="10" t="inlineStr">
        <is>
          <t>Control</t>
        </is>
      </c>
      <c r="D442" s="10" t="inlineStr">
        <is>
          <t>North</t>
        </is>
      </c>
      <c r="E442" s="10" t="inlineStr">
        <is>
          <t>Mobile</t>
        </is>
      </c>
      <c r="F442" s="10" t="inlineStr">
        <is>
          <t>Paid Search</t>
        </is>
      </c>
      <c r="G442" s="10" t="inlineStr">
        <is>
          <t>Basic</t>
        </is>
      </c>
      <c r="H442" s="10" t="n">
        <v>1</v>
      </c>
      <c r="I442" s="10" t="n">
        <v>1</v>
      </c>
      <c r="J442" s="10" t="n">
        <v>1</v>
      </c>
      <c r="K442" s="10" t="n">
        <v>0</v>
      </c>
      <c r="L442" s="10" t="n">
        <v>0</v>
      </c>
      <c r="M442" s="10" t="n">
        <v>0</v>
      </c>
      <c r="N442" s="10" t="n">
        <v>0</v>
      </c>
      <c r="P442" s="10" t="n">
        <v>46.3</v>
      </c>
      <c r="Q442" s="10">
        <f>A442&amp;"|"&amp;B442&amp;"|"&amp;C442&amp;"|"&amp;D442&amp;"|"&amp;E442&amp;"|"&amp;F442&amp;"|"&amp;G442&amp;"|"&amp;H442&amp;"|"&amp;I442&amp;"|"&amp;J442&amp;"|"&amp;K442&amp;"|"&amp;L442&amp;"|"&amp;M442&amp;"|"&amp;N442&amp;"|"&amp;O442&amp;"|"&amp;P442</f>
        <v/>
      </c>
      <c r="R442" s="10">
        <f>IF(COUNTIF($Q$2:$Q$1409,Q442)&gt;1,IF(COUNTIF($Q$2:Q442,Q442)=1,"Exact Duplicate - Keep First","Exact Duplicate - Remove"),"Unique")</f>
        <v/>
      </c>
    </row>
    <row r="443" ht="15" customHeight="1" s="11">
      <c r="A443" s="10" t="inlineStr">
        <is>
          <t>USR-100442</t>
        </is>
      </c>
      <c r="B443" s="14" t="n">
        <v>45801</v>
      </c>
      <c r="C443" s="10" t="inlineStr">
        <is>
          <t>Control</t>
        </is>
      </c>
      <c r="D443" s="10" t="inlineStr">
        <is>
          <t>East</t>
        </is>
      </c>
      <c r="E443" s="10" t="inlineStr">
        <is>
          <t>Mobile</t>
        </is>
      </c>
      <c r="F443" s="10" t="inlineStr">
        <is>
          <t>Paid Search</t>
        </is>
      </c>
      <c r="G443" s="10" t="inlineStr">
        <is>
          <t>Basic</t>
        </is>
      </c>
      <c r="H443" s="10" t="n">
        <v>1</v>
      </c>
      <c r="I443" s="10" t="n">
        <v>0</v>
      </c>
      <c r="J443" s="10" t="n">
        <v>0</v>
      </c>
      <c r="K443" s="10" t="n">
        <v>0</v>
      </c>
      <c r="L443" s="10" t="n">
        <v>0</v>
      </c>
      <c r="M443" s="10" t="n">
        <v>0</v>
      </c>
      <c r="N443" s="10" t="n">
        <v>0</v>
      </c>
      <c r="P443" s="10" t="n">
        <v>55.7</v>
      </c>
      <c r="Q443" s="10">
        <f>A443&amp;"|"&amp;B443&amp;"|"&amp;C443&amp;"|"&amp;D443&amp;"|"&amp;E443&amp;"|"&amp;F443&amp;"|"&amp;G443&amp;"|"&amp;H443&amp;"|"&amp;I443&amp;"|"&amp;J443&amp;"|"&amp;K443&amp;"|"&amp;L443&amp;"|"&amp;M443&amp;"|"&amp;N443&amp;"|"&amp;O443&amp;"|"&amp;P443</f>
        <v/>
      </c>
      <c r="R443" s="10">
        <f>IF(COUNTIF($Q$2:$Q$1409,Q443)&gt;1,IF(COUNTIF($Q$2:Q443,Q443)=1,"Exact Duplicate - Keep First","Exact Duplicate - Remove"),"Unique")</f>
        <v/>
      </c>
    </row>
    <row r="444" ht="15" customHeight="1" s="11">
      <c r="A444" s="10" t="inlineStr">
        <is>
          <t>USR-100443</t>
        </is>
      </c>
      <c r="B444" s="14" t="n">
        <v>45772</v>
      </c>
      <c r="C444" s="10" t="inlineStr">
        <is>
          <t>Control</t>
        </is>
      </c>
      <c r="D444" s="10" t="inlineStr">
        <is>
          <t>South</t>
        </is>
      </c>
      <c r="E444" s="10" t="inlineStr">
        <is>
          <t>Mobile</t>
        </is>
      </c>
      <c r="F444" s="10" t="inlineStr">
        <is>
          <t>Social</t>
        </is>
      </c>
      <c r="G444" s="10" t="inlineStr">
        <is>
          <t>Free</t>
        </is>
      </c>
      <c r="H444" s="10" t="n">
        <v>1</v>
      </c>
      <c r="I444" s="10" t="n">
        <v>0</v>
      </c>
      <c r="J444" s="10" t="n">
        <v>0</v>
      </c>
      <c r="K444" s="10" t="n">
        <v>0</v>
      </c>
      <c r="L444" s="10" t="n">
        <v>0</v>
      </c>
      <c r="M444" s="10" t="n">
        <v>0</v>
      </c>
      <c r="N444" s="10" t="n">
        <v>0</v>
      </c>
      <c r="P444" s="10" t="n">
        <v>44.5</v>
      </c>
      <c r="Q444" s="10">
        <f>A444&amp;"|"&amp;B444&amp;"|"&amp;C444&amp;"|"&amp;D444&amp;"|"&amp;E444&amp;"|"&amp;F444&amp;"|"&amp;G444&amp;"|"&amp;H444&amp;"|"&amp;I444&amp;"|"&amp;J444&amp;"|"&amp;K444&amp;"|"&amp;L444&amp;"|"&amp;M444&amp;"|"&amp;N444&amp;"|"&amp;O444&amp;"|"&amp;P444</f>
        <v/>
      </c>
      <c r="R444" s="10">
        <f>IF(COUNTIF($Q$2:$Q$1409,Q444)&gt;1,IF(COUNTIF($Q$2:Q444,Q444)=1,"Exact Duplicate - Keep First","Exact Duplicate - Remove"),"Unique")</f>
        <v/>
      </c>
    </row>
    <row r="445" ht="15" customHeight="1" s="11">
      <c r="A445" s="10" t="inlineStr">
        <is>
          <t>USR-100444</t>
        </is>
      </c>
      <c r="B445" s="14" t="n">
        <v>45759</v>
      </c>
      <c r="C445" s="10" t="inlineStr">
        <is>
          <t>Control</t>
        </is>
      </c>
      <c r="D445" s="10" t="inlineStr">
        <is>
          <t>West</t>
        </is>
      </c>
      <c r="E445" s="10" t="inlineStr">
        <is>
          <t>Desktop</t>
        </is>
      </c>
      <c r="F445" s="10" t="inlineStr">
        <is>
          <t>Referral</t>
        </is>
      </c>
      <c r="G445" s="10" t="inlineStr">
        <is>
          <t>Free</t>
        </is>
      </c>
      <c r="H445" s="10" t="n">
        <v>1</v>
      </c>
      <c r="I445" s="10" t="n">
        <v>1</v>
      </c>
      <c r="J445" s="10" t="n">
        <v>1</v>
      </c>
      <c r="K445" s="10" t="n">
        <v>0</v>
      </c>
      <c r="L445" s="10" t="n">
        <v>0</v>
      </c>
      <c r="M445" s="10" t="n">
        <v>1</v>
      </c>
      <c r="N445" s="10" t="n">
        <v>0</v>
      </c>
      <c r="P445" s="10" t="n">
        <v>47.9</v>
      </c>
      <c r="Q445" s="10">
        <f>A445&amp;"|"&amp;B445&amp;"|"&amp;C445&amp;"|"&amp;D445&amp;"|"&amp;E445&amp;"|"&amp;F445&amp;"|"&amp;G445&amp;"|"&amp;H445&amp;"|"&amp;I445&amp;"|"&amp;J445&amp;"|"&amp;K445&amp;"|"&amp;L445&amp;"|"&amp;M445&amp;"|"&amp;N445&amp;"|"&amp;O445&amp;"|"&amp;P445</f>
        <v/>
      </c>
      <c r="R445" s="10">
        <f>IF(COUNTIF($Q$2:$Q$1409,Q445)&gt;1,IF(COUNTIF($Q$2:Q445,Q445)=1,"Exact Duplicate - Keep First","Exact Duplicate - Remove"),"Unique")</f>
        <v/>
      </c>
    </row>
    <row r="446" ht="15" customHeight="1" s="11">
      <c r="A446" s="10" t="inlineStr">
        <is>
          <t>USR-100445</t>
        </is>
      </c>
      <c r="B446" s="14" t="n">
        <v>45770</v>
      </c>
      <c r="C446" s="10" t="inlineStr">
        <is>
          <t>Control</t>
        </is>
      </c>
      <c r="D446" s="10" t="inlineStr">
        <is>
          <t>South</t>
        </is>
      </c>
      <c r="E446" s="10" t="inlineStr">
        <is>
          <t>Mobile</t>
        </is>
      </c>
      <c r="F446" s="10" t="inlineStr">
        <is>
          <t>Organic</t>
        </is>
      </c>
      <c r="G446" s="10" t="inlineStr">
        <is>
          <t>Premium</t>
        </is>
      </c>
      <c r="H446" s="10" t="n">
        <v>1</v>
      </c>
      <c r="I446" s="10" t="n">
        <v>0</v>
      </c>
      <c r="J446" s="10" t="n">
        <v>0</v>
      </c>
      <c r="K446" s="10" t="n">
        <v>0</v>
      </c>
      <c r="L446" s="10" t="n">
        <v>0</v>
      </c>
      <c r="M446" s="10" t="n">
        <v>0</v>
      </c>
      <c r="N446" s="10" t="n">
        <v>0</v>
      </c>
      <c r="P446" s="10" t="n">
        <v>43.9</v>
      </c>
      <c r="Q446" s="10">
        <f>A446&amp;"|"&amp;B446&amp;"|"&amp;C446&amp;"|"&amp;D446&amp;"|"&amp;E446&amp;"|"&amp;F446&amp;"|"&amp;G446&amp;"|"&amp;H446&amp;"|"&amp;I446&amp;"|"&amp;J446&amp;"|"&amp;K446&amp;"|"&amp;L446&amp;"|"&amp;M446&amp;"|"&amp;N446&amp;"|"&amp;O446&amp;"|"&amp;P446</f>
        <v/>
      </c>
      <c r="R446" s="10">
        <f>IF(COUNTIF($Q$2:$Q$1409,Q446)&gt;1,IF(COUNTIF($Q$2:Q446,Q446)=1,"Exact Duplicate - Keep First","Exact Duplicate - Remove"),"Unique")</f>
        <v/>
      </c>
    </row>
    <row r="447" ht="15" customHeight="1" s="11">
      <c r="A447" s="10" t="inlineStr">
        <is>
          <t>USR-100446</t>
        </is>
      </c>
      <c r="B447" s="14" t="n">
        <v>45746</v>
      </c>
      <c r="C447" s="10" t="inlineStr">
        <is>
          <t>Control</t>
        </is>
      </c>
      <c r="D447" s="10" t="inlineStr">
        <is>
          <t>North</t>
        </is>
      </c>
      <c r="E447" s="10" t="inlineStr">
        <is>
          <t>Desktop</t>
        </is>
      </c>
      <c r="F447" s="10" t="inlineStr">
        <is>
          <t>Referral</t>
        </is>
      </c>
      <c r="G447" s="10" t="inlineStr">
        <is>
          <t>Free</t>
        </is>
      </c>
      <c r="H447" s="10" t="n">
        <v>1</v>
      </c>
      <c r="I447" s="10" t="n">
        <v>1</v>
      </c>
      <c r="J447" s="10" t="n">
        <v>1</v>
      </c>
      <c r="K447" s="10" t="n">
        <v>0</v>
      </c>
      <c r="L447" s="10" t="n">
        <v>0</v>
      </c>
      <c r="M447" s="10" t="n">
        <v>1</v>
      </c>
      <c r="N447" s="10" t="n">
        <v>0</v>
      </c>
      <c r="P447" s="10" t="n">
        <v>67.7</v>
      </c>
      <c r="Q447" s="10">
        <f>A447&amp;"|"&amp;B447&amp;"|"&amp;C447&amp;"|"&amp;D447&amp;"|"&amp;E447&amp;"|"&amp;F447&amp;"|"&amp;G447&amp;"|"&amp;H447&amp;"|"&amp;I447&amp;"|"&amp;J447&amp;"|"&amp;K447&amp;"|"&amp;L447&amp;"|"&amp;M447&amp;"|"&amp;N447&amp;"|"&amp;O447&amp;"|"&amp;P447</f>
        <v/>
      </c>
      <c r="R447" s="10">
        <f>IF(COUNTIF($Q$2:$Q$1409,Q447)&gt;1,IF(COUNTIF($Q$2:Q447,Q447)=1,"Exact Duplicate - Keep First","Exact Duplicate - Remove"),"Unique")</f>
        <v/>
      </c>
    </row>
    <row r="448" ht="15" customHeight="1" s="11">
      <c r="A448" s="10" t="inlineStr">
        <is>
          <t>USR-100447</t>
        </is>
      </c>
      <c r="B448" s="14" t="n">
        <v>45675</v>
      </c>
      <c r="C448" s="10" t="inlineStr">
        <is>
          <t>Control</t>
        </is>
      </c>
      <c r="D448" s="10" t="inlineStr">
        <is>
          <t>East</t>
        </is>
      </c>
      <c r="E448" s="10" t="inlineStr">
        <is>
          <t>Mobile</t>
        </is>
      </c>
      <c r="F448" s="10" t="inlineStr">
        <is>
          <t>Referral</t>
        </is>
      </c>
      <c r="G448" s="10" t="inlineStr">
        <is>
          <t>Basic</t>
        </is>
      </c>
      <c r="H448" s="10" t="n">
        <v>0</v>
      </c>
      <c r="I448" s="10" t="n">
        <v>0</v>
      </c>
      <c r="J448" s="10" t="n">
        <v>0</v>
      </c>
      <c r="K448" s="10" t="n">
        <v>0</v>
      </c>
      <c r="L448" s="10" t="n">
        <v>0</v>
      </c>
      <c r="M448" s="10" t="n">
        <v>0</v>
      </c>
      <c r="N448" s="10" t="n">
        <v>0</v>
      </c>
      <c r="P448" s="10" t="n">
        <v>43.7</v>
      </c>
      <c r="Q448" s="10">
        <f>A448&amp;"|"&amp;B448&amp;"|"&amp;C448&amp;"|"&amp;D448&amp;"|"&amp;E448&amp;"|"&amp;F448&amp;"|"&amp;G448&amp;"|"&amp;H448&amp;"|"&amp;I448&amp;"|"&amp;J448&amp;"|"&amp;K448&amp;"|"&amp;L448&amp;"|"&amp;M448&amp;"|"&amp;N448&amp;"|"&amp;O448&amp;"|"&amp;P448</f>
        <v/>
      </c>
      <c r="R448" s="10">
        <f>IF(COUNTIF($Q$2:$Q$1409,Q448)&gt;1,IF(COUNTIF($Q$2:Q448,Q448)=1,"Exact Duplicate - Keep First","Exact Duplicate - Remove"),"Unique")</f>
        <v/>
      </c>
    </row>
    <row r="449" ht="15" customHeight="1" s="11">
      <c r="A449" s="10" t="inlineStr">
        <is>
          <t>USR-100448</t>
        </is>
      </c>
      <c r="B449" s="14" t="n">
        <v>45756</v>
      </c>
      <c r="C449" s="10" t="inlineStr">
        <is>
          <t>Control</t>
        </is>
      </c>
      <c r="D449" s="10" t="inlineStr">
        <is>
          <t>East</t>
        </is>
      </c>
      <c r="E449" s="10" t="inlineStr">
        <is>
          <t>Mobile</t>
        </is>
      </c>
      <c r="F449" s="10" t="inlineStr">
        <is>
          <t>Organic</t>
        </is>
      </c>
      <c r="G449" s="10" t="inlineStr">
        <is>
          <t>Free</t>
        </is>
      </c>
      <c r="H449" s="10" t="n">
        <v>1</v>
      </c>
      <c r="I449" s="10" t="n">
        <v>0</v>
      </c>
      <c r="J449" s="10" t="n">
        <v>0</v>
      </c>
      <c r="K449" s="10" t="n">
        <v>0</v>
      </c>
      <c r="L449" s="10" t="n">
        <v>0</v>
      </c>
      <c r="M449" s="10" t="n">
        <v>0</v>
      </c>
      <c r="N449" s="10" t="n">
        <v>0</v>
      </c>
      <c r="P449" s="10" t="n">
        <v>68.8</v>
      </c>
      <c r="Q449" s="10">
        <f>A449&amp;"|"&amp;B449&amp;"|"&amp;C449&amp;"|"&amp;D449&amp;"|"&amp;E449&amp;"|"&amp;F449&amp;"|"&amp;G449&amp;"|"&amp;H449&amp;"|"&amp;I449&amp;"|"&amp;J449&amp;"|"&amp;K449&amp;"|"&amp;L449&amp;"|"&amp;M449&amp;"|"&amp;N449&amp;"|"&amp;O449&amp;"|"&amp;P449</f>
        <v/>
      </c>
      <c r="R449" s="10">
        <f>IF(COUNTIF($Q$2:$Q$1409,Q449)&gt;1,IF(COUNTIF($Q$2:Q449,Q449)=1,"Exact Duplicate - Keep First","Exact Duplicate - Remove"),"Unique")</f>
        <v/>
      </c>
    </row>
    <row r="450" ht="15" customHeight="1" s="11">
      <c r="A450" s="10" t="inlineStr">
        <is>
          <t>USR-100449</t>
        </is>
      </c>
      <c r="B450" s="14" t="n">
        <v>45668</v>
      </c>
      <c r="C450" s="10" t="inlineStr">
        <is>
          <t>Control</t>
        </is>
      </c>
      <c r="D450" s="10" t="inlineStr">
        <is>
          <t>West</t>
        </is>
      </c>
      <c r="E450" s="10" t="inlineStr">
        <is>
          <t>Mobile</t>
        </is>
      </c>
      <c r="F450" s="10" t="inlineStr">
        <is>
          <t>Organic</t>
        </is>
      </c>
      <c r="G450" s="10" t="inlineStr">
        <is>
          <t>Free</t>
        </is>
      </c>
      <c r="H450" s="10" t="n">
        <v>1</v>
      </c>
      <c r="I450" s="10" t="n">
        <v>1</v>
      </c>
      <c r="J450" s="10" t="n">
        <v>1</v>
      </c>
      <c r="K450" s="10" t="n">
        <v>0</v>
      </c>
      <c r="L450" s="10" t="n">
        <v>0</v>
      </c>
      <c r="M450" s="10" t="n">
        <v>0</v>
      </c>
      <c r="N450" s="10" t="n">
        <v>0</v>
      </c>
      <c r="P450" s="10" t="n">
        <v>59.2</v>
      </c>
      <c r="Q450" s="10">
        <f>A450&amp;"|"&amp;B450&amp;"|"&amp;C450&amp;"|"&amp;D450&amp;"|"&amp;E450&amp;"|"&amp;F450&amp;"|"&amp;G450&amp;"|"&amp;H450&amp;"|"&amp;I450&amp;"|"&amp;J450&amp;"|"&amp;K450&amp;"|"&amp;L450&amp;"|"&amp;M450&amp;"|"&amp;N450&amp;"|"&amp;O450&amp;"|"&amp;P450</f>
        <v/>
      </c>
      <c r="R450" s="10">
        <f>IF(COUNTIF($Q$2:$Q$1409,Q450)&gt;1,IF(COUNTIF($Q$2:Q450,Q450)=1,"Exact Duplicate - Keep First","Exact Duplicate - Remove"),"Unique")</f>
        <v/>
      </c>
    </row>
    <row r="451" ht="15" customHeight="1" s="11">
      <c r="A451" s="10" t="inlineStr">
        <is>
          <t>USR-100450</t>
        </is>
      </c>
      <c r="B451" s="14" t="n">
        <v>45721</v>
      </c>
      <c r="C451" s="10" t="inlineStr">
        <is>
          <t>Control</t>
        </is>
      </c>
      <c r="D451" s="10" t="inlineStr">
        <is>
          <t>East</t>
        </is>
      </c>
      <c r="E451" s="10" t="inlineStr">
        <is>
          <t>Mobile</t>
        </is>
      </c>
      <c r="F451" s="10" t="inlineStr">
        <is>
          <t>Paid Search</t>
        </is>
      </c>
      <c r="G451" s="10" t="inlineStr">
        <is>
          <t>Free</t>
        </is>
      </c>
      <c r="H451" s="10" t="n">
        <v>1</v>
      </c>
      <c r="I451" s="10" t="n">
        <v>0</v>
      </c>
      <c r="J451" s="10" t="n">
        <v>0</v>
      </c>
      <c r="K451" s="10" t="n">
        <v>0</v>
      </c>
      <c r="L451" s="10" t="n">
        <v>0</v>
      </c>
      <c r="M451" s="10" t="n">
        <v>0</v>
      </c>
      <c r="N451" s="10" t="n">
        <v>0</v>
      </c>
      <c r="P451" s="10" t="n">
        <v>48.6</v>
      </c>
      <c r="Q451" s="10">
        <f>A451&amp;"|"&amp;B451&amp;"|"&amp;C451&amp;"|"&amp;D451&amp;"|"&amp;E451&amp;"|"&amp;F451&amp;"|"&amp;G451&amp;"|"&amp;H451&amp;"|"&amp;I451&amp;"|"&amp;J451&amp;"|"&amp;K451&amp;"|"&amp;L451&amp;"|"&amp;M451&amp;"|"&amp;N451&amp;"|"&amp;O451&amp;"|"&amp;P451</f>
        <v/>
      </c>
      <c r="R451" s="10">
        <f>IF(COUNTIF($Q$2:$Q$1409,Q451)&gt;1,IF(COUNTIF($Q$2:Q451,Q451)=1,"Exact Duplicate - Keep First","Exact Duplicate - Remove"),"Unique")</f>
        <v/>
      </c>
    </row>
    <row r="452" ht="15" customHeight="1" s="11">
      <c r="A452" s="10" t="inlineStr">
        <is>
          <t>USR-100451</t>
        </is>
      </c>
      <c r="B452" s="14" t="n">
        <v>45705</v>
      </c>
      <c r="C452" s="10" t="inlineStr">
        <is>
          <t>Control</t>
        </is>
      </c>
      <c r="D452" s="10" t="inlineStr">
        <is>
          <t>North</t>
        </is>
      </c>
      <c r="E452" s="10" t="inlineStr">
        <is>
          <t>Tablet</t>
        </is>
      </c>
      <c r="F452" s="10" t="inlineStr">
        <is>
          <t>Social</t>
        </is>
      </c>
      <c r="G452" s="10" t="inlineStr">
        <is>
          <t>Free</t>
        </is>
      </c>
      <c r="H452" s="10" t="n">
        <v>1</v>
      </c>
      <c r="I452" s="10" t="n">
        <v>1</v>
      </c>
      <c r="J452" s="10" t="n">
        <v>1</v>
      </c>
      <c r="K452" s="10" t="n">
        <v>0</v>
      </c>
      <c r="L452" s="10" t="n">
        <v>0</v>
      </c>
      <c r="M452" s="10" t="n">
        <v>0</v>
      </c>
      <c r="N452" s="10" t="n">
        <v>0</v>
      </c>
      <c r="P452" s="10" t="n">
        <v>56.9</v>
      </c>
      <c r="Q452" s="10">
        <f>A452&amp;"|"&amp;B452&amp;"|"&amp;C452&amp;"|"&amp;D452&amp;"|"&amp;E452&amp;"|"&amp;F452&amp;"|"&amp;G452&amp;"|"&amp;H452&amp;"|"&amp;I452&amp;"|"&amp;J452&amp;"|"&amp;K452&amp;"|"&amp;L452&amp;"|"&amp;M452&amp;"|"&amp;N452&amp;"|"&amp;O452&amp;"|"&amp;P452</f>
        <v/>
      </c>
      <c r="R452" s="10">
        <f>IF(COUNTIF($Q$2:$Q$1409,Q452)&gt;1,IF(COUNTIF($Q$2:Q452,Q452)=1,"Exact Duplicate - Keep First","Exact Duplicate - Remove"),"Unique")</f>
        <v/>
      </c>
    </row>
    <row r="453" ht="15" customHeight="1" s="11">
      <c r="A453" s="10" t="inlineStr">
        <is>
          <t>USR-100452</t>
        </is>
      </c>
      <c r="B453" s="14" t="n">
        <v>45784</v>
      </c>
      <c r="C453" s="10" t="inlineStr">
        <is>
          <t>Control</t>
        </is>
      </c>
      <c r="D453" s="10" t="inlineStr">
        <is>
          <t>North</t>
        </is>
      </c>
      <c r="E453" s="10" t="inlineStr">
        <is>
          <t>Desktop</t>
        </is>
      </c>
      <c r="F453" s="10" t="inlineStr">
        <is>
          <t>Paid Search</t>
        </is>
      </c>
      <c r="G453" s="10" t="inlineStr">
        <is>
          <t>Free</t>
        </is>
      </c>
      <c r="H453" s="10" t="n">
        <v>0</v>
      </c>
      <c r="I453" s="10" t="n">
        <v>0</v>
      </c>
      <c r="J453" s="10" t="n">
        <v>0</v>
      </c>
      <c r="K453" s="10" t="n">
        <v>0</v>
      </c>
      <c r="L453" s="10" t="n">
        <v>0</v>
      </c>
      <c r="M453" s="10" t="n">
        <v>0</v>
      </c>
      <c r="N453" s="10" t="n">
        <v>0</v>
      </c>
      <c r="P453" s="10" t="n">
        <v>55.8</v>
      </c>
      <c r="Q453" s="10">
        <f>A453&amp;"|"&amp;B453&amp;"|"&amp;C453&amp;"|"&amp;D453&amp;"|"&amp;E453&amp;"|"&amp;F453&amp;"|"&amp;G453&amp;"|"&amp;H453&amp;"|"&amp;I453&amp;"|"&amp;J453&amp;"|"&amp;K453&amp;"|"&amp;L453&amp;"|"&amp;M453&amp;"|"&amp;N453&amp;"|"&amp;O453&amp;"|"&amp;P453</f>
        <v/>
      </c>
      <c r="R453" s="10">
        <f>IF(COUNTIF($Q$2:$Q$1409,Q453)&gt;1,IF(COUNTIF($Q$2:Q453,Q453)=1,"Exact Duplicate - Keep First","Exact Duplicate - Remove"),"Unique")</f>
        <v/>
      </c>
    </row>
    <row r="454" ht="15" customHeight="1" s="11">
      <c r="A454" s="10" t="inlineStr">
        <is>
          <t>USR-100453</t>
        </is>
      </c>
      <c r="B454" s="14" t="n">
        <v>45757</v>
      </c>
      <c r="C454" s="10" t="inlineStr">
        <is>
          <t>Control</t>
        </is>
      </c>
      <c r="D454" s="10" t="inlineStr">
        <is>
          <t>East</t>
        </is>
      </c>
      <c r="E454" s="10" t="inlineStr">
        <is>
          <t>Mobile</t>
        </is>
      </c>
      <c r="F454" s="10" t="inlineStr">
        <is>
          <t>Paid Search</t>
        </is>
      </c>
      <c r="G454" s="10" t="inlineStr">
        <is>
          <t>Premium</t>
        </is>
      </c>
      <c r="H454" s="10" t="n">
        <v>0</v>
      </c>
      <c r="I454" s="10" t="n">
        <v>0</v>
      </c>
      <c r="J454" s="10" t="n">
        <v>0</v>
      </c>
      <c r="K454" s="10" t="n">
        <v>0</v>
      </c>
      <c r="L454" s="10" t="n">
        <v>0</v>
      </c>
      <c r="M454" s="10" t="n">
        <v>0</v>
      </c>
      <c r="N454" s="10" t="n">
        <v>0</v>
      </c>
      <c r="P454" s="10" t="n">
        <v>63.3</v>
      </c>
      <c r="Q454" s="10">
        <f>A454&amp;"|"&amp;B454&amp;"|"&amp;C454&amp;"|"&amp;D454&amp;"|"&amp;E454&amp;"|"&amp;F454&amp;"|"&amp;G454&amp;"|"&amp;H454&amp;"|"&amp;I454&amp;"|"&amp;J454&amp;"|"&amp;K454&amp;"|"&amp;L454&amp;"|"&amp;M454&amp;"|"&amp;N454&amp;"|"&amp;O454&amp;"|"&amp;P454</f>
        <v/>
      </c>
      <c r="R454" s="10">
        <f>IF(COUNTIF($Q$2:$Q$1409,Q454)&gt;1,IF(COUNTIF($Q$2:Q454,Q454)=1,"Exact Duplicate - Keep First","Exact Duplicate - Remove"),"Unique")</f>
        <v/>
      </c>
    </row>
    <row r="455" ht="15" customHeight="1" s="11">
      <c r="A455" s="10" t="inlineStr">
        <is>
          <t>USR-100454</t>
        </is>
      </c>
      <c r="B455" s="14" t="n">
        <v>45768</v>
      </c>
      <c r="C455" s="10" t="inlineStr">
        <is>
          <t>Control</t>
        </is>
      </c>
      <c r="D455" s="10" t="inlineStr">
        <is>
          <t>North</t>
        </is>
      </c>
      <c r="E455" s="10" t="inlineStr">
        <is>
          <t>Mobile</t>
        </is>
      </c>
      <c r="F455" s="10" t="inlineStr">
        <is>
          <t>Social</t>
        </is>
      </c>
      <c r="G455" s="10" t="inlineStr">
        <is>
          <t>Free</t>
        </is>
      </c>
      <c r="H455" s="10" t="n">
        <v>1</v>
      </c>
      <c r="I455" s="10" t="n">
        <v>0</v>
      </c>
      <c r="J455" s="10" t="n">
        <v>0</v>
      </c>
      <c r="K455" s="10" t="n">
        <v>0</v>
      </c>
      <c r="L455" s="10" t="n">
        <v>0</v>
      </c>
      <c r="M455" s="10" t="n">
        <v>0</v>
      </c>
      <c r="N455" s="10" t="n">
        <v>0</v>
      </c>
      <c r="P455" s="10" t="n">
        <v>52.2</v>
      </c>
      <c r="Q455" s="10">
        <f>A455&amp;"|"&amp;B455&amp;"|"&amp;C455&amp;"|"&amp;D455&amp;"|"&amp;E455&amp;"|"&amp;F455&amp;"|"&amp;G455&amp;"|"&amp;H455&amp;"|"&amp;I455&amp;"|"&amp;J455&amp;"|"&amp;K455&amp;"|"&amp;L455&amp;"|"&amp;M455&amp;"|"&amp;N455&amp;"|"&amp;O455&amp;"|"&amp;P455</f>
        <v/>
      </c>
      <c r="R455" s="10">
        <f>IF(COUNTIF($Q$2:$Q$1409,Q455)&gt;1,IF(COUNTIF($Q$2:Q455,Q455)=1,"Exact Duplicate - Keep First","Exact Duplicate - Remove"),"Unique")</f>
        <v/>
      </c>
    </row>
    <row r="456" ht="15" customHeight="1" s="11">
      <c r="A456" s="10" t="inlineStr">
        <is>
          <t>USR-100455</t>
        </is>
      </c>
      <c r="B456" s="14" t="n">
        <v>45713</v>
      </c>
      <c r="C456" s="10" t="inlineStr">
        <is>
          <t>Control</t>
        </is>
      </c>
      <c r="D456" s="10" t="inlineStr">
        <is>
          <t>South</t>
        </is>
      </c>
      <c r="E456" s="10" t="inlineStr">
        <is>
          <t>Tablet</t>
        </is>
      </c>
      <c r="G456" s="10" t="inlineStr">
        <is>
          <t>Free</t>
        </is>
      </c>
      <c r="H456" s="10" t="n">
        <v>0</v>
      </c>
      <c r="I456" s="10" t="n">
        <v>0</v>
      </c>
      <c r="J456" s="10" t="n">
        <v>0</v>
      </c>
      <c r="K456" s="10" t="n">
        <v>0</v>
      </c>
      <c r="L456" s="10" t="n">
        <v>0</v>
      </c>
      <c r="M456" s="10" t="n">
        <v>0</v>
      </c>
      <c r="N456" s="10" t="n">
        <v>0</v>
      </c>
      <c r="P456" s="10" t="n">
        <v>51.5</v>
      </c>
      <c r="Q456" s="10">
        <f>A456&amp;"|"&amp;B456&amp;"|"&amp;C456&amp;"|"&amp;D456&amp;"|"&amp;E456&amp;"|"&amp;F456&amp;"|"&amp;G456&amp;"|"&amp;H456&amp;"|"&amp;I456&amp;"|"&amp;J456&amp;"|"&amp;K456&amp;"|"&amp;L456&amp;"|"&amp;M456&amp;"|"&amp;N456&amp;"|"&amp;O456&amp;"|"&amp;P456</f>
        <v/>
      </c>
      <c r="R456" s="10">
        <f>IF(COUNTIF($Q$2:$Q$1409,Q456)&gt;1,IF(COUNTIF($Q$2:Q456,Q456)=1,"Exact Duplicate - Keep First","Exact Duplicate - Remove"),"Unique")</f>
        <v/>
      </c>
    </row>
    <row r="457" ht="15" customHeight="1" s="11">
      <c r="A457" s="10" t="inlineStr">
        <is>
          <t>USR-100456</t>
        </is>
      </c>
      <c r="B457" s="14" t="n">
        <v>45791</v>
      </c>
      <c r="C457" s="10" t="inlineStr">
        <is>
          <t>Control</t>
        </is>
      </c>
      <c r="D457" s="10" t="inlineStr">
        <is>
          <t>East</t>
        </is>
      </c>
      <c r="E457" s="10" t="inlineStr">
        <is>
          <t>Desktop</t>
        </is>
      </c>
      <c r="F457" s="10" t="inlineStr">
        <is>
          <t>Organic</t>
        </is>
      </c>
      <c r="G457" s="10" t="inlineStr">
        <is>
          <t>Free</t>
        </is>
      </c>
      <c r="H457" s="10" t="n">
        <v>0</v>
      </c>
      <c r="I457" s="10" t="n">
        <v>0</v>
      </c>
      <c r="J457" s="10" t="n">
        <v>0</v>
      </c>
      <c r="K457" s="10" t="n">
        <v>0</v>
      </c>
      <c r="L457" s="10" t="n">
        <v>0</v>
      </c>
      <c r="M457" s="10" t="n">
        <v>0</v>
      </c>
      <c r="N457" s="10" t="n">
        <v>0</v>
      </c>
      <c r="P457" s="10" t="n">
        <v>50.3</v>
      </c>
      <c r="Q457" s="10">
        <f>A457&amp;"|"&amp;B457&amp;"|"&amp;C457&amp;"|"&amp;D457&amp;"|"&amp;E457&amp;"|"&amp;F457&amp;"|"&amp;G457&amp;"|"&amp;H457&amp;"|"&amp;I457&amp;"|"&amp;J457&amp;"|"&amp;K457&amp;"|"&amp;L457&amp;"|"&amp;M457&amp;"|"&amp;N457&amp;"|"&amp;O457&amp;"|"&amp;P457</f>
        <v/>
      </c>
      <c r="R457" s="10">
        <f>IF(COUNTIF($Q$2:$Q$1409,Q457)&gt;1,IF(COUNTIF($Q$2:Q457,Q457)=1,"Exact Duplicate - Keep First","Exact Duplicate - Remove"),"Unique")</f>
        <v/>
      </c>
    </row>
    <row r="458" ht="15" customHeight="1" s="11">
      <c r="A458" s="10" t="inlineStr">
        <is>
          <t>USR-100457</t>
        </is>
      </c>
      <c r="B458" s="14" t="n">
        <v>45726</v>
      </c>
      <c r="C458" s="10" t="inlineStr">
        <is>
          <t>Control</t>
        </is>
      </c>
      <c r="D458" s="10" t="inlineStr">
        <is>
          <t>North</t>
        </is>
      </c>
      <c r="E458" s="10" t="inlineStr">
        <is>
          <t>Mobile</t>
        </is>
      </c>
      <c r="F458" s="10" t="inlineStr">
        <is>
          <t>Email</t>
        </is>
      </c>
      <c r="G458" s="10" t="inlineStr">
        <is>
          <t>Basic</t>
        </is>
      </c>
      <c r="H458" s="10" t="n">
        <v>1</v>
      </c>
      <c r="I458" s="10" t="n">
        <v>0</v>
      </c>
      <c r="J458" s="10" t="n">
        <v>0</v>
      </c>
      <c r="K458" s="10" t="n">
        <v>0</v>
      </c>
      <c r="L458" s="10" t="n">
        <v>0</v>
      </c>
      <c r="M458" s="10" t="n">
        <v>1</v>
      </c>
      <c r="N458" s="10" t="n">
        <v>0</v>
      </c>
      <c r="P458" s="10" t="n">
        <v>35.4</v>
      </c>
      <c r="Q458" s="10">
        <f>A458&amp;"|"&amp;B458&amp;"|"&amp;C458&amp;"|"&amp;D458&amp;"|"&amp;E458&amp;"|"&amp;F458&amp;"|"&amp;G458&amp;"|"&amp;H458&amp;"|"&amp;I458&amp;"|"&amp;J458&amp;"|"&amp;K458&amp;"|"&amp;L458&amp;"|"&amp;M458&amp;"|"&amp;N458&amp;"|"&amp;O458&amp;"|"&amp;P458</f>
        <v/>
      </c>
      <c r="R458" s="10">
        <f>IF(COUNTIF($Q$2:$Q$1409,Q458)&gt;1,IF(COUNTIF($Q$2:Q458,Q458)=1,"Exact Duplicate - Keep First","Exact Duplicate - Remove"),"Unique")</f>
        <v/>
      </c>
    </row>
    <row r="459" ht="15" customHeight="1" s="11">
      <c r="A459" s="10" t="inlineStr">
        <is>
          <t>USR-100458</t>
        </is>
      </c>
      <c r="B459" s="14" t="n">
        <v>45688</v>
      </c>
      <c r="C459" s="10" t="inlineStr">
        <is>
          <t>Control</t>
        </is>
      </c>
      <c r="D459" s="10" t="inlineStr">
        <is>
          <t>West</t>
        </is>
      </c>
      <c r="E459" s="10" t="inlineStr">
        <is>
          <t>Desktop</t>
        </is>
      </c>
      <c r="F459" s="10" t="inlineStr">
        <is>
          <t>Organic</t>
        </is>
      </c>
      <c r="G459" s="10" t="inlineStr">
        <is>
          <t>Premium</t>
        </is>
      </c>
      <c r="H459" s="10" t="n">
        <v>1</v>
      </c>
      <c r="I459" s="10" t="n">
        <v>0</v>
      </c>
      <c r="J459" s="10" t="n">
        <v>0</v>
      </c>
      <c r="K459" s="10" t="n">
        <v>0</v>
      </c>
      <c r="L459" s="10" t="n">
        <v>0</v>
      </c>
      <c r="M459" s="10" t="n">
        <v>1</v>
      </c>
      <c r="N459" s="10" t="n">
        <v>0</v>
      </c>
      <c r="P459" s="10" t="n">
        <v>54.1</v>
      </c>
      <c r="Q459" s="10">
        <f>A459&amp;"|"&amp;B459&amp;"|"&amp;C459&amp;"|"&amp;D459&amp;"|"&amp;E459&amp;"|"&amp;F459&amp;"|"&amp;G459&amp;"|"&amp;H459&amp;"|"&amp;I459&amp;"|"&amp;J459&amp;"|"&amp;K459&amp;"|"&amp;L459&amp;"|"&amp;M459&amp;"|"&amp;N459&amp;"|"&amp;O459&amp;"|"&amp;P459</f>
        <v/>
      </c>
      <c r="R459" s="10">
        <f>IF(COUNTIF($Q$2:$Q$1409,Q459)&gt;1,IF(COUNTIF($Q$2:Q459,Q459)=1,"Exact Duplicate - Keep First","Exact Duplicate - Remove"),"Unique")</f>
        <v/>
      </c>
    </row>
    <row r="460" ht="15" customHeight="1" s="11">
      <c r="A460" s="10" t="inlineStr">
        <is>
          <t>USR-100459</t>
        </is>
      </c>
      <c r="B460" s="14" t="n">
        <v>45674</v>
      </c>
      <c r="C460" s="10" t="inlineStr">
        <is>
          <t>Control</t>
        </is>
      </c>
      <c r="D460" s="10" t="inlineStr">
        <is>
          <t>South</t>
        </is>
      </c>
      <c r="E460" s="10" t="inlineStr">
        <is>
          <t>Mobile</t>
        </is>
      </c>
      <c r="F460" s="10" t="inlineStr">
        <is>
          <t>Organic</t>
        </is>
      </c>
      <c r="G460" s="10" t="inlineStr">
        <is>
          <t>Premium</t>
        </is>
      </c>
      <c r="H460" s="10" t="n">
        <v>1</v>
      </c>
      <c r="I460" s="10" t="n">
        <v>0</v>
      </c>
      <c r="J460" s="10" t="n">
        <v>0</v>
      </c>
      <c r="K460" s="10" t="n">
        <v>0</v>
      </c>
      <c r="L460" s="10" t="n">
        <v>0</v>
      </c>
      <c r="M460" s="10" t="n">
        <v>0</v>
      </c>
      <c r="N460" s="10" t="n">
        <v>0</v>
      </c>
      <c r="P460" s="10" t="n">
        <v>56.2</v>
      </c>
      <c r="Q460" s="10">
        <f>A460&amp;"|"&amp;B460&amp;"|"&amp;C460&amp;"|"&amp;D460&amp;"|"&amp;E460&amp;"|"&amp;F460&amp;"|"&amp;G460&amp;"|"&amp;H460&amp;"|"&amp;I460&amp;"|"&amp;J460&amp;"|"&amp;K460&amp;"|"&amp;L460&amp;"|"&amp;M460&amp;"|"&amp;N460&amp;"|"&amp;O460&amp;"|"&amp;P460</f>
        <v/>
      </c>
      <c r="R460" s="10">
        <f>IF(COUNTIF($Q$2:$Q$1409,Q460)&gt;1,IF(COUNTIF($Q$2:Q460,Q460)=1,"Exact Duplicate - Keep First","Exact Duplicate - Remove"),"Unique")</f>
        <v/>
      </c>
    </row>
    <row r="461" ht="15" customHeight="1" s="11">
      <c r="A461" s="10" t="inlineStr">
        <is>
          <t>USR-100460</t>
        </is>
      </c>
      <c r="B461" s="14" t="n">
        <v>45728</v>
      </c>
      <c r="C461" s="10" t="inlineStr">
        <is>
          <t>Control</t>
        </is>
      </c>
      <c r="D461" s="10" t="inlineStr">
        <is>
          <t>South</t>
        </is>
      </c>
      <c r="E461" s="10" t="inlineStr">
        <is>
          <t>Mobile</t>
        </is>
      </c>
      <c r="F461" s="10" t="inlineStr">
        <is>
          <t>Paid Search</t>
        </is>
      </c>
      <c r="G461" s="10" t="inlineStr">
        <is>
          <t>Free</t>
        </is>
      </c>
      <c r="H461" s="10" t="n">
        <v>0</v>
      </c>
      <c r="I461" s="10" t="n">
        <v>0</v>
      </c>
      <c r="J461" s="10" t="n">
        <v>0</v>
      </c>
      <c r="K461" s="10" t="n">
        <v>0</v>
      </c>
      <c r="L461" s="10" t="n">
        <v>0</v>
      </c>
      <c r="M461" s="10" t="n">
        <v>3</v>
      </c>
      <c r="N461" s="10" t="n">
        <v>0</v>
      </c>
      <c r="P461" s="10" t="n">
        <v>43.7</v>
      </c>
      <c r="Q461" s="10">
        <f>A461&amp;"|"&amp;B461&amp;"|"&amp;C461&amp;"|"&amp;D461&amp;"|"&amp;E461&amp;"|"&amp;F461&amp;"|"&amp;G461&amp;"|"&amp;H461&amp;"|"&amp;I461&amp;"|"&amp;J461&amp;"|"&amp;K461&amp;"|"&amp;L461&amp;"|"&amp;M461&amp;"|"&amp;N461&amp;"|"&amp;O461&amp;"|"&amp;P461</f>
        <v/>
      </c>
      <c r="R461" s="10">
        <f>IF(COUNTIF($Q$2:$Q$1409,Q461)&gt;1,IF(COUNTIF($Q$2:Q461,Q461)=1,"Exact Duplicate - Keep First","Exact Duplicate - Remove"),"Unique")</f>
        <v/>
      </c>
    </row>
    <row r="462" ht="15" customHeight="1" s="11">
      <c r="A462" s="10" t="inlineStr">
        <is>
          <t>USR-100461</t>
        </is>
      </c>
      <c r="B462" s="14" t="n">
        <v>45716</v>
      </c>
      <c r="C462" s="10" t="inlineStr">
        <is>
          <t>Control</t>
        </is>
      </c>
      <c r="D462" s="10" t="inlineStr">
        <is>
          <t>West</t>
        </is>
      </c>
      <c r="E462" s="10" t="inlineStr">
        <is>
          <t>Desktop</t>
        </is>
      </c>
      <c r="F462" s="10" t="inlineStr">
        <is>
          <t>Organic</t>
        </is>
      </c>
      <c r="G462" s="10" t="inlineStr">
        <is>
          <t>Premium</t>
        </is>
      </c>
      <c r="H462" s="10" t="n">
        <v>1</v>
      </c>
      <c r="I462" s="10" t="n">
        <v>1</v>
      </c>
      <c r="J462" s="10" t="n">
        <v>0</v>
      </c>
      <c r="K462" s="10" t="n">
        <v>0</v>
      </c>
      <c r="L462" s="10" t="n">
        <v>0</v>
      </c>
      <c r="M462" s="10" t="n">
        <v>0</v>
      </c>
      <c r="N462" s="10" t="n">
        <v>0</v>
      </c>
      <c r="P462" s="10" t="n">
        <v>51.3</v>
      </c>
      <c r="Q462" s="10">
        <f>A462&amp;"|"&amp;B462&amp;"|"&amp;C462&amp;"|"&amp;D462&amp;"|"&amp;E462&amp;"|"&amp;F462&amp;"|"&amp;G462&amp;"|"&amp;H462&amp;"|"&amp;I462&amp;"|"&amp;J462&amp;"|"&amp;K462&amp;"|"&amp;L462&amp;"|"&amp;M462&amp;"|"&amp;N462&amp;"|"&amp;O462&amp;"|"&amp;P462</f>
        <v/>
      </c>
      <c r="R462" s="10">
        <f>IF(COUNTIF($Q$2:$Q$1409,Q462)&gt;1,IF(COUNTIF($Q$2:Q462,Q462)=1,"Exact Duplicate - Keep First","Exact Duplicate - Remove"),"Unique")</f>
        <v/>
      </c>
    </row>
    <row r="463" ht="15" customHeight="1" s="11">
      <c r="A463" s="10" t="inlineStr">
        <is>
          <t>USR-100462</t>
        </is>
      </c>
      <c r="B463" s="14" t="n">
        <v>45796</v>
      </c>
      <c r="C463" s="10" t="inlineStr">
        <is>
          <t>Control</t>
        </is>
      </c>
      <c r="D463" s="10" t="inlineStr">
        <is>
          <t>North</t>
        </is>
      </c>
      <c r="F463" s="10" t="inlineStr">
        <is>
          <t>Organic</t>
        </is>
      </c>
      <c r="G463" s="10" t="inlineStr">
        <is>
          <t>Basic</t>
        </is>
      </c>
      <c r="H463" s="10" t="n">
        <v>1</v>
      </c>
      <c r="I463" s="10" t="n">
        <v>0</v>
      </c>
      <c r="J463" s="10" t="n">
        <v>0</v>
      </c>
      <c r="K463" s="10" t="n">
        <v>0</v>
      </c>
      <c r="L463" s="10" t="n">
        <v>0</v>
      </c>
      <c r="M463" s="10" t="n">
        <v>0</v>
      </c>
      <c r="N463" s="10" t="n">
        <v>0</v>
      </c>
      <c r="P463" s="10" t="n">
        <v>50.5</v>
      </c>
      <c r="Q463" s="10">
        <f>A463&amp;"|"&amp;B463&amp;"|"&amp;C463&amp;"|"&amp;D463&amp;"|"&amp;E463&amp;"|"&amp;F463&amp;"|"&amp;G463&amp;"|"&amp;H463&amp;"|"&amp;I463&amp;"|"&amp;J463&amp;"|"&amp;K463&amp;"|"&amp;L463&amp;"|"&amp;M463&amp;"|"&amp;N463&amp;"|"&amp;O463&amp;"|"&amp;P463</f>
        <v/>
      </c>
      <c r="R463" s="10">
        <f>IF(COUNTIF($Q$2:$Q$1409,Q463)&gt;1,IF(COUNTIF($Q$2:Q463,Q463)=1,"Exact Duplicate - Keep First","Exact Duplicate - Remove"),"Unique")</f>
        <v/>
      </c>
    </row>
    <row r="464" ht="15" customHeight="1" s="11">
      <c r="A464" s="10" t="inlineStr">
        <is>
          <t>USR-100463</t>
        </is>
      </c>
      <c r="B464" s="14" t="n">
        <v>45711</v>
      </c>
      <c r="C464" s="10" t="inlineStr">
        <is>
          <t>Control</t>
        </is>
      </c>
      <c r="D464" s="10" t="inlineStr">
        <is>
          <t>North</t>
        </is>
      </c>
      <c r="E464" s="10" t="inlineStr">
        <is>
          <t>Mobile</t>
        </is>
      </c>
      <c r="F464" s="10" t="inlineStr">
        <is>
          <t>Referral</t>
        </is>
      </c>
      <c r="G464" s="10" t="inlineStr">
        <is>
          <t>Basic</t>
        </is>
      </c>
      <c r="H464" s="10" t="n">
        <v>1</v>
      </c>
      <c r="I464" s="10" t="n">
        <v>0</v>
      </c>
      <c r="J464" s="10" t="n">
        <v>0</v>
      </c>
      <c r="K464" s="10" t="n">
        <v>0</v>
      </c>
      <c r="L464" s="10" t="n">
        <v>0</v>
      </c>
      <c r="M464" s="10" t="n">
        <v>0</v>
      </c>
      <c r="N464" s="10" t="n">
        <v>0</v>
      </c>
      <c r="P464" s="10" t="n">
        <v>57.3</v>
      </c>
      <c r="Q464" s="10">
        <f>A464&amp;"|"&amp;B464&amp;"|"&amp;C464&amp;"|"&amp;D464&amp;"|"&amp;E464&amp;"|"&amp;F464&amp;"|"&amp;G464&amp;"|"&amp;H464&amp;"|"&amp;I464&amp;"|"&amp;J464&amp;"|"&amp;K464&amp;"|"&amp;L464&amp;"|"&amp;M464&amp;"|"&amp;N464&amp;"|"&amp;O464&amp;"|"&amp;P464</f>
        <v/>
      </c>
      <c r="R464" s="10">
        <f>IF(COUNTIF($Q$2:$Q$1409,Q464)&gt;1,IF(COUNTIF($Q$2:Q464,Q464)=1,"Exact Duplicate - Keep First","Exact Duplicate - Remove"),"Unique")</f>
        <v/>
      </c>
    </row>
    <row r="465" ht="15" customHeight="1" s="11">
      <c r="A465" s="10" t="inlineStr">
        <is>
          <t>USR-100464</t>
        </is>
      </c>
      <c r="B465" s="14" t="n">
        <v>45708</v>
      </c>
      <c r="C465" s="10" t="inlineStr">
        <is>
          <t>Control</t>
        </is>
      </c>
      <c r="D465" s="10" t="inlineStr">
        <is>
          <t>West</t>
        </is>
      </c>
      <c r="E465" s="10" t="inlineStr">
        <is>
          <t>Desktop</t>
        </is>
      </c>
      <c r="F465" s="10" t="inlineStr">
        <is>
          <t>Organic</t>
        </is>
      </c>
      <c r="G465" s="10" t="inlineStr">
        <is>
          <t>Free</t>
        </is>
      </c>
      <c r="H465" s="10" t="n">
        <v>1</v>
      </c>
      <c r="I465" s="10" t="n">
        <v>1</v>
      </c>
      <c r="J465" s="10" t="n">
        <v>1</v>
      </c>
      <c r="K465" s="10" t="n">
        <v>0</v>
      </c>
      <c r="L465" s="10" t="n">
        <v>0</v>
      </c>
      <c r="M465" s="10" t="n">
        <v>0</v>
      </c>
      <c r="N465" s="10" t="n">
        <v>0</v>
      </c>
      <c r="P465" s="10" t="n">
        <v>58.4</v>
      </c>
      <c r="Q465" s="10">
        <f>A465&amp;"|"&amp;B465&amp;"|"&amp;C465&amp;"|"&amp;D465&amp;"|"&amp;E465&amp;"|"&amp;F465&amp;"|"&amp;G465&amp;"|"&amp;H465&amp;"|"&amp;I465&amp;"|"&amp;J465&amp;"|"&amp;K465&amp;"|"&amp;L465&amp;"|"&amp;M465&amp;"|"&amp;N465&amp;"|"&amp;O465&amp;"|"&amp;P465</f>
        <v/>
      </c>
      <c r="R465" s="10">
        <f>IF(COUNTIF($Q$2:$Q$1409,Q465)&gt;1,IF(COUNTIF($Q$2:Q465,Q465)=1,"Exact Duplicate - Keep First","Exact Duplicate - Remove"),"Unique")</f>
        <v/>
      </c>
    </row>
    <row r="466" ht="15" customHeight="1" s="11">
      <c r="A466" s="10" t="inlineStr">
        <is>
          <t>USR-100465</t>
        </is>
      </c>
      <c r="B466" s="14" t="n">
        <v>45759</v>
      </c>
      <c r="C466" s="10" t="inlineStr">
        <is>
          <t>Control</t>
        </is>
      </c>
      <c r="D466" s="10" t="inlineStr">
        <is>
          <t>North</t>
        </is>
      </c>
      <c r="E466" s="10" t="inlineStr">
        <is>
          <t>Mobile</t>
        </is>
      </c>
      <c r="G466" s="10" t="inlineStr">
        <is>
          <t>Free</t>
        </is>
      </c>
      <c r="H466" s="10" t="n">
        <v>0</v>
      </c>
      <c r="I466" s="10" t="n">
        <v>0</v>
      </c>
      <c r="J466" s="10" t="n">
        <v>0</v>
      </c>
      <c r="K466" s="10" t="n">
        <v>0</v>
      </c>
      <c r="L466" s="10" t="n">
        <v>0</v>
      </c>
      <c r="M466" s="10" t="n">
        <v>0</v>
      </c>
      <c r="N466" s="10" t="n">
        <v>0</v>
      </c>
      <c r="P466" s="10" t="n">
        <v>56.5</v>
      </c>
      <c r="Q466" s="10">
        <f>A466&amp;"|"&amp;B466&amp;"|"&amp;C466&amp;"|"&amp;D466&amp;"|"&amp;E466&amp;"|"&amp;F466&amp;"|"&amp;G466&amp;"|"&amp;H466&amp;"|"&amp;I466&amp;"|"&amp;J466&amp;"|"&amp;K466&amp;"|"&amp;L466&amp;"|"&amp;M466&amp;"|"&amp;N466&amp;"|"&amp;O466&amp;"|"&amp;P466</f>
        <v/>
      </c>
      <c r="R466" s="10">
        <f>IF(COUNTIF($Q$2:$Q$1409,Q466)&gt;1,IF(COUNTIF($Q$2:Q466,Q466)=1,"Exact Duplicate - Keep First","Exact Duplicate - Remove"),"Unique")</f>
        <v/>
      </c>
    </row>
    <row r="467" ht="15" customHeight="1" s="11">
      <c r="A467" s="10" t="inlineStr">
        <is>
          <t>USR-100466</t>
        </is>
      </c>
      <c r="B467" s="14" t="n">
        <v>45665</v>
      </c>
      <c r="C467" s="10" t="inlineStr">
        <is>
          <t>Control</t>
        </is>
      </c>
      <c r="D467" s="10" t="inlineStr">
        <is>
          <t>West</t>
        </is>
      </c>
      <c r="E467" s="10" t="inlineStr">
        <is>
          <t>Mobile</t>
        </is>
      </c>
      <c r="F467" s="10" t="inlineStr">
        <is>
          <t>Email</t>
        </is>
      </c>
      <c r="G467" s="10" t="inlineStr">
        <is>
          <t>Free</t>
        </is>
      </c>
      <c r="H467" s="10" t="n">
        <v>0</v>
      </c>
      <c r="I467" s="10" t="n">
        <v>0</v>
      </c>
      <c r="J467" s="10" t="n">
        <v>0</v>
      </c>
      <c r="K467" s="10" t="n">
        <v>0</v>
      </c>
      <c r="L467" s="10" t="n">
        <v>0</v>
      </c>
      <c r="M467" s="10" t="n">
        <v>0</v>
      </c>
      <c r="N467" s="10" t="n">
        <v>0</v>
      </c>
      <c r="P467" s="10" t="n">
        <v>69.59999999999999</v>
      </c>
      <c r="Q467" s="10">
        <f>A467&amp;"|"&amp;B467&amp;"|"&amp;C467&amp;"|"&amp;D467&amp;"|"&amp;E467&amp;"|"&amp;F467&amp;"|"&amp;G467&amp;"|"&amp;H467&amp;"|"&amp;I467&amp;"|"&amp;J467&amp;"|"&amp;K467&amp;"|"&amp;L467&amp;"|"&amp;M467&amp;"|"&amp;N467&amp;"|"&amp;O467&amp;"|"&amp;P467</f>
        <v/>
      </c>
      <c r="R467" s="10">
        <f>IF(COUNTIF($Q$2:$Q$1409,Q467)&gt;1,IF(COUNTIF($Q$2:Q467,Q467)=1,"Exact Duplicate - Keep First","Exact Duplicate - Remove"),"Unique")</f>
        <v/>
      </c>
    </row>
    <row r="468" ht="15" customHeight="1" s="11">
      <c r="A468" s="10" t="inlineStr">
        <is>
          <t>USR-100467</t>
        </is>
      </c>
      <c r="B468" s="14" t="n">
        <v>45701</v>
      </c>
      <c r="C468" s="10" t="inlineStr">
        <is>
          <t>Control</t>
        </is>
      </c>
      <c r="D468" s="10" t="inlineStr">
        <is>
          <t>West</t>
        </is>
      </c>
      <c r="E468" s="10" t="inlineStr">
        <is>
          <t>Mobile</t>
        </is>
      </c>
      <c r="F468" s="10" t="inlineStr">
        <is>
          <t>Organic</t>
        </is>
      </c>
      <c r="G468" s="10" t="inlineStr">
        <is>
          <t>Basic</t>
        </is>
      </c>
      <c r="H468" s="10" t="n">
        <v>0</v>
      </c>
      <c r="I468" s="10" t="n">
        <v>0</v>
      </c>
      <c r="J468" s="10" t="n">
        <v>0</v>
      </c>
      <c r="K468" s="10" t="n">
        <v>0</v>
      </c>
      <c r="L468" s="10" t="n">
        <v>0</v>
      </c>
      <c r="M468" s="10" t="n">
        <v>0</v>
      </c>
      <c r="N468" s="10" t="n">
        <v>0</v>
      </c>
      <c r="P468" s="10" t="n">
        <v>6.2</v>
      </c>
      <c r="Q468" s="10">
        <f>A468&amp;"|"&amp;B468&amp;"|"&amp;C468&amp;"|"&amp;D468&amp;"|"&amp;E468&amp;"|"&amp;F468&amp;"|"&amp;G468&amp;"|"&amp;H468&amp;"|"&amp;I468&amp;"|"&amp;J468&amp;"|"&amp;K468&amp;"|"&amp;L468&amp;"|"&amp;M468&amp;"|"&amp;N468&amp;"|"&amp;O468&amp;"|"&amp;P468</f>
        <v/>
      </c>
      <c r="R468" s="10">
        <f>IF(COUNTIF($Q$2:$Q$1409,Q468)&gt;1,IF(COUNTIF($Q$2:Q468,Q468)=1,"Exact Duplicate - Keep First","Exact Duplicate - Remove"),"Unique")</f>
        <v/>
      </c>
    </row>
    <row r="469" ht="15" customHeight="1" s="11">
      <c r="A469" s="10" t="inlineStr">
        <is>
          <t>USR-100468</t>
        </is>
      </c>
      <c r="B469" s="14" t="n">
        <v>45798</v>
      </c>
      <c r="C469" s="10" t="inlineStr">
        <is>
          <t>Control</t>
        </is>
      </c>
      <c r="D469" s="10" t="inlineStr">
        <is>
          <t>East</t>
        </is>
      </c>
      <c r="E469" s="10" t="inlineStr">
        <is>
          <t>Desktop</t>
        </is>
      </c>
      <c r="F469" s="10" t="inlineStr">
        <is>
          <t>Email</t>
        </is>
      </c>
      <c r="G469" s="10" t="inlineStr">
        <is>
          <t>Free</t>
        </is>
      </c>
      <c r="H469" s="10" t="n">
        <v>1</v>
      </c>
      <c r="I469" s="10" t="n">
        <v>1</v>
      </c>
      <c r="J469" s="10" t="n">
        <v>1</v>
      </c>
      <c r="K469" s="10" t="n">
        <v>0</v>
      </c>
      <c r="L469" s="10" t="n">
        <v>0</v>
      </c>
      <c r="M469" s="10" t="n">
        <v>0</v>
      </c>
      <c r="N469" s="10" t="n">
        <v>0</v>
      </c>
      <c r="P469" s="10" t="n">
        <v>54.3</v>
      </c>
      <c r="Q469" s="10">
        <f>A469&amp;"|"&amp;B469&amp;"|"&amp;C469&amp;"|"&amp;D469&amp;"|"&amp;E469&amp;"|"&amp;F469&amp;"|"&amp;G469&amp;"|"&amp;H469&amp;"|"&amp;I469&amp;"|"&amp;J469&amp;"|"&amp;K469&amp;"|"&amp;L469&amp;"|"&amp;M469&amp;"|"&amp;N469&amp;"|"&amp;O469&amp;"|"&amp;P469</f>
        <v/>
      </c>
      <c r="R469" s="10">
        <f>IF(COUNTIF($Q$2:$Q$1409,Q469)&gt;1,IF(COUNTIF($Q$2:Q469,Q469)=1,"Exact Duplicate - Keep First","Exact Duplicate - Remove"),"Unique")</f>
        <v/>
      </c>
    </row>
    <row r="470" ht="15" customHeight="1" s="11">
      <c r="A470" s="10" t="inlineStr">
        <is>
          <t>USR-100469</t>
        </is>
      </c>
      <c r="B470" s="14" t="n">
        <v>45807</v>
      </c>
      <c r="C470" s="10" t="inlineStr">
        <is>
          <t>Control</t>
        </is>
      </c>
      <c r="D470" s="10" t="inlineStr">
        <is>
          <t>North</t>
        </is>
      </c>
      <c r="E470" s="10" t="inlineStr">
        <is>
          <t>Mobile</t>
        </is>
      </c>
      <c r="F470" s="10" t="inlineStr">
        <is>
          <t>Organic</t>
        </is>
      </c>
      <c r="G470" s="10" t="inlineStr">
        <is>
          <t>Basic</t>
        </is>
      </c>
      <c r="H470" s="10" t="n">
        <v>0</v>
      </c>
      <c r="I470" s="10" t="n">
        <v>0</v>
      </c>
      <c r="J470" s="10" t="n">
        <v>0</v>
      </c>
      <c r="K470" s="10" t="n">
        <v>0</v>
      </c>
      <c r="L470" s="10" t="n">
        <v>0</v>
      </c>
      <c r="M470" s="10" t="n">
        <v>0</v>
      </c>
      <c r="N470" s="10" t="n">
        <v>0</v>
      </c>
      <c r="P470" s="10" t="n">
        <v>59.8</v>
      </c>
      <c r="Q470" s="10">
        <f>A470&amp;"|"&amp;B470&amp;"|"&amp;C470&amp;"|"&amp;D470&amp;"|"&amp;E470&amp;"|"&amp;F470&amp;"|"&amp;G470&amp;"|"&amp;H470&amp;"|"&amp;I470&amp;"|"&amp;J470&amp;"|"&amp;K470&amp;"|"&amp;L470&amp;"|"&amp;M470&amp;"|"&amp;N470&amp;"|"&amp;O470&amp;"|"&amp;P470</f>
        <v/>
      </c>
      <c r="R470" s="10">
        <f>IF(COUNTIF($Q$2:$Q$1409,Q470)&gt;1,IF(COUNTIF($Q$2:Q470,Q470)=1,"Exact Duplicate - Keep First","Exact Duplicate - Remove"),"Unique")</f>
        <v/>
      </c>
    </row>
    <row r="471" ht="15" customHeight="1" s="11">
      <c r="A471" s="10" t="inlineStr">
        <is>
          <t>USR-100470</t>
        </is>
      </c>
      <c r="B471" s="14" t="n">
        <v>45797</v>
      </c>
      <c r="C471" s="10" t="inlineStr">
        <is>
          <t>Control</t>
        </is>
      </c>
      <c r="D471" s="10" t="inlineStr">
        <is>
          <t>West</t>
        </is>
      </c>
      <c r="E471" s="10" t="inlineStr">
        <is>
          <t>Mobile</t>
        </is>
      </c>
      <c r="F471" s="10" t="inlineStr">
        <is>
          <t>Paid Search</t>
        </is>
      </c>
      <c r="G471" s="10" t="inlineStr">
        <is>
          <t>Free</t>
        </is>
      </c>
      <c r="H471" s="10" t="n">
        <v>0</v>
      </c>
      <c r="I471" s="10" t="n">
        <v>0</v>
      </c>
      <c r="J471" s="10" t="n">
        <v>0</v>
      </c>
      <c r="K471" s="10" t="n">
        <v>0</v>
      </c>
      <c r="L471" s="10" t="n">
        <v>0</v>
      </c>
      <c r="M471" s="10" t="n">
        <v>0</v>
      </c>
      <c r="N471" s="10" t="n">
        <v>0</v>
      </c>
      <c r="P471" s="10" t="n">
        <v>58.9</v>
      </c>
      <c r="Q471" s="10">
        <f>A471&amp;"|"&amp;B471&amp;"|"&amp;C471&amp;"|"&amp;D471&amp;"|"&amp;E471&amp;"|"&amp;F471&amp;"|"&amp;G471&amp;"|"&amp;H471&amp;"|"&amp;I471&amp;"|"&amp;J471&amp;"|"&amp;K471&amp;"|"&amp;L471&amp;"|"&amp;M471&amp;"|"&amp;N471&amp;"|"&amp;O471&amp;"|"&amp;P471</f>
        <v/>
      </c>
      <c r="R471" s="10">
        <f>IF(COUNTIF($Q$2:$Q$1409,Q471)&gt;1,IF(COUNTIF($Q$2:Q471,Q471)=1,"Exact Duplicate - Keep First","Exact Duplicate - Remove"),"Unique")</f>
        <v/>
      </c>
    </row>
    <row r="472" ht="15" customHeight="1" s="11">
      <c r="A472" s="10" t="inlineStr">
        <is>
          <t>USR-100471</t>
        </is>
      </c>
      <c r="B472" s="14" t="n">
        <v>45666</v>
      </c>
      <c r="C472" s="10" t="inlineStr">
        <is>
          <t>Control</t>
        </is>
      </c>
      <c r="D472" s="10" t="inlineStr">
        <is>
          <t>East</t>
        </is>
      </c>
      <c r="E472" s="10" t="inlineStr">
        <is>
          <t>Desktop</t>
        </is>
      </c>
      <c r="F472" s="10" t="inlineStr">
        <is>
          <t>Organic</t>
        </is>
      </c>
      <c r="G472" s="10" t="inlineStr">
        <is>
          <t>Free</t>
        </is>
      </c>
      <c r="H472" s="10" t="n">
        <v>0</v>
      </c>
      <c r="I472" s="10" t="n">
        <v>0</v>
      </c>
      <c r="J472" s="10" t="n">
        <v>0</v>
      </c>
      <c r="K472" s="10" t="n">
        <v>0</v>
      </c>
      <c r="L472" s="10" t="n">
        <v>0</v>
      </c>
      <c r="M472" s="10" t="n">
        <v>1</v>
      </c>
      <c r="N472" s="10" t="n">
        <v>0</v>
      </c>
      <c r="P472" s="10" t="n">
        <v>52.9</v>
      </c>
      <c r="Q472" s="10">
        <f>A472&amp;"|"&amp;B472&amp;"|"&amp;C472&amp;"|"&amp;D472&amp;"|"&amp;E472&amp;"|"&amp;F472&amp;"|"&amp;G472&amp;"|"&amp;H472&amp;"|"&amp;I472&amp;"|"&amp;J472&amp;"|"&amp;K472&amp;"|"&amp;L472&amp;"|"&amp;M472&amp;"|"&amp;N472&amp;"|"&amp;O472&amp;"|"&amp;P472</f>
        <v/>
      </c>
      <c r="R472" s="10">
        <f>IF(COUNTIF($Q$2:$Q$1409,Q472)&gt;1,IF(COUNTIF($Q$2:Q472,Q472)=1,"Exact Duplicate - Keep First","Exact Duplicate - Remove"),"Unique")</f>
        <v/>
      </c>
    </row>
    <row r="473" ht="15" customHeight="1" s="11">
      <c r="A473" s="10" t="inlineStr">
        <is>
          <t>USR-100472</t>
        </is>
      </c>
      <c r="B473" s="14" t="n">
        <v>45723</v>
      </c>
      <c r="C473" s="10" t="inlineStr">
        <is>
          <t>Control</t>
        </is>
      </c>
      <c r="D473" s="10" t="inlineStr">
        <is>
          <t>West</t>
        </is>
      </c>
      <c r="E473" s="10" t="inlineStr">
        <is>
          <t>Mobile</t>
        </is>
      </c>
      <c r="F473" s="10" t="inlineStr">
        <is>
          <t>Organic</t>
        </is>
      </c>
      <c r="G473" s="10" t="inlineStr">
        <is>
          <t>Free</t>
        </is>
      </c>
      <c r="H473" s="10" t="n">
        <v>0</v>
      </c>
      <c r="I473" s="10" t="n">
        <v>0</v>
      </c>
      <c r="J473" s="10" t="n">
        <v>0</v>
      </c>
      <c r="K473" s="10" t="n">
        <v>0</v>
      </c>
      <c r="L473" s="10" t="n">
        <v>0</v>
      </c>
      <c r="M473" s="10" t="n">
        <v>0</v>
      </c>
      <c r="N473" s="10" t="n">
        <v>0</v>
      </c>
      <c r="P473" s="10" t="n">
        <v>67.8</v>
      </c>
      <c r="Q473" s="10">
        <f>A473&amp;"|"&amp;B473&amp;"|"&amp;C473&amp;"|"&amp;D473&amp;"|"&amp;E473&amp;"|"&amp;F473&amp;"|"&amp;G473&amp;"|"&amp;H473&amp;"|"&amp;I473&amp;"|"&amp;J473&amp;"|"&amp;K473&amp;"|"&amp;L473&amp;"|"&amp;M473&amp;"|"&amp;N473&amp;"|"&amp;O473&amp;"|"&amp;P473</f>
        <v/>
      </c>
      <c r="R473" s="10">
        <f>IF(COUNTIF($Q$2:$Q$1409,Q473)&gt;1,IF(COUNTIF($Q$2:Q473,Q473)=1,"Exact Duplicate - Keep First","Exact Duplicate - Remove"),"Unique")</f>
        <v/>
      </c>
    </row>
    <row r="474" ht="15" customHeight="1" s="11">
      <c r="A474" s="10" t="inlineStr">
        <is>
          <t>USR-100473</t>
        </is>
      </c>
      <c r="B474" s="14" t="n">
        <v>45770</v>
      </c>
      <c r="C474" s="10" t="inlineStr">
        <is>
          <t>Control</t>
        </is>
      </c>
      <c r="D474" s="10" t="inlineStr">
        <is>
          <t>South</t>
        </is>
      </c>
      <c r="E474" s="10" t="inlineStr">
        <is>
          <t>Mobile</t>
        </is>
      </c>
      <c r="F474" s="10" t="inlineStr">
        <is>
          <t>Social</t>
        </is>
      </c>
      <c r="G474" s="10" t="inlineStr">
        <is>
          <t>Free</t>
        </is>
      </c>
      <c r="H474" s="10" t="n">
        <v>0</v>
      </c>
      <c r="I474" s="10" t="n">
        <v>0</v>
      </c>
      <c r="J474" s="10" t="n">
        <v>0</v>
      </c>
      <c r="K474" s="10" t="n">
        <v>0</v>
      </c>
      <c r="L474" s="10" t="n">
        <v>0</v>
      </c>
      <c r="M474" s="10" t="n">
        <v>0</v>
      </c>
      <c r="N474" s="10" t="n">
        <v>0</v>
      </c>
      <c r="P474" s="10" t="n">
        <v>48.7</v>
      </c>
      <c r="Q474" s="10">
        <f>A474&amp;"|"&amp;B474&amp;"|"&amp;C474&amp;"|"&amp;D474&amp;"|"&amp;E474&amp;"|"&amp;F474&amp;"|"&amp;G474&amp;"|"&amp;H474&amp;"|"&amp;I474&amp;"|"&amp;J474&amp;"|"&amp;K474&amp;"|"&amp;L474&amp;"|"&amp;M474&amp;"|"&amp;N474&amp;"|"&amp;O474&amp;"|"&amp;P474</f>
        <v/>
      </c>
      <c r="R474" s="10">
        <f>IF(COUNTIF($Q$2:$Q$1409,Q474)&gt;1,IF(COUNTIF($Q$2:Q474,Q474)=1,"Exact Duplicate - Keep First","Exact Duplicate - Remove"),"Unique")</f>
        <v/>
      </c>
    </row>
    <row r="475" ht="15" customHeight="1" s="11">
      <c r="A475" s="10" t="inlineStr">
        <is>
          <t>USR-100474</t>
        </is>
      </c>
      <c r="B475" s="14" t="n">
        <v>45724</v>
      </c>
      <c r="C475" s="10" t="inlineStr">
        <is>
          <t>Control</t>
        </is>
      </c>
      <c r="D475" s="10" t="inlineStr">
        <is>
          <t>East</t>
        </is>
      </c>
      <c r="E475" s="10" t="inlineStr">
        <is>
          <t>Mobile</t>
        </is>
      </c>
      <c r="F475" s="10" t="inlineStr">
        <is>
          <t>Organic</t>
        </is>
      </c>
      <c r="G475" s="10" t="inlineStr">
        <is>
          <t>Basic</t>
        </is>
      </c>
      <c r="H475" s="10" t="n">
        <v>0</v>
      </c>
      <c r="I475" s="10" t="n">
        <v>0</v>
      </c>
      <c r="J475" s="10" t="n">
        <v>0</v>
      </c>
      <c r="K475" s="10" t="n">
        <v>0</v>
      </c>
      <c r="L475" s="10" t="n">
        <v>0</v>
      </c>
      <c r="M475" s="10" t="n">
        <v>0</v>
      </c>
      <c r="N475" s="10" t="n">
        <v>0</v>
      </c>
      <c r="P475" s="10" t="n">
        <v>59</v>
      </c>
      <c r="Q475" s="10">
        <f>A475&amp;"|"&amp;B475&amp;"|"&amp;C475&amp;"|"&amp;D475&amp;"|"&amp;E475&amp;"|"&amp;F475&amp;"|"&amp;G475&amp;"|"&amp;H475&amp;"|"&amp;I475&amp;"|"&amp;J475&amp;"|"&amp;K475&amp;"|"&amp;L475&amp;"|"&amp;M475&amp;"|"&amp;N475&amp;"|"&amp;O475&amp;"|"&amp;P475</f>
        <v/>
      </c>
      <c r="R475" s="10">
        <f>IF(COUNTIF($Q$2:$Q$1409,Q475)&gt;1,IF(COUNTIF($Q$2:Q475,Q475)=1,"Exact Duplicate - Keep First","Exact Duplicate - Remove"),"Unique")</f>
        <v/>
      </c>
    </row>
    <row r="476" ht="15" customHeight="1" s="11">
      <c r="A476" s="10" t="inlineStr">
        <is>
          <t>USR-100475</t>
        </is>
      </c>
      <c r="B476" s="14" t="n">
        <v>45702</v>
      </c>
      <c r="C476" s="10" t="inlineStr">
        <is>
          <t>Control</t>
        </is>
      </c>
      <c r="D476" s="10" t="inlineStr">
        <is>
          <t>South</t>
        </is>
      </c>
      <c r="E476" s="10" t="inlineStr">
        <is>
          <t>Mobile</t>
        </is>
      </c>
      <c r="F476" s="10" t="inlineStr">
        <is>
          <t>Referral</t>
        </is>
      </c>
      <c r="G476" s="10" t="inlineStr">
        <is>
          <t>Free</t>
        </is>
      </c>
      <c r="H476" s="10" t="n">
        <v>0</v>
      </c>
      <c r="I476" s="10" t="n">
        <v>0</v>
      </c>
      <c r="J476" s="10" t="n">
        <v>0</v>
      </c>
      <c r="K476" s="10" t="n">
        <v>0</v>
      </c>
      <c r="L476" s="10" t="n">
        <v>0</v>
      </c>
      <c r="M476" s="10" t="n">
        <v>0</v>
      </c>
      <c r="N476" s="10" t="n">
        <v>0</v>
      </c>
      <c r="P476" s="10" t="n">
        <v>63.2</v>
      </c>
      <c r="Q476" s="10">
        <f>A476&amp;"|"&amp;B476&amp;"|"&amp;C476&amp;"|"&amp;D476&amp;"|"&amp;E476&amp;"|"&amp;F476&amp;"|"&amp;G476&amp;"|"&amp;H476&amp;"|"&amp;I476&amp;"|"&amp;J476&amp;"|"&amp;K476&amp;"|"&amp;L476&amp;"|"&amp;M476&amp;"|"&amp;N476&amp;"|"&amp;O476&amp;"|"&amp;P476</f>
        <v/>
      </c>
      <c r="R476" s="10">
        <f>IF(COUNTIF($Q$2:$Q$1409,Q476)&gt;1,IF(COUNTIF($Q$2:Q476,Q476)=1,"Exact Duplicate - Keep First","Exact Duplicate - Remove"),"Unique")</f>
        <v/>
      </c>
    </row>
    <row r="477" ht="15" customHeight="1" s="11">
      <c r="A477" s="10" t="inlineStr">
        <is>
          <t>USR-100476</t>
        </is>
      </c>
      <c r="B477" s="14" t="n">
        <v>45794</v>
      </c>
      <c r="C477" s="10" t="inlineStr">
        <is>
          <t>Control</t>
        </is>
      </c>
      <c r="D477" s="10" t="inlineStr">
        <is>
          <t>West</t>
        </is>
      </c>
      <c r="E477" s="10" t="inlineStr">
        <is>
          <t>Mobile</t>
        </is>
      </c>
      <c r="F477" s="10" t="inlineStr">
        <is>
          <t>Referral</t>
        </is>
      </c>
      <c r="G477" s="10" t="inlineStr">
        <is>
          <t>Basic</t>
        </is>
      </c>
      <c r="H477" s="10" t="n">
        <v>1</v>
      </c>
      <c r="I477" s="10" t="n">
        <v>0</v>
      </c>
      <c r="J477" s="10" t="n">
        <v>0</v>
      </c>
      <c r="K477" s="10" t="n">
        <v>0</v>
      </c>
      <c r="L477" s="10" t="n">
        <v>0</v>
      </c>
      <c r="M477" s="10" t="n">
        <v>0</v>
      </c>
      <c r="N477" s="10" t="n">
        <v>0</v>
      </c>
      <c r="P477" s="10" t="n">
        <v>68.7</v>
      </c>
      <c r="Q477" s="10">
        <f>A477&amp;"|"&amp;B477&amp;"|"&amp;C477&amp;"|"&amp;D477&amp;"|"&amp;E477&amp;"|"&amp;F477&amp;"|"&amp;G477&amp;"|"&amp;H477&amp;"|"&amp;I477&amp;"|"&amp;J477&amp;"|"&amp;K477&amp;"|"&amp;L477&amp;"|"&amp;M477&amp;"|"&amp;N477&amp;"|"&amp;O477&amp;"|"&amp;P477</f>
        <v/>
      </c>
      <c r="R477" s="10">
        <f>IF(COUNTIF($Q$2:$Q$1409,Q477)&gt;1,IF(COUNTIF($Q$2:Q477,Q477)=1,"Exact Duplicate - Keep First","Exact Duplicate - Remove"),"Unique")</f>
        <v/>
      </c>
    </row>
    <row r="478" ht="15" customHeight="1" s="11">
      <c r="A478" s="10" t="inlineStr">
        <is>
          <t>USR-100477</t>
        </is>
      </c>
      <c r="B478" s="14" t="n">
        <v>45772</v>
      </c>
      <c r="C478" s="10" t="inlineStr">
        <is>
          <t>Control</t>
        </is>
      </c>
      <c r="D478" s="10" t="inlineStr">
        <is>
          <t>South</t>
        </is>
      </c>
      <c r="E478" s="10" t="inlineStr">
        <is>
          <t>Mobile</t>
        </is>
      </c>
      <c r="F478" s="10" t="inlineStr">
        <is>
          <t>Referral</t>
        </is>
      </c>
      <c r="G478" s="10" t="inlineStr">
        <is>
          <t>Free</t>
        </is>
      </c>
      <c r="H478" s="10" t="n">
        <v>0</v>
      </c>
      <c r="I478" s="10" t="n">
        <v>0</v>
      </c>
      <c r="J478" s="10" t="n">
        <v>0</v>
      </c>
      <c r="K478" s="10" t="n">
        <v>0</v>
      </c>
      <c r="L478" s="10" t="n">
        <v>0</v>
      </c>
      <c r="M478" s="10" t="n">
        <v>0</v>
      </c>
      <c r="N478" s="10" t="n">
        <v>0</v>
      </c>
      <c r="P478" s="10" t="n">
        <v>52.1</v>
      </c>
      <c r="Q478" s="10">
        <f>A478&amp;"|"&amp;B478&amp;"|"&amp;C478&amp;"|"&amp;D478&amp;"|"&amp;E478&amp;"|"&amp;F478&amp;"|"&amp;G478&amp;"|"&amp;H478&amp;"|"&amp;I478&amp;"|"&amp;J478&amp;"|"&amp;K478&amp;"|"&amp;L478&amp;"|"&amp;M478&amp;"|"&amp;N478&amp;"|"&amp;O478&amp;"|"&amp;P478</f>
        <v/>
      </c>
      <c r="R478" s="10">
        <f>IF(COUNTIF($Q$2:$Q$1409,Q478)&gt;1,IF(COUNTIF($Q$2:Q478,Q478)=1,"Exact Duplicate - Keep First","Exact Duplicate - Remove"),"Unique")</f>
        <v/>
      </c>
    </row>
    <row r="479" ht="15" customHeight="1" s="11">
      <c r="A479" s="10" t="inlineStr">
        <is>
          <t>USR-100478</t>
        </is>
      </c>
      <c r="B479" s="14" t="n">
        <v>45720</v>
      </c>
      <c r="C479" s="10" t="inlineStr">
        <is>
          <t>Control</t>
        </is>
      </c>
      <c r="D479" s="10" t="inlineStr">
        <is>
          <t>South</t>
        </is>
      </c>
      <c r="E479" s="10" t="inlineStr">
        <is>
          <t>Desktop</t>
        </is>
      </c>
      <c r="F479" s="10" t="inlineStr">
        <is>
          <t>Social</t>
        </is>
      </c>
      <c r="G479" s="10" t="inlineStr">
        <is>
          <t>Basic</t>
        </is>
      </c>
      <c r="H479" s="10" t="n">
        <v>0</v>
      </c>
      <c r="I479" s="10" t="n">
        <v>0</v>
      </c>
      <c r="J479" s="10" t="n">
        <v>0</v>
      </c>
      <c r="K479" s="10" t="n">
        <v>0</v>
      </c>
      <c r="L479" s="10" t="n">
        <v>0</v>
      </c>
      <c r="M479" s="10" t="n">
        <v>0</v>
      </c>
      <c r="N479" s="10" t="n">
        <v>0</v>
      </c>
      <c r="P479" s="10" t="n">
        <v>56.5</v>
      </c>
      <c r="Q479" s="10">
        <f>A479&amp;"|"&amp;B479&amp;"|"&amp;C479&amp;"|"&amp;D479&amp;"|"&amp;E479&amp;"|"&amp;F479&amp;"|"&amp;G479&amp;"|"&amp;H479&amp;"|"&amp;I479&amp;"|"&amp;J479&amp;"|"&amp;K479&amp;"|"&amp;L479&amp;"|"&amp;M479&amp;"|"&amp;N479&amp;"|"&amp;O479&amp;"|"&amp;P479</f>
        <v/>
      </c>
      <c r="R479" s="10">
        <f>IF(COUNTIF($Q$2:$Q$1409,Q479)&gt;1,IF(COUNTIF($Q$2:Q479,Q479)=1,"Exact Duplicate - Keep First","Exact Duplicate - Remove"),"Unique")</f>
        <v/>
      </c>
    </row>
    <row r="480" ht="15" customHeight="1" s="11">
      <c r="A480" s="10" t="inlineStr">
        <is>
          <t>USR-100479</t>
        </is>
      </c>
      <c r="B480" s="14" t="n">
        <v>45734</v>
      </c>
      <c r="C480" s="10" t="inlineStr">
        <is>
          <t>Control</t>
        </is>
      </c>
      <c r="D480" s="10" t="inlineStr">
        <is>
          <t>South</t>
        </is>
      </c>
      <c r="E480" s="10" t="inlineStr">
        <is>
          <t>Mobile</t>
        </is>
      </c>
      <c r="F480" s="10" t="inlineStr">
        <is>
          <t>Organic</t>
        </is>
      </c>
      <c r="G480" s="10" t="inlineStr">
        <is>
          <t>Free</t>
        </is>
      </c>
      <c r="H480" s="10" t="n">
        <v>1</v>
      </c>
      <c r="I480" s="10" t="n">
        <v>0</v>
      </c>
      <c r="J480" s="10" t="n">
        <v>0</v>
      </c>
      <c r="K480" s="10" t="n">
        <v>0</v>
      </c>
      <c r="L480" s="10" t="n">
        <v>0</v>
      </c>
      <c r="M480" s="10" t="n">
        <v>0</v>
      </c>
      <c r="N480" s="10" t="n">
        <v>0</v>
      </c>
      <c r="P480" s="10" t="n">
        <v>64.40000000000001</v>
      </c>
      <c r="Q480" s="10">
        <f>A480&amp;"|"&amp;B480&amp;"|"&amp;C480&amp;"|"&amp;D480&amp;"|"&amp;E480&amp;"|"&amp;F480&amp;"|"&amp;G480&amp;"|"&amp;H480&amp;"|"&amp;I480&amp;"|"&amp;J480&amp;"|"&amp;K480&amp;"|"&amp;L480&amp;"|"&amp;M480&amp;"|"&amp;N480&amp;"|"&amp;O480&amp;"|"&amp;P480</f>
        <v/>
      </c>
      <c r="R480" s="10">
        <f>IF(COUNTIF($Q$2:$Q$1409,Q480)&gt;1,IF(COUNTIF($Q$2:Q480,Q480)=1,"Exact Duplicate - Keep First","Exact Duplicate - Remove"),"Unique")</f>
        <v/>
      </c>
    </row>
    <row r="481" ht="15" customHeight="1" s="11">
      <c r="A481" s="10" t="inlineStr">
        <is>
          <t>USR-100480</t>
        </is>
      </c>
      <c r="B481" s="14" t="n">
        <v>45687</v>
      </c>
      <c r="C481" s="10" t="inlineStr">
        <is>
          <t>Control</t>
        </is>
      </c>
      <c r="D481" s="10" t="inlineStr">
        <is>
          <t>West</t>
        </is>
      </c>
      <c r="E481" s="10" t="inlineStr">
        <is>
          <t>Mobile</t>
        </is>
      </c>
      <c r="F481" s="10" t="inlineStr">
        <is>
          <t>Paid Search</t>
        </is>
      </c>
      <c r="G481" s="10" t="inlineStr">
        <is>
          <t>Premium</t>
        </is>
      </c>
      <c r="H481" s="10" t="n">
        <v>1</v>
      </c>
      <c r="I481" s="10" t="n">
        <v>0</v>
      </c>
      <c r="J481" s="10" t="n">
        <v>0</v>
      </c>
      <c r="K481" s="10" t="n">
        <v>0</v>
      </c>
      <c r="L481" s="10" t="n">
        <v>0</v>
      </c>
      <c r="M481" s="10" t="n">
        <v>0</v>
      </c>
      <c r="N481" s="10" t="n">
        <v>0</v>
      </c>
      <c r="P481" s="10" t="n">
        <v>65.90000000000001</v>
      </c>
      <c r="Q481" s="10">
        <f>A481&amp;"|"&amp;B481&amp;"|"&amp;C481&amp;"|"&amp;D481&amp;"|"&amp;E481&amp;"|"&amp;F481&amp;"|"&amp;G481&amp;"|"&amp;H481&amp;"|"&amp;I481&amp;"|"&amp;J481&amp;"|"&amp;K481&amp;"|"&amp;L481&amp;"|"&amp;M481&amp;"|"&amp;N481&amp;"|"&amp;O481&amp;"|"&amp;P481</f>
        <v/>
      </c>
      <c r="R481" s="10">
        <f>IF(COUNTIF($Q$2:$Q$1409,Q481)&gt;1,IF(COUNTIF($Q$2:Q481,Q481)=1,"Exact Duplicate - Keep First","Exact Duplicate - Remove"),"Unique")</f>
        <v/>
      </c>
    </row>
    <row r="482" ht="15" customHeight="1" s="11">
      <c r="A482" s="10" t="inlineStr">
        <is>
          <t>USR-100481</t>
        </is>
      </c>
      <c r="B482" s="14" t="n">
        <v>45797</v>
      </c>
      <c r="C482" s="10" t="inlineStr">
        <is>
          <t>Control</t>
        </is>
      </c>
      <c r="D482" s="10" t="inlineStr">
        <is>
          <t>West</t>
        </is>
      </c>
      <c r="E482" s="10" t="inlineStr">
        <is>
          <t>Tablet</t>
        </is>
      </c>
      <c r="F482" s="10" t="inlineStr">
        <is>
          <t>Referral</t>
        </is>
      </c>
      <c r="G482" s="10" t="inlineStr">
        <is>
          <t>Free</t>
        </is>
      </c>
      <c r="H482" s="10" t="n">
        <v>1</v>
      </c>
      <c r="I482" s="10" t="n">
        <v>1</v>
      </c>
      <c r="J482" s="10" t="n">
        <v>1</v>
      </c>
      <c r="K482" s="10" t="n">
        <v>0</v>
      </c>
      <c r="L482" s="10" t="n">
        <v>0</v>
      </c>
      <c r="M482" s="10" t="n">
        <v>0</v>
      </c>
      <c r="N482" s="10" t="n">
        <v>0</v>
      </c>
      <c r="P482" s="10" t="n">
        <v>100</v>
      </c>
      <c r="Q482" s="10">
        <f>A482&amp;"|"&amp;B482&amp;"|"&amp;C482&amp;"|"&amp;D482&amp;"|"&amp;E482&amp;"|"&amp;F482&amp;"|"&amp;G482&amp;"|"&amp;H482&amp;"|"&amp;I482&amp;"|"&amp;J482&amp;"|"&amp;K482&amp;"|"&amp;L482&amp;"|"&amp;M482&amp;"|"&amp;N482&amp;"|"&amp;O482&amp;"|"&amp;P482</f>
        <v/>
      </c>
      <c r="R482" s="10">
        <f>IF(COUNTIF($Q$2:$Q$1409,Q482)&gt;1,IF(COUNTIF($Q$2:Q482,Q482)=1,"Exact Duplicate - Keep First","Exact Duplicate - Remove"),"Unique")</f>
        <v/>
      </c>
    </row>
    <row r="483" ht="15" customHeight="1" s="11">
      <c r="A483" s="10" t="inlineStr">
        <is>
          <t>USR-100482</t>
        </is>
      </c>
      <c r="B483" s="14" t="n">
        <v>45701</v>
      </c>
      <c r="C483" s="10" t="inlineStr">
        <is>
          <t>Control</t>
        </is>
      </c>
      <c r="D483" s="10" t="inlineStr">
        <is>
          <t>North</t>
        </is>
      </c>
      <c r="F483" s="10" t="inlineStr">
        <is>
          <t>Organic</t>
        </is>
      </c>
      <c r="G483" s="10" t="inlineStr">
        <is>
          <t>Basic</t>
        </is>
      </c>
      <c r="H483" s="10" t="n">
        <v>1</v>
      </c>
      <c r="I483" s="10" t="n">
        <v>1</v>
      </c>
      <c r="J483" s="10" t="n">
        <v>1</v>
      </c>
      <c r="K483" s="10" t="n">
        <v>0</v>
      </c>
      <c r="L483" s="10" t="n">
        <v>0</v>
      </c>
      <c r="M483" s="10" t="n">
        <v>0</v>
      </c>
      <c r="N483" s="10" t="n">
        <v>0</v>
      </c>
      <c r="P483" s="10" t="n">
        <v>50.4</v>
      </c>
      <c r="Q483" s="10">
        <f>A483&amp;"|"&amp;B483&amp;"|"&amp;C483&amp;"|"&amp;D483&amp;"|"&amp;E483&amp;"|"&amp;F483&amp;"|"&amp;G483&amp;"|"&amp;H483&amp;"|"&amp;I483&amp;"|"&amp;J483&amp;"|"&amp;K483&amp;"|"&amp;L483&amp;"|"&amp;M483&amp;"|"&amp;N483&amp;"|"&amp;O483&amp;"|"&amp;P483</f>
        <v/>
      </c>
      <c r="R483" s="10">
        <f>IF(COUNTIF($Q$2:$Q$1409,Q483)&gt;1,IF(COUNTIF($Q$2:Q483,Q483)=1,"Exact Duplicate - Keep First","Exact Duplicate - Remove"),"Unique")</f>
        <v/>
      </c>
    </row>
    <row r="484" ht="15" customHeight="1" s="11">
      <c r="A484" s="10" t="inlineStr">
        <is>
          <t>USR-100483</t>
        </is>
      </c>
      <c r="B484" s="14" t="n">
        <v>45759</v>
      </c>
      <c r="C484" s="10" t="inlineStr">
        <is>
          <t>Control</t>
        </is>
      </c>
      <c r="D484" s="10" t="inlineStr">
        <is>
          <t>West</t>
        </is>
      </c>
      <c r="E484" s="10" t="inlineStr">
        <is>
          <t>Desktop</t>
        </is>
      </c>
      <c r="F484" s="10" t="inlineStr">
        <is>
          <t>Organic</t>
        </is>
      </c>
      <c r="G484" s="10" t="inlineStr">
        <is>
          <t>Basic</t>
        </is>
      </c>
      <c r="H484" s="10" t="n">
        <v>0</v>
      </c>
      <c r="I484" s="10" t="n">
        <v>0</v>
      </c>
      <c r="J484" s="10" t="n">
        <v>0</v>
      </c>
      <c r="K484" s="10" t="n">
        <v>0</v>
      </c>
      <c r="L484" s="10" t="n">
        <v>0</v>
      </c>
      <c r="M484" s="10" t="n">
        <v>0</v>
      </c>
      <c r="N484" s="10" t="n">
        <v>0</v>
      </c>
      <c r="P484" s="10" t="n">
        <v>41.5</v>
      </c>
      <c r="Q484" s="10">
        <f>A484&amp;"|"&amp;B484&amp;"|"&amp;C484&amp;"|"&amp;D484&amp;"|"&amp;E484&amp;"|"&amp;F484&amp;"|"&amp;G484&amp;"|"&amp;H484&amp;"|"&amp;I484&amp;"|"&amp;J484&amp;"|"&amp;K484&amp;"|"&amp;L484&amp;"|"&amp;M484&amp;"|"&amp;N484&amp;"|"&amp;O484&amp;"|"&amp;P484</f>
        <v/>
      </c>
      <c r="R484" s="10">
        <f>IF(COUNTIF($Q$2:$Q$1409,Q484)&gt;1,IF(COUNTIF($Q$2:Q484,Q484)=1,"Exact Duplicate - Keep First","Exact Duplicate - Remove"),"Unique")</f>
        <v/>
      </c>
    </row>
    <row r="485" ht="15" customHeight="1" s="11">
      <c r="A485" s="10" t="inlineStr">
        <is>
          <t>USR-100484</t>
        </is>
      </c>
      <c r="B485" s="14" t="n">
        <v>45754</v>
      </c>
      <c r="C485" s="10" t="inlineStr">
        <is>
          <t>Control</t>
        </is>
      </c>
      <c r="D485" s="10" t="inlineStr">
        <is>
          <t>North</t>
        </is>
      </c>
      <c r="E485" s="10" t="inlineStr">
        <is>
          <t>Mobile</t>
        </is>
      </c>
      <c r="F485" s="10" t="inlineStr">
        <is>
          <t>Email</t>
        </is>
      </c>
      <c r="G485" s="10" t="inlineStr">
        <is>
          <t>Free</t>
        </is>
      </c>
      <c r="H485" s="10" t="n">
        <v>0</v>
      </c>
      <c r="I485" s="10" t="n">
        <v>0</v>
      </c>
      <c r="J485" s="10" t="n">
        <v>0</v>
      </c>
      <c r="K485" s="10" t="n">
        <v>0</v>
      </c>
      <c r="L485" s="10" t="n">
        <v>0</v>
      </c>
      <c r="M485" s="10" t="n">
        <v>0</v>
      </c>
      <c r="N485" s="10" t="n">
        <v>0</v>
      </c>
      <c r="P485" s="10" t="n">
        <v>86.2</v>
      </c>
      <c r="Q485" s="10">
        <f>A485&amp;"|"&amp;B485&amp;"|"&amp;C485&amp;"|"&amp;D485&amp;"|"&amp;E485&amp;"|"&amp;F485&amp;"|"&amp;G485&amp;"|"&amp;H485&amp;"|"&amp;I485&amp;"|"&amp;J485&amp;"|"&amp;K485&amp;"|"&amp;L485&amp;"|"&amp;M485&amp;"|"&amp;N485&amp;"|"&amp;O485&amp;"|"&amp;P485</f>
        <v/>
      </c>
      <c r="R485" s="10">
        <f>IF(COUNTIF($Q$2:$Q$1409,Q485)&gt;1,IF(COUNTIF($Q$2:Q485,Q485)=1,"Exact Duplicate - Keep First","Exact Duplicate - Remove"),"Unique")</f>
        <v/>
      </c>
    </row>
    <row r="486" ht="15" customHeight="1" s="11">
      <c r="A486" s="10" t="inlineStr">
        <is>
          <t>USR-100485</t>
        </is>
      </c>
      <c r="B486" s="14" t="n">
        <v>45728</v>
      </c>
      <c r="C486" s="10" t="inlineStr">
        <is>
          <t>Control</t>
        </is>
      </c>
      <c r="D486" s="10" t="inlineStr">
        <is>
          <t>North</t>
        </is>
      </c>
      <c r="E486" s="10" t="inlineStr">
        <is>
          <t>Desktop</t>
        </is>
      </c>
      <c r="F486" s="10" t="inlineStr">
        <is>
          <t>Social</t>
        </is>
      </c>
      <c r="G486" s="10" t="inlineStr">
        <is>
          <t>Free</t>
        </is>
      </c>
      <c r="H486" s="10" t="n">
        <v>1</v>
      </c>
      <c r="I486" s="10" t="n">
        <v>1</v>
      </c>
      <c r="J486" s="10" t="n">
        <v>1</v>
      </c>
      <c r="K486" s="10" t="n">
        <v>0</v>
      </c>
      <c r="L486" s="10" t="n">
        <v>0</v>
      </c>
      <c r="M486" s="10" t="n">
        <v>2</v>
      </c>
      <c r="N486" s="10" t="n">
        <v>0</v>
      </c>
      <c r="P486" s="10" t="n">
        <v>50.8</v>
      </c>
      <c r="Q486" s="10">
        <f>A486&amp;"|"&amp;B486&amp;"|"&amp;C486&amp;"|"&amp;D486&amp;"|"&amp;E486&amp;"|"&amp;F486&amp;"|"&amp;G486&amp;"|"&amp;H486&amp;"|"&amp;I486&amp;"|"&amp;J486&amp;"|"&amp;K486&amp;"|"&amp;L486&amp;"|"&amp;M486&amp;"|"&amp;N486&amp;"|"&amp;O486&amp;"|"&amp;P486</f>
        <v/>
      </c>
      <c r="R486" s="10">
        <f>IF(COUNTIF($Q$2:$Q$1409,Q486)&gt;1,IF(COUNTIF($Q$2:Q486,Q486)=1,"Exact Duplicate - Keep First","Exact Duplicate - Remove"),"Unique")</f>
        <v/>
      </c>
    </row>
    <row r="487" ht="15" customHeight="1" s="11">
      <c r="A487" s="10" t="inlineStr">
        <is>
          <t>USR-100486</t>
        </is>
      </c>
      <c r="B487" s="14" t="n">
        <v>45695</v>
      </c>
      <c r="C487" s="10" t="inlineStr">
        <is>
          <t>Control</t>
        </is>
      </c>
      <c r="D487" s="10" t="inlineStr">
        <is>
          <t>West</t>
        </is>
      </c>
      <c r="E487" s="10" t="inlineStr">
        <is>
          <t>Mobile</t>
        </is>
      </c>
      <c r="F487" s="10" t="inlineStr">
        <is>
          <t>Organic</t>
        </is>
      </c>
      <c r="G487" s="10" t="inlineStr">
        <is>
          <t>Free</t>
        </is>
      </c>
      <c r="H487" s="10" t="n">
        <v>1</v>
      </c>
      <c r="I487" s="10" t="n">
        <v>0</v>
      </c>
      <c r="J487" s="10" t="n">
        <v>0</v>
      </c>
      <c r="K487" s="10" t="n">
        <v>0</v>
      </c>
      <c r="L487" s="10" t="n">
        <v>0</v>
      </c>
      <c r="M487" s="10" t="n">
        <v>0</v>
      </c>
      <c r="N487" s="10" t="n">
        <v>0</v>
      </c>
      <c r="P487" s="10" t="n">
        <v>50.9</v>
      </c>
      <c r="Q487" s="10">
        <f>A487&amp;"|"&amp;B487&amp;"|"&amp;C487&amp;"|"&amp;D487&amp;"|"&amp;E487&amp;"|"&amp;F487&amp;"|"&amp;G487&amp;"|"&amp;H487&amp;"|"&amp;I487&amp;"|"&amp;J487&amp;"|"&amp;K487&amp;"|"&amp;L487&amp;"|"&amp;M487&amp;"|"&amp;N487&amp;"|"&amp;O487&amp;"|"&amp;P487</f>
        <v/>
      </c>
      <c r="R487" s="10">
        <f>IF(COUNTIF($Q$2:$Q$1409,Q487)&gt;1,IF(COUNTIF($Q$2:Q487,Q487)=1,"Exact Duplicate - Keep First","Exact Duplicate - Remove"),"Unique")</f>
        <v/>
      </c>
    </row>
    <row r="488" ht="15" customHeight="1" s="11">
      <c r="A488" s="10" t="inlineStr">
        <is>
          <t>USR-100487</t>
        </is>
      </c>
      <c r="B488" s="14" t="n">
        <v>45782</v>
      </c>
      <c r="C488" s="10" t="inlineStr">
        <is>
          <t>Control</t>
        </is>
      </c>
      <c r="D488" s="10" t="inlineStr">
        <is>
          <t>North</t>
        </is>
      </c>
      <c r="E488" s="10" t="inlineStr">
        <is>
          <t>Mobile</t>
        </is>
      </c>
      <c r="F488" s="10" t="inlineStr">
        <is>
          <t>Organic</t>
        </is>
      </c>
      <c r="G488" s="10" t="inlineStr">
        <is>
          <t>Premium</t>
        </is>
      </c>
      <c r="H488" s="10" t="n">
        <v>1</v>
      </c>
      <c r="I488" s="10" t="n">
        <v>1</v>
      </c>
      <c r="J488" s="10" t="n">
        <v>0</v>
      </c>
      <c r="K488" s="10" t="n">
        <v>0</v>
      </c>
      <c r="L488" s="10" t="n">
        <v>0</v>
      </c>
      <c r="M488" s="10" t="n">
        <v>0</v>
      </c>
      <c r="N488" s="10" t="n">
        <v>0</v>
      </c>
      <c r="P488" s="10" t="n">
        <v>87.5</v>
      </c>
      <c r="Q488" s="10">
        <f>A488&amp;"|"&amp;B488&amp;"|"&amp;C488&amp;"|"&amp;D488&amp;"|"&amp;E488&amp;"|"&amp;F488&amp;"|"&amp;G488&amp;"|"&amp;H488&amp;"|"&amp;I488&amp;"|"&amp;J488&amp;"|"&amp;K488&amp;"|"&amp;L488&amp;"|"&amp;M488&amp;"|"&amp;N488&amp;"|"&amp;O488&amp;"|"&amp;P488</f>
        <v/>
      </c>
      <c r="R488" s="10">
        <f>IF(COUNTIF($Q$2:$Q$1409,Q488)&gt;1,IF(COUNTIF($Q$2:Q488,Q488)=1,"Exact Duplicate - Keep First","Exact Duplicate - Remove"),"Unique")</f>
        <v/>
      </c>
    </row>
    <row r="489" ht="15" customHeight="1" s="11">
      <c r="A489" s="10" t="inlineStr">
        <is>
          <t>USR-100488</t>
        </is>
      </c>
      <c r="B489" s="14" t="n">
        <v>45734</v>
      </c>
      <c r="C489" s="10" t="inlineStr">
        <is>
          <t>Control</t>
        </is>
      </c>
      <c r="D489" s="10" t="inlineStr">
        <is>
          <t>South</t>
        </is>
      </c>
      <c r="E489" s="10" t="inlineStr">
        <is>
          <t>Mobile</t>
        </is>
      </c>
      <c r="F489" s="10" t="inlineStr">
        <is>
          <t>Referral</t>
        </is>
      </c>
      <c r="G489" s="10" t="inlineStr">
        <is>
          <t>Free</t>
        </is>
      </c>
      <c r="H489" s="10" t="n">
        <v>0</v>
      </c>
      <c r="I489" s="10" t="n">
        <v>0</v>
      </c>
      <c r="J489" s="10" t="n">
        <v>0</v>
      </c>
      <c r="K489" s="10" t="n">
        <v>0</v>
      </c>
      <c r="L489" s="10" t="n">
        <v>0</v>
      </c>
      <c r="M489" s="10" t="n">
        <v>0</v>
      </c>
      <c r="N489" s="10" t="n">
        <v>0</v>
      </c>
      <c r="P489" s="10" t="n">
        <v>43.6</v>
      </c>
      <c r="Q489" s="10">
        <f>A489&amp;"|"&amp;B489&amp;"|"&amp;C489&amp;"|"&amp;D489&amp;"|"&amp;E489&amp;"|"&amp;F489&amp;"|"&amp;G489&amp;"|"&amp;H489&amp;"|"&amp;I489&amp;"|"&amp;J489&amp;"|"&amp;K489&amp;"|"&amp;L489&amp;"|"&amp;M489&amp;"|"&amp;N489&amp;"|"&amp;O489&amp;"|"&amp;P489</f>
        <v/>
      </c>
      <c r="R489" s="10">
        <f>IF(COUNTIF($Q$2:$Q$1409,Q489)&gt;1,IF(COUNTIF($Q$2:Q489,Q489)=1,"Exact Duplicate - Keep First","Exact Duplicate - Remove"),"Unique")</f>
        <v/>
      </c>
    </row>
    <row r="490" ht="15" customHeight="1" s="11">
      <c r="A490" s="10" t="inlineStr">
        <is>
          <t>USR-100489</t>
        </is>
      </c>
      <c r="B490" s="14" t="n">
        <v>45662</v>
      </c>
      <c r="C490" s="10" t="inlineStr">
        <is>
          <t>Control</t>
        </is>
      </c>
      <c r="D490" s="10" t="inlineStr">
        <is>
          <t>South</t>
        </is>
      </c>
      <c r="E490" s="10" t="inlineStr">
        <is>
          <t>Mobile</t>
        </is>
      </c>
      <c r="F490" s="10" t="inlineStr">
        <is>
          <t>Paid Search</t>
        </is>
      </c>
      <c r="G490" s="10" t="inlineStr">
        <is>
          <t>Basic</t>
        </is>
      </c>
      <c r="H490" s="10" t="n">
        <v>1</v>
      </c>
      <c r="I490" s="10" t="n">
        <v>0</v>
      </c>
      <c r="J490" s="10" t="n">
        <v>0</v>
      </c>
      <c r="K490" s="10" t="n">
        <v>0</v>
      </c>
      <c r="L490" s="10" t="n">
        <v>0</v>
      </c>
      <c r="M490" s="10" t="n">
        <v>0</v>
      </c>
      <c r="N490" s="10" t="n">
        <v>0</v>
      </c>
      <c r="P490" s="10" t="n">
        <v>55.5</v>
      </c>
      <c r="Q490" s="10">
        <f>A490&amp;"|"&amp;B490&amp;"|"&amp;C490&amp;"|"&amp;D490&amp;"|"&amp;E490&amp;"|"&amp;F490&amp;"|"&amp;G490&amp;"|"&amp;H490&amp;"|"&amp;I490&amp;"|"&amp;J490&amp;"|"&amp;K490&amp;"|"&amp;L490&amp;"|"&amp;M490&amp;"|"&amp;N490&amp;"|"&amp;O490&amp;"|"&amp;P490</f>
        <v/>
      </c>
      <c r="R490" s="10">
        <f>IF(COUNTIF($Q$2:$Q$1409,Q490)&gt;1,IF(COUNTIF($Q$2:Q490,Q490)=1,"Exact Duplicate - Keep First","Exact Duplicate - Remove"),"Unique")</f>
        <v/>
      </c>
    </row>
    <row r="491" ht="15" customHeight="1" s="11">
      <c r="A491" s="10" t="inlineStr">
        <is>
          <t>USR-100490</t>
        </is>
      </c>
      <c r="B491" s="14" t="n">
        <v>45787</v>
      </c>
      <c r="C491" s="10" t="inlineStr">
        <is>
          <t>Control</t>
        </is>
      </c>
      <c r="D491" s="10" t="inlineStr">
        <is>
          <t>South</t>
        </is>
      </c>
      <c r="E491" s="10" t="inlineStr">
        <is>
          <t>Desktop</t>
        </is>
      </c>
      <c r="F491" s="10" t="inlineStr">
        <is>
          <t>Referral</t>
        </is>
      </c>
      <c r="G491" s="10" t="inlineStr">
        <is>
          <t>Basic</t>
        </is>
      </c>
      <c r="H491" s="10" t="n">
        <v>0</v>
      </c>
      <c r="I491" s="10" t="n">
        <v>0</v>
      </c>
      <c r="J491" s="10" t="n">
        <v>0</v>
      </c>
      <c r="K491" s="10" t="n">
        <v>0</v>
      </c>
      <c r="L491" s="10" t="n">
        <v>0</v>
      </c>
      <c r="M491" s="10" t="n">
        <v>0</v>
      </c>
      <c r="N491" s="10" t="n">
        <v>0</v>
      </c>
      <c r="P491" s="10" t="n">
        <v>78.59999999999999</v>
      </c>
      <c r="Q491" s="10">
        <f>A491&amp;"|"&amp;B491&amp;"|"&amp;C491&amp;"|"&amp;D491&amp;"|"&amp;E491&amp;"|"&amp;F491&amp;"|"&amp;G491&amp;"|"&amp;H491&amp;"|"&amp;I491&amp;"|"&amp;J491&amp;"|"&amp;K491&amp;"|"&amp;L491&amp;"|"&amp;M491&amp;"|"&amp;N491&amp;"|"&amp;O491&amp;"|"&amp;P491</f>
        <v/>
      </c>
      <c r="R491" s="10">
        <f>IF(COUNTIF($Q$2:$Q$1409,Q491)&gt;1,IF(COUNTIF($Q$2:Q491,Q491)=1,"Exact Duplicate - Keep First","Exact Duplicate - Remove"),"Unique")</f>
        <v/>
      </c>
    </row>
    <row r="492" ht="15" customHeight="1" s="11">
      <c r="A492" s="10" t="inlineStr">
        <is>
          <t>USR-100491</t>
        </is>
      </c>
      <c r="B492" s="14" t="n">
        <v>45660</v>
      </c>
      <c r="C492" s="10" t="inlineStr">
        <is>
          <t>Control</t>
        </is>
      </c>
      <c r="D492" s="10" t="inlineStr">
        <is>
          <t>South</t>
        </is>
      </c>
      <c r="E492" s="10" t="inlineStr">
        <is>
          <t>Mobile</t>
        </is>
      </c>
      <c r="F492" s="10" t="inlineStr">
        <is>
          <t>Social</t>
        </is>
      </c>
      <c r="G492" s="10" t="inlineStr">
        <is>
          <t>Basic</t>
        </is>
      </c>
      <c r="H492" s="10" t="n">
        <v>1</v>
      </c>
      <c r="I492" s="10" t="n">
        <v>1</v>
      </c>
      <c r="J492" s="10" t="n">
        <v>0</v>
      </c>
      <c r="K492" s="10" t="n">
        <v>0</v>
      </c>
      <c r="L492" s="10" t="n">
        <v>0</v>
      </c>
      <c r="M492" s="10" t="n">
        <v>1</v>
      </c>
      <c r="N492" s="10" t="n">
        <v>0</v>
      </c>
      <c r="P492" s="10" t="n">
        <v>44.3</v>
      </c>
      <c r="Q492" s="10">
        <f>A492&amp;"|"&amp;B492&amp;"|"&amp;C492&amp;"|"&amp;D492&amp;"|"&amp;E492&amp;"|"&amp;F492&amp;"|"&amp;G492&amp;"|"&amp;H492&amp;"|"&amp;I492&amp;"|"&amp;J492&amp;"|"&amp;K492&amp;"|"&amp;L492&amp;"|"&amp;M492&amp;"|"&amp;N492&amp;"|"&amp;O492&amp;"|"&amp;P492</f>
        <v/>
      </c>
      <c r="R492" s="10">
        <f>IF(COUNTIF($Q$2:$Q$1409,Q492)&gt;1,IF(COUNTIF($Q$2:Q492,Q492)=1,"Exact Duplicate - Keep First","Exact Duplicate - Remove"),"Unique")</f>
        <v/>
      </c>
    </row>
    <row r="493" ht="15" customHeight="1" s="11">
      <c r="A493" s="10" t="inlineStr">
        <is>
          <t>USR-100492</t>
        </is>
      </c>
      <c r="B493" s="14" t="n">
        <v>45785</v>
      </c>
      <c r="C493" s="10" t="inlineStr">
        <is>
          <t>Control</t>
        </is>
      </c>
      <c r="D493" s="10" t="inlineStr">
        <is>
          <t>South</t>
        </is>
      </c>
      <c r="E493" s="10" t="inlineStr">
        <is>
          <t>Mobile</t>
        </is>
      </c>
      <c r="F493" s="10" t="inlineStr">
        <is>
          <t>Paid Search</t>
        </is>
      </c>
      <c r="G493" s="10" t="inlineStr">
        <is>
          <t>Free</t>
        </is>
      </c>
      <c r="H493" s="10" t="n">
        <v>1</v>
      </c>
      <c r="I493" s="10" t="n">
        <v>1</v>
      </c>
      <c r="J493" s="10" t="n">
        <v>0</v>
      </c>
      <c r="K493" s="10" t="n">
        <v>0</v>
      </c>
      <c r="L493" s="10" t="n">
        <v>0</v>
      </c>
      <c r="M493" s="10" t="n">
        <v>0</v>
      </c>
      <c r="N493" s="10" t="n">
        <v>0</v>
      </c>
      <c r="P493" s="10" t="n">
        <v>45.2</v>
      </c>
      <c r="Q493" s="10">
        <f>A493&amp;"|"&amp;B493&amp;"|"&amp;C493&amp;"|"&amp;D493&amp;"|"&amp;E493&amp;"|"&amp;F493&amp;"|"&amp;G493&amp;"|"&amp;H493&amp;"|"&amp;I493&amp;"|"&amp;J493&amp;"|"&amp;K493&amp;"|"&amp;L493&amp;"|"&amp;M493&amp;"|"&amp;N493&amp;"|"&amp;O493&amp;"|"&amp;P493</f>
        <v/>
      </c>
      <c r="R493" s="10">
        <f>IF(COUNTIF($Q$2:$Q$1409,Q493)&gt;1,IF(COUNTIF($Q$2:Q493,Q493)=1,"Exact Duplicate - Keep First","Exact Duplicate - Remove"),"Unique")</f>
        <v/>
      </c>
    </row>
    <row r="494" ht="15" customHeight="1" s="11">
      <c r="A494" s="10" t="inlineStr">
        <is>
          <t>USR-100493</t>
        </is>
      </c>
      <c r="B494" s="14" t="n">
        <v>45721</v>
      </c>
      <c r="C494" s="10" t="inlineStr">
        <is>
          <t>Control</t>
        </is>
      </c>
      <c r="D494" s="10" t="inlineStr">
        <is>
          <t>South</t>
        </is>
      </c>
      <c r="E494" s="10" t="inlineStr">
        <is>
          <t>Desktop</t>
        </is>
      </c>
      <c r="F494" s="10" t="inlineStr">
        <is>
          <t>Email</t>
        </is>
      </c>
      <c r="G494" s="10" t="inlineStr">
        <is>
          <t>Basic</t>
        </is>
      </c>
      <c r="H494" s="10" t="n">
        <v>1</v>
      </c>
      <c r="I494" s="10" t="n">
        <v>0</v>
      </c>
      <c r="J494" s="10" t="n">
        <v>0</v>
      </c>
      <c r="K494" s="10" t="n">
        <v>0</v>
      </c>
      <c r="L494" s="10" t="n">
        <v>0</v>
      </c>
      <c r="M494" s="10" t="n">
        <v>2</v>
      </c>
      <c r="N494" s="10" t="n">
        <v>0</v>
      </c>
      <c r="P494" s="10" t="n">
        <v>46.1</v>
      </c>
      <c r="Q494" s="10">
        <f>A494&amp;"|"&amp;B494&amp;"|"&amp;C494&amp;"|"&amp;D494&amp;"|"&amp;E494&amp;"|"&amp;F494&amp;"|"&amp;G494&amp;"|"&amp;H494&amp;"|"&amp;I494&amp;"|"&amp;J494&amp;"|"&amp;K494&amp;"|"&amp;L494&amp;"|"&amp;M494&amp;"|"&amp;N494&amp;"|"&amp;O494&amp;"|"&amp;P494</f>
        <v/>
      </c>
      <c r="R494" s="10">
        <f>IF(COUNTIF($Q$2:$Q$1409,Q494)&gt;1,IF(COUNTIF($Q$2:Q494,Q494)=1,"Exact Duplicate - Keep First","Exact Duplicate - Remove"),"Unique")</f>
        <v/>
      </c>
    </row>
    <row r="495" ht="15" customHeight="1" s="11">
      <c r="A495" s="10" t="inlineStr">
        <is>
          <t>USR-100494</t>
        </is>
      </c>
      <c r="B495" s="14" t="n">
        <v>45705</v>
      </c>
      <c r="C495" s="10" t="inlineStr">
        <is>
          <t>Control</t>
        </is>
      </c>
      <c r="D495" s="10" t="inlineStr">
        <is>
          <t>North</t>
        </is>
      </c>
      <c r="E495" s="10" t="inlineStr">
        <is>
          <t>Mobile</t>
        </is>
      </c>
      <c r="F495" s="10" t="inlineStr">
        <is>
          <t>Organic</t>
        </is>
      </c>
      <c r="G495" s="10" t="inlineStr">
        <is>
          <t>Premium</t>
        </is>
      </c>
      <c r="H495" s="10" t="n">
        <v>1</v>
      </c>
      <c r="I495" s="10" t="n">
        <v>0</v>
      </c>
      <c r="J495" s="10" t="n">
        <v>0</v>
      </c>
      <c r="K495" s="10" t="n">
        <v>0</v>
      </c>
      <c r="L495" s="10" t="n">
        <v>0</v>
      </c>
      <c r="M495" s="10" t="n">
        <v>0</v>
      </c>
      <c r="N495" s="10" t="n">
        <v>0</v>
      </c>
      <c r="P495" s="10" t="n">
        <v>49.6</v>
      </c>
      <c r="Q495" s="10">
        <f>A495&amp;"|"&amp;B495&amp;"|"&amp;C495&amp;"|"&amp;D495&amp;"|"&amp;E495&amp;"|"&amp;F495&amp;"|"&amp;G495&amp;"|"&amp;H495&amp;"|"&amp;I495&amp;"|"&amp;J495&amp;"|"&amp;K495&amp;"|"&amp;L495&amp;"|"&amp;M495&amp;"|"&amp;N495&amp;"|"&amp;O495&amp;"|"&amp;P495</f>
        <v/>
      </c>
      <c r="R495" s="10">
        <f>IF(COUNTIF($Q$2:$Q$1409,Q495)&gt;1,IF(COUNTIF($Q$2:Q495,Q495)=1,"Exact Duplicate - Keep First","Exact Duplicate - Remove"),"Unique")</f>
        <v/>
      </c>
    </row>
    <row r="496" ht="15" customHeight="1" s="11">
      <c r="A496" s="10" t="inlineStr">
        <is>
          <t>USR-100495</t>
        </is>
      </c>
      <c r="B496" s="14" t="n">
        <v>45666</v>
      </c>
      <c r="C496" s="10" t="inlineStr">
        <is>
          <t>Control</t>
        </is>
      </c>
      <c r="D496" s="10" t="inlineStr">
        <is>
          <t>South</t>
        </is>
      </c>
      <c r="E496" s="10" t="inlineStr">
        <is>
          <t>Mobile</t>
        </is>
      </c>
      <c r="F496" s="10" t="inlineStr">
        <is>
          <t>Referral</t>
        </is>
      </c>
      <c r="G496" s="10" t="inlineStr">
        <is>
          <t>Basic</t>
        </is>
      </c>
      <c r="H496" s="10" t="n">
        <v>0</v>
      </c>
      <c r="I496" s="10" t="n">
        <v>0</v>
      </c>
      <c r="J496" s="10" t="n">
        <v>0</v>
      </c>
      <c r="K496" s="10" t="n">
        <v>0</v>
      </c>
      <c r="L496" s="10" t="n">
        <v>0</v>
      </c>
      <c r="M496" s="10" t="n">
        <v>0</v>
      </c>
      <c r="N496" s="10" t="n">
        <v>0</v>
      </c>
      <c r="P496" s="10" t="n">
        <v>70.5</v>
      </c>
      <c r="Q496" s="10">
        <f>A496&amp;"|"&amp;B496&amp;"|"&amp;C496&amp;"|"&amp;D496&amp;"|"&amp;E496&amp;"|"&amp;F496&amp;"|"&amp;G496&amp;"|"&amp;H496&amp;"|"&amp;I496&amp;"|"&amp;J496&amp;"|"&amp;K496&amp;"|"&amp;L496&amp;"|"&amp;M496&amp;"|"&amp;N496&amp;"|"&amp;O496&amp;"|"&amp;P496</f>
        <v/>
      </c>
      <c r="R496" s="10">
        <f>IF(COUNTIF($Q$2:$Q$1409,Q496)&gt;1,IF(COUNTIF($Q$2:Q496,Q496)=1,"Exact Duplicate - Keep First","Exact Duplicate - Remove"),"Unique")</f>
        <v/>
      </c>
    </row>
    <row r="497" ht="15" customHeight="1" s="11">
      <c r="A497" s="10" t="inlineStr">
        <is>
          <t>USR-100496</t>
        </is>
      </c>
      <c r="B497" s="14" t="n">
        <v>45782</v>
      </c>
      <c r="C497" s="10" t="inlineStr">
        <is>
          <t>Control</t>
        </is>
      </c>
      <c r="D497" s="10" t="inlineStr">
        <is>
          <t>South</t>
        </is>
      </c>
      <c r="E497" s="10" t="inlineStr">
        <is>
          <t>Mobile</t>
        </is>
      </c>
      <c r="F497" s="10" t="inlineStr">
        <is>
          <t>Email</t>
        </is>
      </c>
      <c r="G497" s="10" t="inlineStr">
        <is>
          <t>Basic</t>
        </is>
      </c>
      <c r="H497" s="10" t="n">
        <v>0</v>
      </c>
      <c r="I497" s="10" t="n">
        <v>0</v>
      </c>
      <c r="J497" s="10" t="n">
        <v>0</v>
      </c>
      <c r="K497" s="10" t="n">
        <v>0</v>
      </c>
      <c r="L497" s="10" t="n">
        <v>0</v>
      </c>
      <c r="M497" s="10" t="n">
        <v>1</v>
      </c>
      <c r="N497" s="10" t="n">
        <v>0</v>
      </c>
      <c r="P497" s="10" t="n">
        <v>60.8</v>
      </c>
      <c r="Q497" s="10">
        <f>A497&amp;"|"&amp;B497&amp;"|"&amp;C497&amp;"|"&amp;D497&amp;"|"&amp;E497&amp;"|"&amp;F497&amp;"|"&amp;G497&amp;"|"&amp;H497&amp;"|"&amp;I497&amp;"|"&amp;J497&amp;"|"&amp;K497&amp;"|"&amp;L497&amp;"|"&amp;M497&amp;"|"&amp;N497&amp;"|"&amp;O497&amp;"|"&amp;P497</f>
        <v/>
      </c>
      <c r="R497" s="10">
        <f>IF(COUNTIF($Q$2:$Q$1409,Q497)&gt;1,IF(COUNTIF($Q$2:Q497,Q497)=1,"Exact Duplicate - Keep First","Exact Duplicate - Remove"),"Unique")</f>
        <v/>
      </c>
    </row>
    <row r="498" ht="15" customHeight="1" s="11">
      <c r="A498" s="10" t="inlineStr">
        <is>
          <t>USR-100497</t>
        </is>
      </c>
      <c r="B498" s="14" t="n">
        <v>45763</v>
      </c>
      <c r="C498" s="10" t="inlineStr">
        <is>
          <t>Control</t>
        </is>
      </c>
      <c r="D498" s="10" t="inlineStr">
        <is>
          <t>East</t>
        </is>
      </c>
      <c r="E498" s="10" t="inlineStr">
        <is>
          <t>Mobile</t>
        </is>
      </c>
      <c r="F498" s="10" t="inlineStr">
        <is>
          <t>Email</t>
        </is>
      </c>
      <c r="G498" s="10" t="inlineStr">
        <is>
          <t>Basic</t>
        </is>
      </c>
      <c r="H498" s="10" t="n">
        <v>0</v>
      </c>
      <c r="I498" s="10" t="n">
        <v>0</v>
      </c>
      <c r="J498" s="10" t="n">
        <v>0</v>
      </c>
      <c r="K498" s="10" t="n">
        <v>0</v>
      </c>
      <c r="L498" s="10" t="n">
        <v>0</v>
      </c>
      <c r="M498" s="10" t="n">
        <v>1</v>
      </c>
      <c r="N498" s="10" t="n">
        <v>0</v>
      </c>
      <c r="P498" s="10" t="n">
        <v>50.5</v>
      </c>
      <c r="Q498" s="10">
        <f>A498&amp;"|"&amp;B498&amp;"|"&amp;C498&amp;"|"&amp;D498&amp;"|"&amp;E498&amp;"|"&amp;F498&amp;"|"&amp;G498&amp;"|"&amp;H498&amp;"|"&amp;I498&amp;"|"&amp;J498&amp;"|"&amp;K498&amp;"|"&amp;L498&amp;"|"&amp;M498&amp;"|"&amp;N498&amp;"|"&amp;O498&amp;"|"&amp;P498</f>
        <v/>
      </c>
      <c r="R498" s="10">
        <f>IF(COUNTIF($Q$2:$Q$1409,Q498)&gt;1,IF(COUNTIF($Q$2:Q498,Q498)=1,"Exact Duplicate - Keep First","Exact Duplicate - Remove"),"Unique")</f>
        <v/>
      </c>
    </row>
    <row r="499" ht="15" customHeight="1" s="11">
      <c r="A499" s="10" t="inlineStr">
        <is>
          <t>USR-100498</t>
        </is>
      </c>
      <c r="B499" s="14" t="n">
        <v>45718</v>
      </c>
      <c r="C499" s="10" t="inlineStr">
        <is>
          <t>Control</t>
        </is>
      </c>
      <c r="D499" s="10" t="inlineStr">
        <is>
          <t>South</t>
        </is>
      </c>
      <c r="E499" s="10" t="inlineStr">
        <is>
          <t>Desktop</t>
        </is>
      </c>
      <c r="F499" s="10" t="inlineStr">
        <is>
          <t>Organic</t>
        </is>
      </c>
      <c r="G499" s="10" t="inlineStr">
        <is>
          <t>Free</t>
        </is>
      </c>
      <c r="H499" s="10" t="n">
        <v>1</v>
      </c>
      <c r="I499" s="10" t="n">
        <v>0</v>
      </c>
      <c r="J499" s="10" t="n">
        <v>0</v>
      </c>
      <c r="K499" s="10" t="n">
        <v>0</v>
      </c>
      <c r="L499" s="10" t="n">
        <v>0</v>
      </c>
      <c r="M499" s="10" t="n">
        <v>0</v>
      </c>
      <c r="N499" s="10" t="n">
        <v>0</v>
      </c>
      <c r="P499" s="10" t="n">
        <v>54.9</v>
      </c>
      <c r="Q499" s="10">
        <f>A499&amp;"|"&amp;B499&amp;"|"&amp;C499&amp;"|"&amp;D499&amp;"|"&amp;E499&amp;"|"&amp;F499&amp;"|"&amp;G499&amp;"|"&amp;H499&amp;"|"&amp;I499&amp;"|"&amp;J499&amp;"|"&amp;K499&amp;"|"&amp;L499&amp;"|"&amp;M499&amp;"|"&amp;N499&amp;"|"&amp;O499&amp;"|"&amp;P499</f>
        <v/>
      </c>
      <c r="R499" s="10">
        <f>IF(COUNTIF($Q$2:$Q$1409,Q499)&gt;1,IF(COUNTIF($Q$2:Q499,Q499)=1,"Exact Duplicate - Keep First","Exact Duplicate - Remove"),"Unique")</f>
        <v/>
      </c>
    </row>
    <row r="500" ht="15" customHeight="1" s="11">
      <c r="A500" s="10" t="inlineStr">
        <is>
          <t>USR-100499</t>
        </is>
      </c>
      <c r="B500" s="14" t="n">
        <v>45761</v>
      </c>
      <c r="C500" s="10" t="inlineStr">
        <is>
          <t>Control</t>
        </is>
      </c>
      <c r="D500" s="10" t="inlineStr">
        <is>
          <t>South</t>
        </is>
      </c>
      <c r="E500" s="10" t="inlineStr">
        <is>
          <t>Mobile</t>
        </is>
      </c>
      <c r="F500" s="10" t="inlineStr">
        <is>
          <t>Social</t>
        </is>
      </c>
      <c r="G500" s="10" t="inlineStr">
        <is>
          <t>Premium</t>
        </is>
      </c>
      <c r="H500" s="10" t="n">
        <v>0</v>
      </c>
      <c r="I500" s="10" t="n">
        <v>0</v>
      </c>
      <c r="J500" s="10" t="n">
        <v>0</v>
      </c>
      <c r="K500" s="10" t="n">
        <v>0</v>
      </c>
      <c r="L500" s="10" t="n">
        <v>0</v>
      </c>
      <c r="M500" s="10" t="n">
        <v>0</v>
      </c>
      <c r="N500" s="10" t="n">
        <v>0</v>
      </c>
      <c r="P500" s="10" t="n">
        <v>29.9</v>
      </c>
      <c r="Q500" s="10">
        <f>A500&amp;"|"&amp;B500&amp;"|"&amp;C500&amp;"|"&amp;D500&amp;"|"&amp;E500&amp;"|"&amp;F500&amp;"|"&amp;G500&amp;"|"&amp;H500&amp;"|"&amp;I500&amp;"|"&amp;J500&amp;"|"&amp;K500&amp;"|"&amp;L500&amp;"|"&amp;M500&amp;"|"&amp;N500&amp;"|"&amp;O500&amp;"|"&amp;P500</f>
        <v/>
      </c>
      <c r="R500" s="10">
        <f>IF(COUNTIF($Q$2:$Q$1409,Q500)&gt;1,IF(COUNTIF($Q$2:Q500,Q500)=1,"Exact Duplicate - Keep First","Exact Duplicate - Remove"),"Unique")</f>
        <v/>
      </c>
    </row>
    <row r="501" ht="15" customHeight="1" s="11">
      <c r="A501" s="10" t="inlineStr">
        <is>
          <t>USR-100500</t>
        </is>
      </c>
      <c r="B501" s="14" t="n">
        <v>45703</v>
      </c>
      <c r="C501" s="10" t="inlineStr">
        <is>
          <t>Control</t>
        </is>
      </c>
      <c r="D501" s="10" t="inlineStr">
        <is>
          <t>East</t>
        </is>
      </c>
      <c r="E501" s="10" t="inlineStr">
        <is>
          <t>Desktop</t>
        </is>
      </c>
      <c r="F501" s="10" t="inlineStr">
        <is>
          <t>Paid Search</t>
        </is>
      </c>
      <c r="G501" s="10" t="inlineStr">
        <is>
          <t>Basic</t>
        </is>
      </c>
      <c r="H501" s="10" t="n">
        <v>0</v>
      </c>
      <c r="I501" s="10" t="n">
        <v>0</v>
      </c>
      <c r="J501" s="10" t="n">
        <v>0</v>
      </c>
      <c r="K501" s="10" t="n">
        <v>0</v>
      </c>
      <c r="L501" s="10" t="n">
        <v>0</v>
      </c>
      <c r="M501" s="10" t="n">
        <v>0</v>
      </c>
      <c r="N501" s="10" t="n">
        <v>0</v>
      </c>
      <c r="P501" s="10" t="n">
        <v>48.3</v>
      </c>
      <c r="Q501" s="10">
        <f>A501&amp;"|"&amp;B501&amp;"|"&amp;C501&amp;"|"&amp;D501&amp;"|"&amp;E501&amp;"|"&amp;F501&amp;"|"&amp;G501&amp;"|"&amp;H501&amp;"|"&amp;I501&amp;"|"&amp;J501&amp;"|"&amp;K501&amp;"|"&amp;L501&amp;"|"&amp;M501&amp;"|"&amp;N501&amp;"|"&amp;O501&amp;"|"&amp;P501</f>
        <v/>
      </c>
      <c r="R501" s="10">
        <f>IF(COUNTIF($Q$2:$Q$1409,Q501)&gt;1,IF(COUNTIF($Q$2:Q501,Q501)=1,"Exact Duplicate - Keep First","Exact Duplicate - Remove"),"Unique")</f>
        <v/>
      </c>
    </row>
    <row r="502" ht="15" customHeight="1" s="11">
      <c r="A502" s="10" t="inlineStr">
        <is>
          <t>USR-100501</t>
        </is>
      </c>
      <c r="B502" s="14" t="n">
        <v>45701</v>
      </c>
      <c r="C502" s="10" t="inlineStr">
        <is>
          <t>Control</t>
        </is>
      </c>
      <c r="D502" s="10" t="inlineStr">
        <is>
          <t>West</t>
        </is>
      </c>
      <c r="E502" s="10" t="inlineStr">
        <is>
          <t>Mobile</t>
        </is>
      </c>
      <c r="F502" s="10" t="inlineStr">
        <is>
          <t>Social</t>
        </is>
      </c>
      <c r="G502" s="10" t="inlineStr">
        <is>
          <t>Free</t>
        </is>
      </c>
      <c r="H502" s="10" t="n">
        <v>1</v>
      </c>
      <c r="I502" s="10" t="n">
        <v>1</v>
      </c>
      <c r="J502" s="10" t="n">
        <v>1</v>
      </c>
      <c r="K502" s="10" t="n">
        <v>1</v>
      </c>
      <c r="L502" s="10" t="n">
        <v>513.61</v>
      </c>
      <c r="M502" s="10" t="n">
        <v>0</v>
      </c>
      <c r="N502" s="10" t="n">
        <v>0</v>
      </c>
      <c r="O502" s="10" t="n">
        <v>7</v>
      </c>
      <c r="P502" s="10" t="n">
        <v>41.3</v>
      </c>
      <c r="Q502" s="10">
        <f>A502&amp;"|"&amp;B502&amp;"|"&amp;C502&amp;"|"&amp;D502&amp;"|"&amp;E502&amp;"|"&amp;F502&amp;"|"&amp;G502&amp;"|"&amp;H502&amp;"|"&amp;I502&amp;"|"&amp;J502&amp;"|"&amp;K502&amp;"|"&amp;L502&amp;"|"&amp;M502&amp;"|"&amp;N502&amp;"|"&amp;O502&amp;"|"&amp;P502</f>
        <v/>
      </c>
      <c r="R502" s="10">
        <f>IF(COUNTIF($Q$2:$Q$1409,Q502)&gt;1,IF(COUNTIF($Q$2:Q502,Q502)=1,"Exact Duplicate - Keep First","Exact Duplicate - Remove"),"Unique")</f>
        <v/>
      </c>
    </row>
    <row r="503" ht="15" customHeight="1" s="11">
      <c r="A503" s="10" t="inlineStr">
        <is>
          <t>USR-100502</t>
        </is>
      </c>
      <c r="B503" s="14" t="n">
        <v>45722</v>
      </c>
      <c r="C503" s="10" t="inlineStr">
        <is>
          <t>Control</t>
        </is>
      </c>
      <c r="D503" s="10" t="inlineStr">
        <is>
          <t>North</t>
        </is>
      </c>
      <c r="E503" s="10" t="inlineStr">
        <is>
          <t>Mobile</t>
        </is>
      </c>
      <c r="F503" s="10" t="inlineStr">
        <is>
          <t>Email</t>
        </is>
      </c>
      <c r="G503" s="10" t="inlineStr">
        <is>
          <t>Free</t>
        </is>
      </c>
      <c r="H503" s="10" t="n">
        <v>0</v>
      </c>
      <c r="I503" s="10" t="n">
        <v>0</v>
      </c>
      <c r="J503" s="10" t="n">
        <v>0</v>
      </c>
      <c r="K503" s="10" t="n">
        <v>0</v>
      </c>
      <c r="L503" s="10" t="n">
        <v>0</v>
      </c>
      <c r="M503" s="10" t="n">
        <v>0</v>
      </c>
      <c r="N503" s="10" t="n">
        <v>0</v>
      </c>
      <c r="P503" s="10" t="n">
        <v>61.4</v>
      </c>
      <c r="Q503" s="10">
        <f>A503&amp;"|"&amp;B503&amp;"|"&amp;C503&amp;"|"&amp;D503&amp;"|"&amp;E503&amp;"|"&amp;F503&amp;"|"&amp;G503&amp;"|"&amp;H503&amp;"|"&amp;I503&amp;"|"&amp;J503&amp;"|"&amp;K503&amp;"|"&amp;L503&amp;"|"&amp;M503&amp;"|"&amp;N503&amp;"|"&amp;O503&amp;"|"&amp;P503</f>
        <v/>
      </c>
      <c r="R503" s="10">
        <f>IF(COUNTIF($Q$2:$Q$1409,Q503)&gt;1,IF(COUNTIF($Q$2:Q503,Q503)=1,"Exact Duplicate - Keep First","Exact Duplicate - Remove"),"Unique")</f>
        <v/>
      </c>
    </row>
    <row r="504" ht="15" customHeight="1" s="11">
      <c r="A504" s="10" t="inlineStr">
        <is>
          <t>USR-100503</t>
        </is>
      </c>
      <c r="B504" s="14" t="n">
        <v>45706</v>
      </c>
      <c r="C504" s="10" t="inlineStr">
        <is>
          <t>Control</t>
        </is>
      </c>
      <c r="D504" s="10" t="inlineStr">
        <is>
          <t>South</t>
        </is>
      </c>
      <c r="E504" s="10" t="inlineStr">
        <is>
          <t>Desktop</t>
        </is>
      </c>
      <c r="F504" s="10" t="inlineStr">
        <is>
          <t>Social</t>
        </is>
      </c>
      <c r="G504" s="10" t="inlineStr">
        <is>
          <t>Free</t>
        </is>
      </c>
      <c r="H504" s="10" t="n">
        <v>0</v>
      </c>
      <c r="I504" s="10" t="n">
        <v>0</v>
      </c>
      <c r="J504" s="10" t="n">
        <v>0</v>
      </c>
      <c r="K504" s="10" t="n">
        <v>0</v>
      </c>
      <c r="L504" s="10" t="n">
        <v>0</v>
      </c>
      <c r="M504" s="10" t="n">
        <v>0</v>
      </c>
      <c r="N504" s="10" t="n">
        <v>0</v>
      </c>
      <c r="P504" s="10" t="n">
        <v>57.8</v>
      </c>
      <c r="Q504" s="10">
        <f>A504&amp;"|"&amp;B504&amp;"|"&amp;C504&amp;"|"&amp;D504&amp;"|"&amp;E504&amp;"|"&amp;F504&amp;"|"&amp;G504&amp;"|"&amp;H504&amp;"|"&amp;I504&amp;"|"&amp;J504&amp;"|"&amp;K504&amp;"|"&amp;L504&amp;"|"&amp;M504&amp;"|"&amp;N504&amp;"|"&amp;O504&amp;"|"&amp;P504</f>
        <v/>
      </c>
      <c r="R504" s="10">
        <f>IF(COUNTIF($Q$2:$Q$1409,Q504)&gt;1,IF(COUNTIF($Q$2:Q504,Q504)=1,"Exact Duplicate - Keep First","Exact Duplicate - Remove"),"Unique")</f>
        <v/>
      </c>
    </row>
    <row r="505" ht="15" customHeight="1" s="11">
      <c r="A505" s="10" t="inlineStr">
        <is>
          <t>USR-100504</t>
        </is>
      </c>
      <c r="B505" s="14" t="n">
        <v>45754</v>
      </c>
      <c r="C505" s="10" t="inlineStr">
        <is>
          <t>Control</t>
        </is>
      </c>
      <c r="D505" s="10" t="inlineStr">
        <is>
          <t>North</t>
        </is>
      </c>
      <c r="E505" s="10" t="inlineStr">
        <is>
          <t>Desktop</t>
        </is>
      </c>
      <c r="F505" s="10" t="inlineStr">
        <is>
          <t>Organic</t>
        </is>
      </c>
      <c r="G505" s="10" t="inlineStr">
        <is>
          <t>Free</t>
        </is>
      </c>
      <c r="H505" s="10" t="n">
        <v>0</v>
      </c>
      <c r="I505" s="10" t="n">
        <v>0</v>
      </c>
      <c r="J505" s="10" t="n">
        <v>0</v>
      </c>
      <c r="K505" s="10" t="n">
        <v>0</v>
      </c>
      <c r="L505" s="10" t="n">
        <v>0</v>
      </c>
      <c r="M505" s="10" t="n">
        <v>0</v>
      </c>
      <c r="N505" s="10" t="n">
        <v>0</v>
      </c>
      <c r="P505" s="10" t="n">
        <v>78.2</v>
      </c>
      <c r="Q505" s="10">
        <f>A505&amp;"|"&amp;B505&amp;"|"&amp;C505&amp;"|"&amp;D505&amp;"|"&amp;E505&amp;"|"&amp;F505&amp;"|"&amp;G505&amp;"|"&amp;H505&amp;"|"&amp;I505&amp;"|"&amp;J505&amp;"|"&amp;K505&amp;"|"&amp;L505&amp;"|"&amp;M505&amp;"|"&amp;N505&amp;"|"&amp;O505&amp;"|"&amp;P505</f>
        <v/>
      </c>
      <c r="R505" s="10">
        <f>IF(COUNTIF($Q$2:$Q$1409,Q505)&gt;1,IF(COUNTIF($Q$2:Q505,Q505)=1,"Exact Duplicate - Keep First","Exact Duplicate - Remove"),"Unique")</f>
        <v/>
      </c>
    </row>
    <row r="506" ht="15" customHeight="1" s="11">
      <c r="A506" s="10" t="inlineStr">
        <is>
          <t>USR-100505</t>
        </is>
      </c>
      <c r="B506" s="14" t="n">
        <v>45753</v>
      </c>
      <c r="C506" s="10" t="inlineStr">
        <is>
          <t>Control</t>
        </is>
      </c>
      <c r="D506" s="10" t="inlineStr">
        <is>
          <t>North</t>
        </is>
      </c>
      <c r="E506" s="10" t="inlineStr">
        <is>
          <t>Mobile</t>
        </is>
      </c>
      <c r="F506" s="10" t="inlineStr">
        <is>
          <t>Referral</t>
        </is>
      </c>
      <c r="G506" s="10" t="inlineStr">
        <is>
          <t>Free</t>
        </is>
      </c>
      <c r="H506" s="10" t="n">
        <v>0</v>
      </c>
      <c r="I506" s="10" t="n">
        <v>0</v>
      </c>
      <c r="J506" s="10" t="n">
        <v>0</v>
      </c>
      <c r="K506" s="10" t="n">
        <v>0</v>
      </c>
      <c r="L506" s="10" t="n">
        <v>0</v>
      </c>
      <c r="M506" s="10" t="n">
        <v>0</v>
      </c>
      <c r="N506" s="10" t="n">
        <v>0</v>
      </c>
      <c r="P506" s="10" t="n">
        <v>63.8</v>
      </c>
      <c r="Q506" s="10">
        <f>A506&amp;"|"&amp;B506&amp;"|"&amp;C506&amp;"|"&amp;D506&amp;"|"&amp;E506&amp;"|"&amp;F506&amp;"|"&amp;G506&amp;"|"&amp;H506&amp;"|"&amp;I506&amp;"|"&amp;J506&amp;"|"&amp;K506&amp;"|"&amp;L506&amp;"|"&amp;M506&amp;"|"&amp;N506&amp;"|"&amp;O506&amp;"|"&amp;P506</f>
        <v/>
      </c>
      <c r="R506" s="10">
        <f>IF(COUNTIF($Q$2:$Q$1409,Q506)&gt;1,IF(COUNTIF($Q$2:Q506,Q506)=1,"Exact Duplicate - Keep First","Exact Duplicate - Remove"),"Unique")</f>
        <v/>
      </c>
    </row>
    <row r="507" ht="15" customHeight="1" s="11">
      <c r="A507" s="10" t="inlineStr">
        <is>
          <t>USR-100506</t>
        </is>
      </c>
      <c r="B507" s="14" t="n">
        <v>45687</v>
      </c>
      <c r="C507" s="10" t="inlineStr">
        <is>
          <t>Control</t>
        </is>
      </c>
      <c r="D507" s="10" t="inlineStr">
        <is>
          <t>North</t>
        </is>
      </c>
      <c r="E507" s="10" t="inlineStr">
        <is>
          <t>Desktop</t>
        </is>
      </c>
      <c r="F507" s="10" t="inlineStr">
        <is>
          <t>Social</t>
        </is>
      </c>
      <c r="G507" s="10" t="inlineStr">
        <is>
          <t>Free</t>
        </is>
      </c>
      <c r="H507" s="10" t="n">
        <v>1</v>
      </c>
      <c r="I507" s="10" t="n">
        <v>0</v>
      </c>
      <c r="J507" s="10" t="n">
        <v>0</v>
      </c>
      <c r="K507" s="10" t="n">
        <v>0</v>
      </c>
      <c r="L507" s="10" t="n">
        <v>0</v>
      </c>
      <c r="M507" s="10" t="n">
        <v>0</v>
      </c>
      <c r="N507" s="10" t="n">
        <v>0</v>
      </c>
      <c r="P507" s="10" t="n">
        <v>56.8</v>
      </c>
      <c r="Q507" s="10">
        <f>A507&amp;"|"&amp;B507&amp;"|"&amp;C507&amp;"|"&amp;D507&amp;"|"&amp;E507&amp;"|"&amp;F507&amp;"|"&amp;G507&amp;"|"&amp;H507&amp;"|"&amp;I507&amp;"|"&amp;J507&amp;"|"&amp;K507&amp;"|"&amp;L507&amp;"|"&amp;M507&amp;"|"&amp;N507&amp;"|"&amp;O507&amp;"|"&amp;P507</f>
        <v/>
      </c>
      <c r="R507" s="10">
        <f>IF(COUNTIF($Q$2:$Q$1409,Q507)&gt;1,IF(COUNTIF($Q$2:Q507,Q507)=1,"Exact Duplicate - Keep First","Exact Duplicate - Remove"),"Unique")</f>
        <v/>
      </c>
    </row>
    <row r="508" ht="15" customHeight="1" s="11">
      <c r="A508" s="10" t="inlineStr">
        <is>
          <t>USR-100507</t>
        </is>
      </c>
      <c r="B508" s="14" t="n">
        <v>45790</v>
      </c>
      <c r="C508" s="10" t="inlineStr">
        <is>
          <t>Control</t>
        </is>
      </c>
      <c r="D508" s="10" t="inlineStr">
        <is>
          <t>South</t>
        </is>
      </c>
      <c r="E508" s="10" t="inlineStr">
        <is>
          <t>Desktop</t>
        </is>
      </c>
      <c r="F508" s="10" t="inlineStr">
        <is>
          <t>Organic</t>
        </is>
      </c>
      <c r="G508" s="10" t="inlineStr">
        <is>
          <t>Basic</t>
        </is>
      </c>
      <c r="H508" s="10" t="n">
        <v>1</v>
      </c>
      <c r="I508" s="10" t="n">
        <v>1</v>
      </c>
      <c r="J508" s="10" t="n">
        <v>0</v>
      </c>
      <c r="K508" s="10" t="n">
        <v>0</v>
      </c>
      <c r="L508" s="10" t="n">
        <v>0</v>
      </c>
      <c r="M508" s="10" t="n">
        <v>0</v>
      </c>
      <c r="N508" s="10" t="n">
        <v>0</v>
      </c>
      <c r="P508" s="10" t="n">
        <v>59.6</v>
      </c>
      <c r="Q508" s="10">
        <f>A508&amp;"|"&amp;B508&amp;"|"&amp;C508&amp;"|"&amp;D508&amp;"|"&amp;E508&amp;"|"&amp;F508&amp;"|"&amp;G508&amp;"|"&amp;H508&amp;"|"&amp;I508&amp;"|"&amp;J508&amp;"|"&amp;K508&amp;"|"&amp;L508&amp;"|"&amp;M508&amp;"|"&amp;N508&amp;"|"&amp;O508&amp;"|"&amp;P508</f>
        <v/>
      </c>
      <c r="R508" s="10">
        <f>IF(COUNTIF($Q$2:$Q$1409,Q508)&gt;1,IF(COUNTIF($Q$2:Q508,Q508)=1,"Exact Duplicate - Keep First","Exact Duplicate - Remove"),"Unique")</f>
        <v/>
      </c>
    </row>
    <row r="509" ht="15" customHeight="1" s="11">
      <c r="A509" s="10" t="inlineStr">
        <is>
          <t>USR-100508</t>
        </is>
      </c>
      <c r="B509" s="14" t="n">
        <v>45677</v>
      </c>
      <c r="C509" s="10" t="inlineStr">
        <is>
          <t>Control</t>
        </is>
      </c>
      <c r="D509" s="10" t="inlineStr">
        <is>
          <t>West</t>
        </is>
      </c>
      <c r="E509" s="10" t="inlineStr">
        <is>
          <t>Mobile</t>
        </is>
      </c>
      <c r="F509" s="10" t="inlineStr">
        <is>
          <t>Paid Search</t>
        </is>
      </c>
      <c r="G509" s="10" t="inlineStr">
        <is>
          <t>Premium</t>
        </is>
      </c>
      <c r="H509" s="10" t="n">
        <v>1</v>
      </c>
      <c r="I509" s="10" t="n">
        <v>1</v>
      </c>
      <c r="J509" s="10" t="n">
        <v>0</v>
      </c>
      <c r="K509" s="10" t="n">
        <v>0</v>
      </c>
      <c r="L509" s="10" t="n">
        <v>0</v>
      </c>
      <c r="M509" s="10" t="n">
        <v>0</v>
      </c>
      <c r="N509" s="10" t="n">
        <v>0</v>
      </c>
      <c r="P509" s="10" t="n">
        <v>50</v>
      </c>
      <c r="Q509" s="10">
        <f>A509&amp;"|"&amp;B509&amp;"|"&amp;C509&amp;"|"&amp;D509&amp;"|"&amp;E509&amp;"|"&amp;F509&amp;"|"&amp;G509&amp;"|"&amp;H509&amp;"|"&amp;I509&amp;"|"&amp;J509&amp;"|"&amp;K509&amp;"|"&amp;L509&amp;"|"&amp;M509&amp;"|"&amp;N509&amp;"|"&amp;O509&amp;"|"&amp;P509</f>
        <v/>
      </c>
      <c r="R509" s="10">
        <f>IF(COUNTIF($Q$2:$Q$1409,Q509)&gt;1,IF(COUNTIF($Q$2:Q509,Q509)=1,"Exact Duplicate - Keep First","Exact Duplicate - Remove"),"Unique")</f>
        <v/>
      </c>
    </row>
    <row r="510" ht="15" customHeight="1" s="11">
      <c r="A510" s="10" t="inlineStr">
        <is>
          <t>USR-100509</t>
        </is>
      </c>
      <c r="B510" s="14" t="n">
        <v>45687</v>
      </c>
      <c r="C510" s="10" t="inlineStr">
        <is>
          <t>Control</t>
        </is>
      </c>
      <c r="D510" s="10" t="inlineStr">
        <is>
          <t>North</t>
        </is>
      </c>
      <c r="E510" s="10" t="inlineStr">
        <is>
          <t>Tablet</t>
        </is>
      </c>
      <c r="F510" s="10" t="inlineStr">
        <is>
          <t>Organic</t>
        </is>
      </c>
      <c r="G510" s="10" t="inlineStr">
        <is>
          <t>Free</t>
        </is>
      </c>
      <c r="H510" s="10" t="n">
        <v>1</v>
      </c>
      <c r="I510" s="10" t="n">
        <v>0</v>
      </c>
      <c r="J510" s="10" t="n">
        <v>0</v>
      </c>
      <c r="K510" s="10" t="n">
        <v>0</v>
      </c>
      <c r="L510" s="10" t="n">
        <v>0</v>
      </c>
      <c r="M510" s="10" t="n">
        <v>0</v>
      </c>
      <c r="N510" s="10" t="n">
        <v>0</v>
      </c>
      <c r="P510" s="10" t="n">
        <v>35.7</v>
      </c>
      <c r="Q510" s="10">
        <f>A510&amp;"|"&amp;B510&amp;"|"&amp;C510&amp;"|"&amp;D510&amp;"|"&amp;E510&amp;"|"&amp;F510&amp;"|"&amp;G510&amp;"|"&amp;H510&amp;"|"&amp;I510&amp;"|"&amp;J510&amp;"|"&amp;K510&amp;"|"&amp;L510&amp;"|"&amp;M510&amp;"|"&amp;N510&amp;"|"&amp;O510&amp;"|"&amp;P510</f>
        <v/>
      </c>
      <c r="R510" s="10">
        <f>IF(COUNTIF($Q$2:$Q$1409,Q510)&gt;1,IF(COUNTIF($Q$2:Q510,Q510)=1,"Exact Duplicate - Keep First","Exact Duplicate - Remove"),"Unique")</f>
        <v/>
      </c>
    </row>
    <row r="511" ht="15" customHeight="1" s="11">
      <c r="A511" s="10" t="inlineStr">
        <is>
          <t>USR-100510</t>
        </is>
      </c>
      <c r="B511" s="14" t="n">
        <v>45670</v>
      </c>
      <c r="C511" s="10" t="inlineStr">
        <is>
          <t>Control</t>
        </is>
      </c>
      <c r="D511" s="10" t="inlineStr">
        <is>
          <t>South</t>
        </is>
      </c>
      <c r="E511" s="10" t="inlineStr">
        <is>
          <t>Mobile</t>
        </is>
      </c>
      <c r="F511" s="10" t="inlineStr">
        <is>
          <t>Organic</t>
        </is>
      </c>
      <c r="G511" s="10" t="inlineStr">
        <is>
          <t>Free</t>
        </is>
      </c>
      <c r="H511" s="10" t="n">
        <v>0</v>
      </c>
      <c r="I511" s="10" t="n">
        <v>0</v>
      </c>
      <c r="J511" s="10" t="n">
        <v>0</v>
      </c>
      <c r="K511" s="10" t="n">
        <v>0</v>
      </c>
      <c r="L511" s="10" t="n">
        <v>0</v>
      </c>
      <c r="M511" s="10" t="n">
        <v>2</v>
      </c>
      <c r="N511" s="10" t="n">
        <v>0</v>
      </c>
      <c r="P511" s="10" t="n">
        <v>47.2</v>
      </c>
      <c r="Q511" s="10">
        <f>A511&amp;"|"&amp;B511&amp;"|"&amp;C511&amp;"|"&amp;D511&amp;"|"&amp;E511&amp;"|"&amp;F511&amp;"|"&amp;G511&amp;"|"&amp;H511&amp;"|"&amp;I511&amp;"|"&amp;J511&amp;"|"&amp;K511&amp;"|"&amp;L511&amp;"|"&amp;M511&amp;"|"&amp;N511&amp;"|"&amp;O511&amp;"|"&amp;P511</f>
        <v/>
      </c>
      <c r="R511" s="10">
        <f>IF(COUNTIF($Q$2:$Q$1409,Q511)&gt;1,IF(COUNTIF($Q$2:Q511,Q511)=1,"Exact Duplicate - Keep First","Exact Duplicate - Remove"),"Unique")</f>
        <v/>
      </c>
    </row>
    <row r="512" ht="15" customHeight="1" s="11">
      <c r="A512" s="10" t="inlineStr">
        <is>
          <t>USR-100511</t>
        </is>
      </c>
      <c r="B512" s="14" t="n">
        <v>45699</v>
      </c>
      <c r="C512" s="10" t="inlineStr">
        <is>
          <t>Control</t>
        </is>
      </c>
      <c r="D512" s="10" t="inlineStr">
        <is>
          <t>North</t>
        </is>
      </c>
      <c r="E512" s="10" t="inlineStr">
        <is>
          <t>Mobile</t>
        </is>
      </c>
      <c r="F512" s="10" t="inlineStr">
        <is>
          <t>Social</t>
        </is>
      </c>
      <c r="G512" s="10" t="inlineStr">
        <is>
          <t>Free</t>
        </is>
      </c>
      <c r="H512" s="10" t="n">
        <v>1</v>
      </c>
      <c r="I512" s="10" t="n">
        <v>1</v>
      </c>
      <c r="J512" s="10" t="n">
        <v>0</v>
      </c>
      <c r="K512" s="10" t="n">
        <v>0</v>
      </c>
      <c r="L512" s="10" t="n">
        <v>0</v>
      </c>
      <c r="M512" s="10" t="n">
        <v>0</v>
      </c>
      <c r="N512" s="10" t="n">
        <v>0</v>
      </c>
      <c r="P512" s="10" t="n">
        <v>56.9</v>
      </c>
      <c r="Q512" s="10">
        <f>A512&amp;"|"&amp;B512&amp;"|"&amp;C512&amp;"|"&amp;D512&amp;"|"&amp;E512&amp;"|"&amp;F512&amp;"|"&amp;G512&amp;"|"&amp;H512&amp;"|"&amp;I512&amp;"|"&amp;J512&amp;"|"&amp;K512&amp;"|"&amp;L512&amp;"|"&amp;M512&amp;"|"&amp;N512&amp;"|"&amp;O512&amp;"|"&amp;P512</f>
        <v/>
      </c>
      <c r="R512" s="10">
        <f>IF(COUNTIF($Q$2:$Q$1409,Q512)&gt;1,IF(COUNTIF($Q$2:Q512,Q512)=1,"Exact Duplicate - Keep First","Exact Duplicate - Remove"),"Unique")</f>
        <v/>
      </c>
    </row>
    <row r="513" ht="15" customHeight="1" s="11">
      <c r="A513" s="10" t="inlineStr">
        <is>
          <t>USR-100512</t>
        </is>
      </c>
      <c r="B513" s="14" t="n">
        <v>45762</v>
      </c>
      <c r="C513" s="10" t="inlineStr">
        <is>
          <t>Control</t>
        </is>
      </c>
      <c r="D513" s="10" t="inlineStr">
        <is>
          <t>South</t>
        </is>
      </c>
      <c r="E513" s="10" t="inlineStr">
        <is>
          <t>Mobile</t>
        </is>
      </c>
      <c r="F513" s="10" t="inlineStr">
        <is>
          <t>Organic</t>
        </is>
      </c>
      <c r="G513" s="10" t="inlineStr">
        <is>
          <t>Free</t>
        </is>
      </c>
      <c r="H513" s="10" t="n">
        <v>0</v>
      </c>
      <c r="I513" s="10" t="n">
        <v>0</v>
      </c>
      <c r="J513" s="10" t="n">
        <v>0</v>
      </c>
      <c r="K513" s="10" t="n">
        <v>0</v>
      </c>
      <c r="L513" s="10" t="n">
        <v>0</v>
      </c>
      <c r="M513" s="10" t="n">
        <v>1</v>
      </c>
      <c r="N513" s="10" t="n">
        <v>0</v>
      </c>
      <c r="P513" s="10" t="n">
        <v>57.2</v>
      </c>
      <c r="Q513" s="10">
        <f>A513&amp;"|"&amp;B513&amp;"|"&amp;C513&amp;"|"&amp;D513&amp;"|"&amp;E513&amp;"|"&amp;F513&amp;"|"&amp;G513&amp;"|"&amp;H513&amp;"|"&amp;I513&amp;"|"&amp;J513&amp;"|"&amp;K513&amp;"|"&amp;L513&amp;"|"&amp;M513&amp;"|"&amp;N513&amp;"|"&amp;O513&amp;"|"&amp;P513</f>
        <v/>
      </c>
      <c r="R513" s="10">
        <f>IF(COUNTIF($Q$2:$Q$1409,Q513)&gt;1,IF(COUNTIF($Q$2:Q513,Q513)=1,"Exact Duplicate - Keep First","Exact Duplicate - Remove"),"Unique")</f>
        <v/>
      </c>
    </row>
    <row r="514" ht="15" customHeight="1" s="11">
      <c r="A514" s="10" t="inlineStr">
        <is>
          <t>USR-100513</t>
        </is>
      </c>
      <c r="B514" s="14" t="n">
        <v>45701</v>
      </c>
      <c r="C514" s="10" t="inlineStr">
        <is>
          <t>Control</t>
        </is>
      </c>
      <c r="D514" s="10" t="inlineStr">
        <is>
          <t>South</t>
        </is>
      </c>
      <c r="E514" s="10" t="inlineStr">
        <is>
          <t>Mobile</t>
        </is>
      </c>
      <c r="G514" s="10" t="inlineStr">
        <is>
          <t>Free</t>
        </is>
      </c>
      <c r="H514" s="10" t="n">
        <v>1</v>
      </c>
      <c r="I514" s="10" t="n">
        <v>1</v>
      </c>
      <c r="J514" s="10" t="n">
        <v>0</v>
      </c>
      <c r="K514" s="10" t="n">
        <v>0</v>
      </c>
      <c r="L514" s="10" t="n">
        <v>0</v>
      </c>
      <c r="M514" s="10" t="n">
        <v>0</v>
      </c>
      <c r="N514" s="10" t="n">
        <v>0</v>
      </c>
      <c r="P514" s="10" t="n">
        <v>31.4</v>
      </c>
      <c r="Q514" s="10">
        <f>A514&amp;"|"&amp;B514&amp;"|"&amp;C514&amp;"|"&amp;D514&amp;"|"&amp;E514&amp;"|"&amp;F514&amp;"|"&amp;G514&amp;"|"&amp;H514&amp;"|"&amp;I514&amp;"|"&amp;J514&amp;"|"&amp;K514&amp;"|"&amp;L514&amp;"|"&amp;M514&amp;"|"&amp;N514&amp;"|"&amp;O514&amp;"|"&amp;P514</f>
        <v/>
      </c>
      <c r="R514" s="10">
        <f>IF(COUNTIF($Q$2:$Q$1409,Q514)&gt;1,IF(COUNTIF($Q$2:Q514,Q514)=1,"Exact Duplicate - Keep First","Exact Duplicate - Remove"),"Unique")</f>
        <v/>
      </c>
    </row>
    <row r="515" ht="15" customHeight="1" s="11">
      <c r="A515" s="10" t="inlineStr">
        <is>
          <t>USR-100514</t>
        </is>
      </c>
      <c r="B515" s="14" t="n">
        <v>45786</v>
      </c>
      <c r="C515" s="10" t="inlineStr">
        <is>
          <t>Control</t>
        </is>
      </c>
      <c r="D515" s="10" t="inlineStr">
        <is>
          <t>South</t>
        </is>
      </c>
      <c r="E515" s="10" t="inlineStr">
        <is>
          <t>Desktop</t>
        </is>
      </c>
      <c r="F515" s="10" t="inlineStr">
        <is>
          <t>Organic</t>
        </is>
      </c>
      <c r="G515" s="10" t="inlineStr">
        <is>
          <t>Free</t>
        </is>
      </c>
      <c r="H515" s="10" t="n">
        <v>0</v>
      </c>
      <c r="I515" s="10" t="n">
        <v>0</v>
      </c>
      <c r="J515" s="10" t="n">
        <v>0</v>
      </c>
      <c r="K515" s="10" t="n">
        <v>0</v>
      </c>
      <c r="L515" s="10" t="n">
        <v>0</v>
      </c>
      <c r="M515" s="10" t="n">
        <v>0</v>
      </c>
      <c r="N515" s="10" t="n">
        <v>0</v>
      </c>
      <c r="P515" s="10" t="n">
        <v>71.2</v>
      </c>
      <c r="Q515" s="10">
        <f>A515&amp;"|"&amp;B515&amp;"|"&amp;C515&amp;"|"&amp;D515&amp;"|"&amp;E515&amp;"|"&amp;F515&amp;"|"&amp;G515&amp;"|"&amp;H515&amp;"|"&amp;I515&amp;"|"&amp;J515&amp;"|"&amp;K515&amp;"|"&amp;L515&amp;"|"&amp;M515&amp;"|"&amp;N515&amp;"|"&amp;O515&amp;"|"&amp;P515</f>
        <v/>
      </c>
      <c r="R515" s="10">
        <f>IF(COUNTIF($Q$2:$Q$1409,Q515)&gt;1,IF(COUNTIF($Q$2:Q515,Q515)=1,"Exact Duplicate - Keep First","Exact Duplicate - Remove"),"Unique")</f>
        <v/>
      </c>
    </row>
    <row r="516" ht="15" customHeight="1" s="11">
      <c r="A516" s="10" t="inlineStr">
        <is>
          <t>USR-100515</t>
        </is>
      </c>
      <c r="B516" s="14" t="n">
        <v>45726</v>
      </c>
      <c r="C516" s="10" t="inlineStr">
        <is>
          <t>Control</t>
        </is>
      </c>
      <c r="D516" s="10" t="inlineStr">
        <is>
          <t>North</t>
        </is>
      </c>
      <c r="E516" s="10" t="inlineStr">
        <is>
          <t>Mobile</t>
        </is>
      </c>
      <c r="F516" s="10" t="inlineStr">
        <is>
          <t>Paid Search</t>
        </is>
      </c>
      <c r="G516" s="10" t="inlineStr">
        <is>
          <t>Free</t>
        </is>
      </c>
      <c r="H516" s="10" t="n">
        <v>1</v>
      </c>
      <c r="I516" s="10" t="n">
        <v>1</v>
      </c>
      <c r="J516" s="10" t="n">
        <v>1</v>
      </c>
      <c r="K516" s="10" t="n">
        <v>0</v>
      </c>
      <c r="L516" s="10" t="n">
        <v>0</v>
      </c>
      <c r="M516" s="10" t="n">
        <v>1</v>
      </c>
      <c r="N516" s="10" t="n">
        <v>0</v>
      </c>
      <c r="P516" s="10" t="n">
        <v>38.3</v>
      </c>
      <c r="Q516" s="10">
        <f>A516&amp;"|"&amp;B516&amp;"|"&amp;C516&amp;"|"&amp;D516&amp;"|"&amp;E516&amp;"|"&amp;F516&amp;"|"&amp;G516&amp;"|"&amp;H516&amp;"|"&amp;I516&amp;"|"&amp;J516&amp;"|"&amp;K516&amp;"|"&amp;L516&amp;"|"&amp;M516&amp;"|"&amp;N516&amp;"|"&amp;O516&amp;"|"&amp;P516</f>
        <v/>
      </c>
      <c r="R516" s="10">
        <f>IF(COUNTIF($Q$2:$Q$1409,Q516)&gt;1,IF(COUNTIF($Q$2:Q516,Q516)=1,"Exact Duplicate - Keep First","Exact Duplicate - Remove"),"Unique")</f>
        <v/>
      </c>
    </row>
    <row r="517" ht="15" customHeight="1" s="11">
      <c r="A517" s="10" t="inlineStr">
        <is>
          <t>USR-100516</t>
        </is>
      </c>
      <c r="B517" s="14" t="n">
        <v>45748</v>
      </c>
      <c r="C517" s="10" t="inlineStr">
        <is>
          <t>Control</t>
        </is>
      </c>
      <c r="D517" s="10" t="inlineStr">
        <is>
          <t>North</t>
        </is>
      </c>
      <c r="E517" s="10" t="inlineStr">
        <is>
          <t>Mobile</t>
        </is>
      </c>
      <c r="F517" s="10" t="inlineStr">
        <is>
          <t>Organic</t>
        </is>
      </c>
      <c r="G517" s="10" t="inlineStr">
        <is>
          <t>Free</t>
        </is>
      </c>
      <c r="H517" s="10" t="n">
        <v>1</v>
      </c>
      <c r="I517" s="10" t="n">
        <v>1</v>
      </c>
      <c r="J517" s="10" t="n">
        <v>0</v>
      </c>
      <c r="K517" s="10" t="n">
        <v>0</v>
      </c>
      <c r="L517" s="10" t="n">
        <v>0</v>
      </c>
      <c r="M517" s="10" t="n">
        <v>0</v>
      </c>
      <c r="N517" s="10" t="n">
        <v>0</v>
      </c>
      <c r="P517" s="10" t="n">
        <v>63.1</v>
      </c>
      <c r="Q517" s="10">
        <f>A517&amp;"|"&amp;B517&amp;"|"&amp;C517&amp;"|"&amp;D517&amp;"|"&amp;E517&amp;"|"&amp;F517&amp;"|"&amp;G517&amp;"|"&amp;H517&amp;"|"&amp;I517&amp;"|"&amp;J517&amp;"|"&amp;K517&amp;"|"&amp;L517&amp;"|"&amp;M517&amp;"|"&amp;N517&amp;"|"&amp;O517&amp;"|"&amp;P517</f>
        <v/>
      </c>
      <c r="R517" s="10">
        <f>IF(COUNTIF($Q$2:$Q$1409,Q517)&gt;1,IF(COUNTIF($Q$2:Q517,Q517)=1,"Exact Duplicate - Keep First","Exact Duplicate - Remove"),"Unique")</f>
        <v/>
      </c>
    </row>
    <row r="518" ht="15" customHeight="1" s="11">
      <c r="A518" s="10" t="inlineStr">
        <is>
          <t>USR-100517</t>
        </is>
      </c>
      <c r="B518" s="14" t="n">
        <v>45792</v>
      </c>
      <c r="C518" s="10" t="inlineStr">
        <is>
          <t>Control</t>
        </is>
      </c>
      <c r="D518" s="10" t="inlineStr">
        <is>
          <t>East</t>
        </is>
      </c>
      <c r="E518" s="10" t="inlineStr">
        <is>
          <t>Mobile</t>
        </is>
      </c>
      <c r="F518" s="10" t="inlineStr">
        <is>
          <t>Referral</t>
        </is>
      </c>
      <c r="G518" s="10" t="inlineStr">
        <is>
          <t>Basic</t>
        </is>
      </c>
      <c r="H518" s="10" t="n">
        <v>1</v>
      </c>
      <c r="I518" s="10" t="n">
        <v>0</v>
      </c>
      <c r="J518" s="10" t="n">
        <v>0</v>
      </c>
      <c r="K518" s="10" t="n">
        <v>0</v>
      </c>
      <c r="L518" s="10" t="n">
        <v>0</v>
      </c>
      <c r="M518" s="10" t="n">
        <v>0</v>
      </c>
      <c r="N518" s="10" t="n">
        <v>0</v>
      </c>
      <c r="P518" s="10" t="n">
        <v>59.7</v>
      </c>
      <c r="Q518" s="10">
        <f>A518&amp;"|"&amp;B518&amp;"|"&amp;C518&amp;"|"&amp;D518&amp;"|"&amp;E518&amp;"|"&amp;F518&amp;"|"&amp;G518&amp;"|"&amp;H518&amp;"|"&amp;I518&amp;"|"&amp;J518&amp;"|"&amp;K518&amp;"|"&amp;L518&amp;"|"&amp;M518&amp;"|"&amp;N518&amp;"|"&amp;O518&amp;"|"&amp;P518</f>
        <v/>
      </c>
      <c r="R518" s="10">
        <f>IF(COUNTIF($Q$2:$Q$1409,Q518)&gt;1,IF(COUNTIF($Q$2:Q518,Q518)=1,"Exact Duplicate - Keep First","Exact Duplicate - Remove"),"Unique")</f>
        <v/>
      </c>
    </row>
    <row r="519" ht="15" customHeight="1" s="11">
      <c r="A519" s="10" t="inlineStr">
        <is>
          <t>USR-100518</t>
        </is>
      </c>
      <c r="B519" s="14" t="n">
        <v>45781</v>
      </c>
      <c r="C519" s="10" t="inlineStr">
        <is>
          <t>Control</t>
        </is>
      </c>
      <c r="D519" s="10" t="inlineStr">
        <is>
          <t>South</t>
        </is>
      </c>
      <c r="E519" s="10" t="inlineStr">
        <is>
          <t>Desktop</t>
        </is>
      </c>
      <c r="F519" s="10" t="inlineStr">
        <is>
          <t>Social</t>
        </is>
      </c>
      <c r="G519" s="10" t="inlineStr">
        <is>
          <t>Premium</t>
        </is>
      </c>
      <c r="H519" s="10" t="n">
        <v>1</v>
      </c>
      <c r="I519" s="10" t="n">
        <v>1</v>
      </c>
      <c r="J519" s="10" t="n">
        <v>1</v>
      </c>
      <c r="K519" s="10" t="n">
        <v>0</v>
      </c>
      <c r="L519" s="10" t="n">
        <v>0</v>
      </c>
      <c r="M519" s="10" t="n">
        <v>0</v>
      </c>
      <c r="N519" s="10" t="n">
        <v>0</v>
      </c>
      <c r="P519" s="10" t="n">
        <v>59.5</v>
      </c>
      <c r="Q519" s="10">
        <f>A519&amp;"|"&amp;B519&amp;"|"&amp;C519&amp;"|"&amp;D519&amp;"|"&amp;E519&amp;"|"&amp;F519&amp;"|"&amp;G519&amp;"|"&amp;H519&amp;"|"&amp;I519&amp;"|"&amp;J519&amp;"|"&amp;K519&amp;"|"&amp;L519&amp;"|"&amp;M519&amp;"|"&amp;N519&amp;"|"&amp;O519&amp;"|"&amp;P519</f>
        <v/>
      </c>
      <c r="R519" s="10">
        <f>IF(COUNTIF($Q$2:$Q$1409,Q519)&gt;1,IF(COUNTIF($Q$2:Q519,Q519)=1,"Exact Duplicate - Keep First","Exact Duplicate - Remove"),"Unique")</f>
        <v/>
      </c>
    </row>
    <row r="520" ht="15" customHeight="1" s="11">
      <c r="A520" s="10" t="inlineStr">
        <is>
          <t>USR-100519</t>
        </is>
      </c>
      <c r="B520" s="14" t="n">
        <v>45797</v>
      </c>
      <c r="C520" s="10" t="inlineStr">
        <is>
          <t>Control</t>
        </is>
      </c>
      <c r="D520" s="10" t="inlineStr">
        <is>
          <t>East</t>
        </is>
      </c>
      <c r="E520" s="10" t="inlineStr">
        <is>
          <t>Mobile</t>
        </is>
      </c>
      <c r="F520" s="10" t="inlineStr">
        <is>
          <t>Paid Search</t>
        </is>
      </c>
      <c r="G520" s="10" t="inlineStr">
        <is>
          <t>Free</t>
        </is>
      </c>
      <c r="H520" s="10" t="n">
        <v>0</v>
      </c>
      <c r="I520" s="10" t="n">
        <v>0</v>
      </c>
      <c r="J520" s="10" t="n">
        <v>0</v>
      </c>
      <c r="K520" s="10" t="n">
        <v>0</v>
      </c>
      <c r="L520" s="10" t="n">
        <v>0</v>
      </c>
      <c r="M520" s="10" t="n">
        <v>0</v>
      </c>
      <c r="N520" s="10" t="n">
        <v>0</v>
      </c>
      <c r="P520" s="10" t="n">
        <v>78.8</v>
      </c>
      <c r="Q520" s="10">
        <f>A520&amp;"|"&amp;B520&amp;"|"&amp;C520&amp;"|"&amp;D520&amp;"|"&amp;E520&amp;"|"&amp;F520&amp;"|"&amp;G520&amp;"|"&amp;H520&amp;"|"&amp;I520&amp;"|"&amp;J520&amp;"|"&amp;K520&amp;"|"&amp;L520&amp;"|"&amp;M520&amp;"|"&amp;N520&amp;"|"&amp;O520&amp;"|"&amp;P520</f>
        <v/>
      </c>
      <c r="R520" s="10">
        <f>IF(COUNTIF($Q$2:$Q$1409,Q520)&gt;1,IF(COUNTIF($Q$2:Q520,Q520)=1,"Exact Duplicate - Keep First","Exact Duplicate - Remove"),"Unique")</f>
        <v/>
      </c>
    </row>
    <row r="521" ht="15" customHeight="1" s="11">
      <c r="A521" s="10" t="inlineStr">
        <is>
          <t>USR-100520</t>
        </is>
      </c>
      <c r="B521" s="14" t="n">
        <v>45793</v>
      </c>
      <c r="C521" s="10" t="inlineStr">
        <is>
          <t>Control</t>
        </is>
      </c>
      <c r="D521" s="10" t="inlineStr">
        <is>
          <t>West</t>
        </is>
      </c>
      <c r="E521" s="10" t="inlineStr">
        <is>
          <t>Desktop</t>
        </is>
      </c>
      <c r="F521" s="10" t="inlineStr">
        <is>
          <t>Referral</t>
        </is>
      </c>
      <c r="G521" s="10" t="inlineStr">
        <is>
          <t>Free</t>
        </is>
      </c>
      <c r="H521" s="10" t="n">
        <v>0</v>
      </c>
      <c r="I521" s="10" t="n">
        <v>0</v>
      </c>
      <c r="J521" s="10" t="n">
        <v>0</v>
      </c>
      <c r="K521" s="10" t="n">
        <v>0</v>
      </c>
      <c r="L521" s="10" t="n">
        <v>0</v>
      </c>
      <c r="M521" s="10" t="n">
        <v>0</v>
      </c>
      <c r="N521" s="10" t="n">
        <v>0</v>
      </c>
      <c r="P521" s="10" t="n">
        <v>54</v>
      </c>
      <c r="Q521" s="10">
        <f>A521&amp;"|"&amp;B521&amp;"|"&amp;C521&amp;"|"&amp;D521&amp;"|"&amp;E521&amp;"|"&amp;F521&amp;"|"&amp;G521&amp;"|"&amp;H521&amp;"|"&amp;I521&amp;"|"&amp;J521&amp;"|"&amp;K521&amp;"|"&amp;L521&amp;"|"&amp;M521&amp;"|"&amp;N521&amp;"|"&amp;O521&amp;"|"&amp;P521</f>
        <v/>
      </c>
      <c r="R521" s="10">
        <f>IF(COUNTIF($Q$2:$Q$1409,Q521)&gt;1,IF(COUNTIF($Q$2:Q521,Q521)=1,"Exact Duplicate - Keep First","Exact Duplicate - Remove"),"Unique")</f>
        <v/>
      </c>
    </row>
    <row r="522" ht="15" customHeight="1" s="11">
      <c r="A522" s="10" t="inlineStr">
        <is>
          <t>USR-100521</t>
        </is>
      </c>
      <c r="B522" s="14" t="n">
        <v>45733</v>
      </c>
      <c r="C522" s="10" t="inlineStr">
        <is>
          <t>Control</t>
        </is>
      </c>
      <c r="D522" s="10" t="inlineStr">
        <is>
          <t>West</t>
        </is>
      </c>
      <c r="E522" s="10" t="inlineStr">
        <is>
          <t>Mobile</t>
        </is>
      </c>
      <c r="F522" s="10" t="inlineStr">
        <is>
          <t>Organic</t>
        </is>
      </c>
      <c r="G522" s="10" t="inlineStr">
        <is>
          <t>Free</t>
        </is>
      </c>
      <c r="H522" s="10" t="n">
        <v>1</v>
      </c>
      <c r="I522" s="10" t="n">
        <v>0</v>
      </c>
      <c r="J522" s="10" t="n">
        <v>0</v>
      </c>
      <c r="K522" s="10" t="n">
        <v>0</v>
      </c>
      <c r="L522" s="10" t="n">
        <v>0</v>
      </c>
      <c r="M522" s="10" t="n">
        <v>0</v>
      </c>
      <c r="N522" s="10" t="n">
        <v>0</v>
      </c>
      <c r="P522" s="10" t="n">
        <v>66.3</v>
      </c>
      <c r="Q522" s="10">
        <f>A522&amp;"|"&amp;B522&amp;"|"&amp;C522&amp;"|"&amp;D522&amp;"|"&amp;E522&amp;"|"&amp;F522&amp;"|"&amp;G522&amp;"|"&amp;H522&amp;"|"&amp;I522&amp;"|"&amp;J522&amp;"|"&amp;K522&amp;"|"&amp;L522&amp;"|"&amp;M522&amp;"|"&amp;N522&amp;"|"&amp;O522&amp;"|"&amp;P522</f>
        <v/>
      </c>
      <c r="R522" s="10">
        <f>IF(COUNTIF($Q$2:$Q$1409,Q522)&gt;1,IF(COUNTIF($Q$2:Q522,Q522)=1,"Exact Duplicate - Keep First","Exact Duplicate - Remove"),"Unique")</f>
        <v/>
      </c>
    </row>
    <row r="523" ht="15" customHeight="1" s="11">
      <c r="A523" s="10" t="inlineStr">
        <is>
          <t>USR-100522</t>
        </is>
      </c>
      <c r="B523" s="14" t="n">
        <v>45684</v>
      </c>
      <c r="C523" s="10" t="inlineStr">
        <is>
          <t>Control</t>
        </is>
      </c>
      <c r="D523" s="10" t="inlineStr">
        <is>
          <t>East</t>
        </is>
      </c>
      <c r="E523" s="10" t="inlineStr">
        <is>
          <t>Tablet</t>
        </is>
      </c>
      <c r="F523" s="10" t="inlineStr">
        <is>
          <t>Paid Search</t>
        </is>
      </c>
      <c r="G523" s="10" t="inlineStr">
        <is>
          <t>Free</t>
        </is>
      </c>
      <c r="H523" s="10" t="n">
        <v>1</v>
      </c>
      <c r="I523" s="10" t="n">
        <v>1</v>
      </c>
      <c r="J523" s="10" t="n">
        <v>0</v>
      </c>
      <c r="K523" s="10" t="n">
        <v>0</v>
      </c>
      <c r="L523" s="10" t="n">
        <v>0</v>
      </c>
      <c r="M523" s="10" t="n">
        <v>0</v>
      </c>
      <c r="N523" s="10" t="n">
        <v>0</v>
      </c>
      <c r="P523" s="10" t="n">
        <v>54.7</v>
      </c>
      <c r="Q523" s="10">
        <f>A523&amp;"|"&amp;B523&amp;"|"&amp;C523&amp;"|"&amp;D523&amp;"|"&amp;E523&amp;"|"&amp;F523&amp;"|"&amp;G523&amp;"|"&amp;H523&amp;"|"&amp;I523&amp;"|"&amp;J523&amp;"|"&amp;K523&amp;"|"&amp;L523&amp;"|"&amp;M523&amp;"|"&amp;N523&amp;"|"&amp;O523&amp;"|"&amp;P523</f>
        <v/>
      </c>
      <c r="R523" s="10">
        <f>IF(COUNTIF($Q$2:$Q$1409,Q523)&gt;1,IF(COUNTIF($Q$2:Q523,Q523)=1,"Exact Duplicate - Keep First","Exact Duplicate - Remove"),"Unique")</f>
        <v/>
      </c>
    </row>
    <row r="524" ht="15" customHeight="1" s="11">
      <c r="A524" s="10" t="inlineStr">
        <is>
          <t>USR-100523</t>
        </is>
      </c>
      <c r="B524" s="14" t="n">
        <v>45760</v>
      </c>
      <c r="C524" s="10" t="inlineStr">
        <is>
          <t>Control</t>
        </is>
      </c>
      <c r="D524" s="10" t="inlineStr">
        <is>
          <t>South</t>
        </is>
      </c>
      <c r="E524" s="10" t="inlineStr">
        <is>
          <t>Mobile</t>
        </is>
      </c>
      <c r="F524" s="10" t="inlineStr">
        <is>
          <t>Organic</t>
        </is>
      </c>
      <c r="G524" s="10" t="inlineStr">
        <is>
          <t>Basic</t>
        </is>
      </c>
      <c r="H524" s="10" t="n">
        <v>1</v>
      </c>
      <c r="I524" s="10" t="n">
        <v>0</v>
      </c>
      <c r="J524" s="10" t="n">
        <v>0</v>
      </c>
      <c r="K524" s="10" t="n">
        <v>0</v>
      </c>
      <c r="L524" s="10" t="n">
        <v>0</v>
      </c>
      <c r="M524" s="10" t="n">
        <v>0</v>
      </c>
      <c r="N524" s="10" t="n">
        <v>0</v>
      </c>
      <c r="P524" s="10" t="n">
        <v>76.7</v>
      </c>
      <c r="Q524" s="10">
        <f>A524&amp;"|"&amp;B524&amp;"|"&amp;C524&amp;"|"&amp;D524&amp;"|"&amp;E524&amp;"|"&amp;F524&amp;"|"&amp;G524&amp;"|"&amp;H524&amp;"|"&amp;I524&amp;"|"&amp;J524&amp;"|"&amp;K524&amp;"|"&amp;L524&amp;"|"&amp;M524&amp;"|"&amp;N524&amp;"|"&amp;O524&amp;"|"&amp;P524</f>
        <v/>
      </c>
      <c r="R524" s="10">
        <f>IF(COUNTIF($Q$2:$Q$1409,Q524)&gt;1,IF(COUNTIF($Q$2:Q524,Q524)=1,"Exact Duplicate - Keep First","Exact Duplicate - Remove"),"Unique")</f>
        <v/>
      </c>
    </row>
    <row r="525" ht="15" customHeight="1" s="11">
      <c r="A525" s="10" t="inlineStr">
        <is>
          <t>USR-100524</t>
        </is>
      </c>
      <c r="B525" s="14" t="n">
        <v>45780</v>
      </c>
      <c r="C525" s="10" t="inlineStr">
        <is>
          <t>Control</t>
        </is>
      </c>
      <c r="D525" s="10" t="inlineStr">
        <is>
          <t>South</t>
        </is>
      </c>
      <c r="E525" s="10" t="inlineStr">
        <is>
          <t>Desktop</t>
        </is>
      </c>
      <c r="F525" s="10" t="inlineStr">
        <is>
          <t>Email</t>
        </is>
      </c>
      <c r="G525" s="10" t="inlineStr">
        <is>
          <t>Basic</t>
        </is>
      </c>
      <c r="H525" s="10" t="n">
        <v>1</v>
      </c>
      <c r="I525" s="10" t="n">
        <v>0</v>
      </c>
      <c r="J525" s="10" t="n">
        <v>0</v>
      </c>
      <c r="K525" s="10" t="n">
        <v>0</v>
      </c>
      <c r="L525" s="10" t="n">
        <v>0</v>
      </c>
      <c r="M525" s="10" t="n">
        <v>2</v>
      </c>
      <c r="N525" s="10" t="n">
        <v>0</v>
      </c>
      <c r="P525" s="10" t="n">
        <v>47.4</v>
      </c>
      <c r="Q525" s="10">
        <f>A525&amp;"|"&amp;B525&amp;"|"&amp;C525&amp;"|"&amp;D525&amp;"|"&amp;E525&amp;"|"&amp;F525&amp;"|"&amp;G525&amp;"|"&amp;H525&amp;"|"&amp;I525&amp;"|"&amp;J525&amp;"|"&amp;K525&amp;"|"&amp;L525&amp;"|"&amp;M525&amp;"|"&amp;N525&amp;"|"&amp;O525&amp;"|"&amp;P525</f>
        <v/>
      </c>
      <c r="R525" s="10">
        <f>IF(COUNTIF($Q$2:$Q$1409,Q525)&gt;1,IF(COUNTIF($Q$2:Q525,Q525)=1,"Exact Duplicate - Keep First","Exact Duplicate - Remove"),"Unique")</f>
        <v/>
      </c>
    </row>
    <row r="526" ht="15" customHeight="1" s="11">
      <c r="A526" s="10" t="inlineStr">
        <is>
          <t>USR-100525</t>
        </is>
      </c>
      <c r="B526" s="14" t="n">
        <v>45746</v>
      </c>
      <c r="C526" s="10" t="inlineStr">
        <is>
          <t>Control</t>
        </is>
      </c>
      <c r="D526" s="10" t="inlineStr">
        <is>
          <t>North</t>
        </is>
      </c>
      <c r="E526" s="10" t="inlineStr">
        <is>
          <t>Mobile</t>
        </is>
      </c>
      <c r="F526" s="10" t="inlineStr">
        <is>
          <t>Organic</t>
        </is>
      </c>
      <c r="G526" s="10" t="inlineStr">
        <is>
          <t>Free</t>
        </is>
      </c>
      <c r="H526" s="10" t="n">
        <v>1</v>
      </c>
      <c r="I526" s="10" t="n">
        <v>1</v>
      </c>
      <c r="J526" s="10" t="n">
        <v>1</v>
      </c>
      <c r="K526" s="10" t="n">
        <v>0</v>
      </c>
      <c r="L526" s="10" t="n">
        <v>0</v>
      </c>
      <c r="M526" s="10" t="n">
        <v>0</v>
      </c>
      <c r="N526" s="10" t="n">
        <v>0</v>
      </c>
      <c r="P526" s="10" t="n">
        <v>81.7</v>
      </c>
      <c r="Q526" s="10">
        <f>A526&amp;"|"&amp;B526&amp;"|"&amp;C526&amp;"|"&amp;D526&amp;"|"&amp;E526&amp;"|"&amp;F526&amp;"|"&amp;G526&amp;"|"&amp;H526&amp;"|"&amp;I526&amp;"|"&amp;J526&amp;"|"&amp;K526&amp;"|"&amp;L526&amp;"|"&amp;M526&amp;"|"&amp;N526&amp;"|"&amp;O526&amp;"|"&amp;P526</f>
        <v/>
      </c>
      <c r="R526" s="10">
        <f>IF(COUNTIF($Q$2:$Q$1409,Q526)&gt;1,IF(COUNTIF($Q$2:Q526,Q526)=1,"Exact Duplicate - Keep First","Exact Duplicate - Remove"),"Unique")</f>
        <v/>
      </c>
    </row>
    <row r="527" ht="15" customHeight="1" s="11">
      <c r="A527" s="10" t="inlineStr">
        <is>
          <t>USR-100526</t>
        </is>
      </c>
      <c r="B527" s="14" t="n">
        <v>45658</v>
      </c>
      <c r="C527" s="10" t="inlineStr">
        <is>
          <t>Control</t>
        </is>
      </c>
      <c r="D527" s="10" t="inlineStr">
        <is>
          <t>West</t>
        </is>
      </c>
      <c r="E527" s="10" t="inlineStr">
        <is>
          <t>Mobile</t>
        </is>
      </c>
      <c r="F527" s="10" t="inlineStr">
        <is>
          <t>Paid Search</t>
        </is>
      </c>
      <c r="G527" s="10" t="inlineStr">
        <is>
          <t>Basic</t>
        </is>
      </c>
      <c r="H527" s="10" t="n">
        <v>1</v>
      </c>
      <c r="I527" s="10" t="n">
        <v>1</v>
      </c>
      <c r="J527" s="10" t="n">
        <v>1</v>
      </c>
      <c r="K527" s="10" t="n">
        <v>0</v>
      </c>
      <c r="L527" s="10" t="n">
        <v>0</v>
      </c>
      <c r="M527" s="10" t="n">
        <v>0</v>
      </c>
      <c r="N527" s="10" t="n">
        <v>0</v>
      </c>
      <c r="P527" s="10" t="n">
        <v>67.5</v>
      </c>
      <c r="Q527" s="10">
        <f>A527&amp;"|"&amp;B527&amp;"|"&amp;C527&amp;"|"&amp;D527&amp;"|"&amp;E527&amp;"|"&amp;F527&amp;"|"&amp;G527&amp;"|"&amp;H527&amp;"|"&amp;I527&amp;"|"&amp;J527&amp;"|"&amp;K527&amp;"|"&amp;L527&amp;"|"&amp;M527&amp;"|"&amp;N527&amp;"|"&amp;O527&amp;"|"&amp;P527</f>
        <v/>
      </c>
      <c r="R527" s="10">
        <f>IF(COUNTIF($Q$2:$Q$1409,Q527)&gt;1,IF(COUNTIF($Q$2:Q527,Q527)=1,"Exact Duplicate - Keep First","Exact Duplicate - Remove"),"Unique")</f>
        <v/>
      </c>
    </row>
    <row r="528" ht="15" customHeight="1" s="11">
      <c r="A528" s="10" t="inlineStr">
        <is>
          <t>USR-100527</t>
        </is>
      </c>
      <c r="B528" s="14" t="n">
        <v>45694</v>
      </c>
      <c r="C528" s="10" t="inlineStr">
        <is>
          <t>Control</t>
        </is>
      </c>
      <c r="D528" s="10" t="inlineStr">
        <is>
          <t>West</t>
        </is>
      </c>
      <c r="E528" s="10" t="inlineStr">
        <is>
          <t>Mobile</t>
        </is>
      </c>
      <c r="F528" s="10" t="inlineStr">
        <is>
          <t>Paid Search</t>
        </is>
      </c>
      <c r="G528" s="10" t="inlineStr">
        <is>
          <t>Basic</t>
        </is>
      </c>
      <c r="H528" s="10" t="n">
        <v>1</v>
      </c>
      <c r="I528" s="10" t="n">
        <v>0</v>
      </c>
      <c r="J528" s="10" t="n">
        <v>0</v>
      </c>
      <c r="K528" s="10" t="n">
        <v>0</v>
      </c>
      <c r="L528" s="10" t="n">
        <v>0</v>
      </c>
      <c r="M528" s="10" t="n">
        <v>0</v>
      </c>
      <c r="N528" s="10" t="n">
        <v>0</v>
      </c>
      <c r="P528" s="10" t="n">
        <v>36.8</v>
      </c>
      <c r="Q528" s="10">
        <f>A528&amp;"|"&amp;B528&amp;"|"&amp;C528&amp;"|"&amp;D528&amp;"|"&amp;E528&amp;"|"&amp;F528&amp;"|"&amp;G528&amp;"|"&amp;H528&amp;"|"&amp;I528&amp;"|"&amp;J528&amp;"|"&amp;K528&amp;"|"&amp;L528&amp;"|"&amp;M528&amp;"|"&amp;N528&amp;"|"&amp;O528&amp;"|"&amp;P528</f>
        <v/>
      </c>
      <c r="R528" s="10">
        <f>IF(COUNTIF($Q$2:$Q$1409,Q528)&gt;1,IF(COUNTIF($Q$2:Q528,Q528)=1,"Exact Duplicate - Keep First","Exact Duplicate - Remove"),"Unique")</f>
        <v/>
      </c>
    </row>
    <row r="529" ht="15" customHeight="1" s="11">
      <c r="A529" s="10" t="inlineStr">
        <is>
          <t>USR-100528</t>
        </is>
      </c>
      <c r="B529" s="14" t="n">
        <v>45713</v>
      </c>
      <c r="C529" s="10" t="inlineStr">
        <is>
          <t>Control</t>
        </is>
      </c>
      <c r="D529" s="10" t="inlineStr">
        <is>
          <t>North</t>
        </is>
      </c>
      <c r="E529" s="10" t="inlineStr">
        <is>
          <t>Desktop</t>
        </is>
      </c>
      <c r="F529" s="10" t="inlineStr">
        <is>
          <t>Organic</t>
        </is>
      </c>
      <c r="G529" s="10" t="inlineStr">
        <is>
          <t>Free</t>
        </is>
      </c>
      <c r="H529" s="10" t="n">
        <v>0</v>
      </c>
      <c r="I529" s="10" t="n">
        <v>0</v>
      </c>
      <c r="J529" s="10" t="n">
        <v>0</v>
      </c>
      <c r="K529" s="10" t="n">
        <v>0</v>
      </c>
      <c r="L529" s="10" t="n">
        <v>0</v>
      </c>
      <c r="M529" s="10" t="n">
        <v>0</v>
      </c>
      <c r="N529" s="10" t="n">
        <v>0</v>
      </c>
      <c r="P529" s="10" t="n">
        <v>66.5</v>
      </c>
      <c r="Q529" s="10">
        <f>A529&amp;"|"&amp;B529&amp;"|"&amp;C529&amp;"|"&amp;D529&amp;"|"&amp;E529&amp;"|"&amp;F529&amp;"|"&amp;G529&amp;"|"&amp;H529&amp;"|"&amp;I529&amp;"|"&amp;J529&amp;"|"&amp;K529&amp;"|"&amp;L529&amp;"|"&amp;M529&amp;"|"&amp;N529&amp;"|"&amp;O529&amp;"|"&amp;P529</f>
        <v/>
      </c>
      <c r="R529" s="10">
        <f>IF(COUNTIF($Q$2:$Q$1409,Q529)&gt;1,IF(COUNTIF($Q$2:Q529,Q529)=1,"Exact Duplicate - Keep First","Exact Duplicate - Remove"),"Unique")</f>
        <v/>
      </c>
    </row>
    <row r="530" ht="15" customHeight="1" s="11">
      <c r="A530" s="10" t="inlineStr">
        <is>
          <t>USR-100529</t>
        </is>
      </c>
      <c r="B530" s="14" t="n">
        <v>45791</v>
      </c>
      <c r="C530" s="10" t="inlineStr">
        <is>
          <t>Control</t>
        </is>
      </c>
      <c r="D530" s="10" t="inlineStr">
        <is>
          <t>East</t>
        </is>
      </c>
      <c r="E530" s="10" t="inlineStr">
        <is>
          <t>Tablet</t>
        </is>
      </c>
      <c r="F530" s="10" t="inlineStr">
        <is>
          <t>Social</t>
        </is>
      </c>
      <c r="G530" s="10" t="inlineStr">
        <is>
          <t>Free</t>
        </is>
      </c>
      <c r="H530" s="10" t="n">
        <v>1</v>
      </c>
      <c r="I530" s="10" t="n">
        <v>0</v>
      </c>
      <c r="J530" s="10" t="n">
        <v>0</v>
      </c>
      <c r="K530" s="10" t="n">
        <v>0</v>
      </c>
      <c r="L530" s="10" t="n">
        <v>0</v>
      </c>
      <c r="M530" s="10" t="n">
        <v>0</v>
      </c>
      <c r="N530" s="10" t="n">
        <v>0</v>
      </c>
      <c r="P530" s="10" t="n">
        <v>35.4</v>
      </c>
      <c r="Q530" s="10">
        <f>A530&amp;"|"&amp;B530&amp;"|"&amp;C530&amp;"|"&amp;D530&amp;"|"&amp;E530&amp;"|"&amp;F530&amp;"|"&amp;G530&amp;"|"&amp;H530&amp;"|"&amp;I530&amp;"|"&amp;J530&amp;"|"&amp;K530&amp;"|"&amp;L530&amp;"|"&amp;M530&amp;"|"&amp;N530&amp;"|"&amp;O530&amp;"|"&amp;P530</f>
        <v/>
      </c>
      <c r="R530" s="10">
        <f>IF(COUNTIF($Q$2:$Q$1409,Q530)&gt;1,IF(COUNTIF($Q$2:Q530,Q530)=1,"Exact Duplicate - Keep First","Exact Duplicate - Remove"),"Unique")</f>
        <v/>
      </c>
    </row>
    <row r="531" ht="15" customHeight="1" s="11">
      <c r="A531" s="10" t="inlineStr">
        <is>
          <t>USR-100530</t>
        </is>
      </c>
      <c r="B531" s="14" t="n">
        <v>45797</v>
      </c>
      <c r="C531" s="10" t="inlineStr">
        <is>
          <t>Control</t>
        </is>
      </c>
      <c r="D531" s="10" t="inlineStr">
        <is>
          <t>South</t>
        </is>
      </c>
      <c r="E531" s="10" t="inlineStr">
        <is>
          <t>Mobile</t>
        </is>
      </c>
      <c r="F531" s="10" t="inlineStr">
        <is>
          <t>Organic</t>
        </is>
      </c>
      <c r="G531" s="10" t="inlineStr">
        <is>
          <t>Basic</t>
        </is>
      </c>
      <c r="H531" s="10" t="n">
        <v>0</v>
      </c>
      <c r="I531" s="10" t="n">
        <v>0</v>
      </c>
      <c r="J531" s="10" t="n">
        <v>0</v>
      </c>
      <c r="K531" s="10" t="n">
        <v>0</v>
      </c>
      <c r="L531" s="10" t="n">
        <v>0</v>
      </c>
      <c r="M531" s="10" t="n">
        <v>0</v>
      </c>
      <c r="N531" s="10" t="n">
        <v>0</v>
      </c>
      <c r="P531" s="10" t="n">
        <v>64.3</v>
      </c>
      <c r="Q531" s="10">
        <f>A531&amp;"|"&amp;B531&amp;"|"&amp;C531&amp;"|"&amp;D531&amp;"|"&amp;E531&amp;"|"&amp;F531&amp;"|"&amp;G531&amp;"|"&amp;H531&amp;"|"&amp;I531&amp;"|"&amp;J531&amp;"|"&amp;K531&amp;"|"&amp;L531&amp;"|"&amp;M531&amp;"|"&amp;N531&amp;"|"&amp;O531&amp;"|"&amp;P531</f>
        <v/>
      </c>
      <c r="R531" s="10">
        <f>IF(COUNTIF($Q$2:$Q$1409,Q531)&gt;1,IF(COUNTIF($Q$2:Q531,Q531)=1,"Exact Duplicate - Keep First","Exact Duplicate - Remove"),"Unique")</f>
        <v/>
      </c>
    </row>
    <row r="532" ht="15" customHeight="1" s="11">
      <c r="A532" s="10" t="inlineStr">
        <is>
          <t>USR-100531</t>
        </is>
      </c>
      <c r="B532" s="14" t="n">
        <v>45699</v>
      </c>
      <c r="C532" s="10" t="inlineStr">
        <is>
          <t>Control</t>
        </is>
      </c>
      <c r="D532" s="10" t="inlineStr">
        <is>
          <t>South</t>
        </is>
      </c>
      <c r="E532" s="10" t="inlineStr">
        <is>
          <t>Mobile</t>
        </is>
      </c>
      <c r="F532" s="10" t="inlineStr">
        <is>
          <t>Organic</t>
        </is>
      </c>
      <c r="G532" s="10" t="inlineStr">
        <is>
          <t>Free</t>
        </is>
      </c>
      <c r="H532" s="10" t="n">
        <v>0</v>
      </c>
      <c r="I532" s="10" t="n">
        <v>0</v>
      </c>
      <c r="J532" s="10" t="n">
        <v>0</v>
      </c>
      <c r="K532" s="10" t="n">
        <v>0</v>
      </c>
      <c r="L532" s="10" t="n">
        <v>0</v>
      </c>
      <c r="M532" s="10" t="n">
        <v>0</v>
      </c>
      <c r="N532" s="10" t="n">
        <v>0</v>
      </c>
      <c r="P532" s="10" t="n">
        <v>49.1</v>
      </c>
      <c r="Q532" s="10">
        <f>A532&amp;"|"&amp;B532&amp;"|"&amp;C532&amp;"|"&amp;D532&amp;"|"&amp;E532&amp;"|"&amp;F532&amp;"|"&amp;G532&amp;"|"&amp;H532&amp;"|"&amp;I532&amp;"|"&amp;J532&amp;"|"&amp;K532&amp;"|"&amp;L532&amp;"|"&amp;M532&amp;"|"&amp;N532&amp;"|"&amp;O532&amp;"|"&amp;P532</f>
        <v/>
      </c>
      <c r="R532" s="10">
        <f>IF(COUNTIF($Q$2:$Q$1409,Q532)&gt;1,IF(COUNTIF($Q$2:Q532,Q532)=1,"Exact Duplicate - Keep First","Exact Duplicate - Remove"),"Unique")</f>
        <v/>
      </c>
    </row>
    <row r="533" ht="15" customHeight="1" s="11">
      <c r="A533" s="10" t="inlineStr">
        <is>
          <t>USR-100532</t>
        </is>
      </c>
      <c r="B533" s="14" t="n">
        <v>45701</v>
      </c>
      <c r="C533" s="10" t="inlineStr">
        <is>
          <t>Control</t>
        </is>
      </c>
      <c r="D533" s="10" t="inlineStr">
        <is>
          <t>West</t>
        </is>
      </c>
      <c r="E533" s="10" t="inlineStr">
        <is>
          <t>Mobile</t>
        </is>
      </c>
      <c r="F533" s="10" t="inlineStr">
        <is>
          <t>Organic</t>
        </is>
      </c>
      <c r="G533" s="10" t="inlineStr">
        <is>
          <t>Free</t>
        </is>
      </c>
      <c r="H533" s="10" t="n">
        <v>1</v>
      </c>
      <c r="I533" s="10" t="n">
        <v>0</v>
      </c>
      <c r="J533" s="10" t="n">
        <v>0</v>
      </c>
      <c r="K533" s="10" t="n">
        <v>0</v>
      </c>
      <c r="L533" s="10" t="n">
        <v>0</v>
      </c>
      <c r="M533" s="10" t="n">
        <v>0</v>
      </c>
      <c r="N533" s="10" t="n">
        <v>0</v>
      </c>
      <c r="P533" s="10" t="n">
        <v>84.3</v>
      </c>
      <c r="Q533" s="10">
        <f>A533&amp;"|"&amp;B533&amp;"|"&amp;C533&amp;"|"&amp;D533&amp;"|"&amp;E533&amp;"|"&amp;F533&amp;"|"&amp;G533&amp;"|"&amp;H533&amp;"|"&amp;I533&amp;"|"&amp;J533&amp;"|"&amp;K533&amp;"|"&amp;L533&amp;"|"&amp;M533&amp;"|"&amp;N533&amp;"|"&amp;O533&amp;"|"&amp;P533</f>
        <v/>
      </c>
      <c r="R533" s="10">
        <f>IF(COUNTIF($Q$2:$Q$1409,Q533)&gt;1,IF(COUNTIF($Q$2:Q533,Q533)=1,"Exact Duplicate - Keep First","Exact Duplicate - Remove"),"Unique")</f>
        <v/>
      </c>
    </row>
    <row r="534" ht="15" customHeight="1" s="11">
      <c r="A534" s="10" t="inlineStr">
        <is>
          <t>USR-100533</t>
        </is>
      </c>
      <c r="B534" s="14" t="n">
        <v>45754</v>
      </c>
      <c r="C534" s="10" t="inlineStr">
        <is>
          <t>Control</t>
        </is>
      </c>
      <c r="D534" s="10" t="inlineStr">
        <is>
          <t>South</t>
        </is>
      </c>
      <c r="E534" s="10" t="inlineStr">
        <is>
          <t>Mobile</t>
        </is>
      </c>
      <c r="F534" s="10" t="inlineStr">
        <is>
          <t>Paid Search</t>
        </is>
      </c>
      <c r="G534" s="10" t="inlineStr">
        <is>
          <t>Premium</t>
        </is>
      </c>
      <c r="H534" s="10" t="n">
        <v>1</v>
      </c>
      <c r="I534" s="10" t="n">
        <v>0</v>
      </c>
      <c r="J534" s="10" t="n">
        <v>0</v>
      </c>
      <c r="K534" s="10" t="n">
        <v>0</v>
      </c>
      <c r="L534" s="10" t="n">
        <v>0</v>
      </c>
      <c r="M534" s="10" t="n">
        <v>0</v>
      </c>
      <c r="N534" s="10" t="n">
        <v>0</v>
      </c>
      <c r="P534" s="10" t="n">
        <v>65.59999999999999</v>
      </c>
      <c r="Q534" s="10">
        <f>A534&amp;"|"&amp;B534&amp;"|"&amp;C534&amp;"|"&amp;D534&amp;"|"&amp;E534&amp;"|"&amp;F534&amp;"|"&amp;G534&amp;"|"&amp;H534&amp;"|"&amp;I534&amp;"|"&amp;J534&amp;"|"&amp;K534&amp;"|"&amp;L534&amp;"|"&amp;M534&amp;"|"&amp;N534&amp;"|"&amp;O534&amp;"|"&amp;P534</f>
        <v/>
      </c>
      <c r="R534" s="10">
        <f>IF(COUNTIF($Q$2:$Q$1409,Q534)&gt;1,IF(COUNTIF($Q$2:Q534,Q534)=1,"Exact Duplicate - Keep First","Exact Duplicate - Remove"),"Unique")</f>
        <v/>
      </c>
    </row>
    <row r="535" ht="15" customHeight="1" s="11">
      <c r="A535" s="10" t="inlineStr">
        <is>
          <t>USR-100534</t>
        </is>
      </c>
      <c r="B535" s="14" t="n">
        <v>45724</v>
      </c>
      <c r="C535" s="10" t="inlineStr">
        <is>
          <t>Control</t>
        </is>
      </c>
      <c r="D535" s="10" t="inlineStr">
        <is>
          <t>East</t>
        </is>
      </c>
      <c r="E535" s="10" t="inlineStr">
        <is>
          <t>Mobile</t>
        </is>
      </c>
      <c r="F535" s="10" t="inlineStr">
        <is>
          <t>Email</t>
        </is>
      </c>
      <c r="G535" s="10" t="inlineStr">
        <is>
          <t>Free</t>
        </is>
      </c>
      <c r="H535" s="10" t="n">
        <v>1</v>
      </c>
      <c r="I535" s="10" t="n">
        <v>0</v>
      </c>
      <c r="J535" s="10" t="n">
        <v>0</v>
      </c>
      <c r="K535" s="10" t="n">
        <v>0</v>
      </c>
      <c r="L535" s="10" t="n">
        <v>0</v>
      </c>
      <c r="M535" s="10" t="n">
        <v>0</v>
      </c>
      <c r="N535" s="10" t="n">
        <v>0</v>
      </c>
      <c r="P535" s="10" t="n">
        <v>47.1</v>
      </c>
      <c r="Q535" s="10">
        <f>A535&amp;"|"&amp;B535&amp;"|"&amp;C535&amp;"|"&amp;D535&amp;"|"&amp;E535&amp;"|"&amp;F535&amp;"|"&amp;G535&amp;"|"&amp;H535&amp;"|"&amp;I535&amp;"|"&amp;J535&amp;"|"&amp;K535&amp;"|"&amp;L535&amp;"|"&amp;M535&amp;"|"&amp;N535&amp;"|"&amp;O535&amp;"|"&amp;P535</f>
        <v/>
      </c>
      <c r="R535" s="10">
        <f>IF(COUNTIF($Q$2:$Q$1409,Q535)&gt;1,IF(COUNTIF($Q$2:Q535,Q535)=1,"Exact Duplicate - Keep First","Exact Duplicate - Remove"),"Unique")</f>
        <v/>
      </c>
    </row>
    <row r="536" ht="15" customHeight="1" s="11">
      <c r="A536" s="10" t="inlineStr">
        <is>
          <t>USR-100535</t>
        </is>
      </c>
      <c r="B536" s="14" t="n">
        <v>45704</v>
      </c>
      <c r="C536" s="10" t="inlineStr">
        <is>
          <t>Control</t>
        </is>
      </c>
      <c r="D536" s="10" t="inlineStr">
        <is>
          <t>North</t>
        </is>
      </c>
      <c r="E536" s="10" t="inlineStr">
        <is>
          <t>Desktop</t>
        </is>
      </c>
      <c r="F536" s="10" t="inlineStr">
        <is>
          <t>Paid Search</t>
        </is>
      </c>
      <c r="G536" s="10" t="inlineStr">
        <is>
          <t>Free</t>
        </is>
      </c>
      <c r="H536" s="10" t="n">
        <v>1</v>
      </c>
      <c r="I536" s="10" t="n">
        <v>1</v>
      </c>
      <c r="J536" s="10" t="n">
        <v>1</v>
      </c>
      <c r="K536" s="10" t="n">
        <v>0</v>
      </c>
      <c r="L536" s="10" t="n">
        <v>0</v>
      </c>
      <c r="M536" s="10" t="n">
        <v>0</v>
      </c>
      <c r="N536" s="10" t="n">
        <v>0</v>
      </c>
      <c r="P536" s="10" t="n">
        <v>70</v>
      </c>
      <c r="Q536" s="10">
        <f>A536&amp;"|"&amp;B536&amp;"|"&amp;C536&amp;"|"&amp;D536&amp;"|"&amp;E536&amp;"|"&amp;F536&amp;"|"&amp;G536&amp;"|"&amp;H536&amp;"|"&amp;I536&amp;"|"&amp;J536&amp;"|"&amp;K536&amp;"|"&amp;L536&amp;"|"&amp;M536&amp;"|"&amp;N536&amp;"|"&amp;O536&amp;"|"&amp;P536</f>
        <v/>
      </c>
      <c r="R536" s="10">
        <f>IF(COUNTIF($Q$2:$Q$1409,Q536)&gt;1,IF(COUNTIF($Q$2:Q536,Q536)=1,"Exact Duplicate - Keep First","Exact Duplicate - Remove"),"Unique")</f>
        <v/>
      </c>
    </row>
    <row r="537" ht="15" customHeight="1" s="11">
      <c r="A537" s="10" t="inlineStr">
        <is>
          <t>USR-100536</t>
        </is>
      </c>
      <c r="B537" s="14" t="n">
        <v>45775</v>
      </c>
      <c r="C537" s="10" t="inlineStr">
        <is>
          <t>Control</t>
        </is>
      </c>
      <c r="D537" s="10" t="inlineStr">
        <is>
          <t>South</t>
        </is>
      </c>
      <c r="E537" s="10" t="inlineStr">
        <is>
          <t>Mobile</t>
        </is>
      </c>
      <c r="F537" s="10" t="inlineStr">
        <is>
          <t>Paid Search</t>
        </is>
      </c>
      <c r="G537" s="10" t="inlineStr">
        <is>
          <t>Premium</t>
        </is>
      </c>
      <c r="H537" s="10" t="n">
        <v>1</v>
      </c>
      <c r="I537" s="10" t="n">
        <v>0</v>
      </c>
      <c r="J537" s="10" t="n">
        <v>0</v>
      </c>
      <c r="K537" s="10" t="n">
        <v>0</v>
      </c>
      <c r="L537" s="10" t="n">
        <v>0</v>
      </c>
      <c r="M537" s="10" t="n">
        <v>0</v>
      </c>
      <c r="N537" s="10" t="n">
        <v>0</v>
      </c>
      <c r="P537" s="10" t="n">
        <v>54.6</v>
      </c>
      <c r="Q537" s="10">
        <f>A537&amp;"|"&amp;B537&amp;"|"&amp;C537&amp;"|"&amp;D537&amp;"|"&amp;E537&amp;"|"&amp;F537&amp;"|"&amp;G537&amp;"|"&amp;H537&amp;"|"&amp;I537&amp;"|"&amp;J537&amp;"|"&amp;K537&amp;"|"&amp;L537&amp;"|"&amp;M537&amp;"|"&amp;N537&amp;"|"&amp;O537&amp;"|"&amp;P537</f>
        <v/>
      </c>
      <c r="R537" s="10">
        <f>IF(COUNTIF($Q$2:$Q$1409,Q537)&gt;1,IF(COUNTIF($Q$2:Q537,Q537)=1,"Exact Duplicate - Keep First","Exact Duplicate - Remove"),"Unique")</f>
        <v/>
      </c>
    </row>
    <row r="538" ht="15" customHeight="1" s="11">
      <c r="A538" s="10" t="inlineStr">
        <is>
          <t>USR-100537</t>
        </is>
      </c>
      <c r="B538" s="14" t="n">
        <v>45726</v>
      </c>
      <c r="C538" s="10" t="inlineStr">
        <is>
          <t>Control</t>
        </is>
      </c>
      <c r="D538" s="10" t="inlineStr">
        <is>
          <t>West</t>
        </is>
      </c>
      <c r="E538" s="10" t="inlineStr">
        <is>
          <t>Tablet</t>
        </is>
      </c>
      <c r="F538" s="10" t="inlineStr">
        <is>
          <t>Social</t>
        </is>
      </c>
      <c r="G538" s="10" t="inlineStr">
        <is>
          <t>Basic</t>
        </is>
      </c>
      <c r="H538" s="10" t="n">
        <v>1</v>
      </c>
      <c r="I538" s="10" t="n">
        <v>1</v>
      </c>
      <c r="J538" s="10" t="n">
        <v>0</v>
      </c>
      <c r="K538" s="10" t="n">
        <v>0</v>
      </c>
      <c r="L538" s="10" t="n">
        <v>0</v>
      </c>
      <c r="M538" s="10" t="n">
        <v>1</v>
      </c>
      <c r="N538" s="10" t="n">
        <v>0</v>
      </c>
      <c r="P538" s="10" t="n">
        <v>65.2</v>
      </c>
      <c r="Q538" s="10">
        <f>A538&amp;"|"&amp;B538&amp;"|"&amp;C538&amp;"|"&amp;D538&amp;"|"&amp;E538&amp;"|"&amp;F538&amp;"|"&amp;G538&amp;"|"&amp;H538&amp;"|"&amp;I538&amp;"|"&amp;J538&amp;"|"&amp;K538&amp;"|"&amp;L538&amp;"|"&amp;M538&amp;"|"&amp;N538&amp;"|"&amp;O538&amp;"|"&amp;P538</f>
        <v/>
      </c>
      <c r="R538" s="10">
        <f>IF(COUNTIF($Q$2:$Q$1409,Q538)&gt;1,IF(COUNTIF($Q$2:Q538,Q538)=1,"Exact Duplicate - Keep First","Exact Duplicate - Remove"),"Unique")</f>
        <v/>
      </c>
    </row>
    <row r="539" ht="15" customHeight="1" s="11">
      <c r="A539" s="10" t="inlineStr">
        <is>
          <t>USR-100538</t>
        </is>
      </c>
      <c r="B539" s="14" t="n">
        <v>45682</v>
      </c>
      <c r="C539" s="10" t="inlineStr">
        <is>
          <t>Control</t>
        </is>
      </c>
      <c r="D539" s="10" t="inlineStr">
        <is>
          <t>East</t>
        </is>
      </c>
      <c r="E539" s="10" t="inlineStr">
        <is>
          <t>Mobile</t>
        </is>
      </c>
      <c r="F539" s="10" t="inlineStr">
        <is>
          <t>Social</t>
        </is>
      </c>
      <c r="G539" s="10" t="inlineStr">
        <is>
          <t>Free</t>
        </is>
      </c>
      <c r="H539" s="10" t="n">
        <v>1</v>
      </c>
      <c r="I539" s="10" t="n">
        <v>0</v>
      </c>
      <c r="J539" s="10" t="n">
        <v>0</v>
      </c>
      <c r="K539" s="10" t="n">
        <v>0</v>
      </c>
      <c r="L539" s="10" t="n">
        <v>0</v>
      </c>
      <c r="M539" s="10" t="n">
        <v>0</v>
      </c>
      <c r="N539" s="10" t="n">
        <v>0</v>
      </c>
      <c r="P539" s="10" t="n">
        <v>65</v>
      </c>
      <c r="Q539" s="10">
        <f>A539&amp;"|"&amp;B539&amp;"|"&amp;C539&amp;"|"&amp;D539&amp;"|"&amp;E539&amp;"|"&amp;F539&amp;"|"&amp;G539&amp;"|"&amp;H539&amp;"|"&amp;I539&amp;"|"&amp;J539&amp;"|"&amp;K539&amp;"|"&amp;L539&amp;"|"&amp;M539&amp;"|"&amp;N539&amp;"|"&amp;O539&amp;"|"&amp;P539</f>
        <v/>
      </c>
      <c r="R539" s="10">
        <f>IF(COUNTIF($Q$2:$Q$1409,Q539)&gt;1,IF(COUNTIF($Q$2:Q539,Q539)=1,"Exact Duplicate - Keep First","Exact Duplicate - Remove"),"Unique")</f>
        <v/>
      </c>
    </row>
    <row r="540" ht="15" customHeight="1" s="11">
      <c r="A540" s="10" t="inlineStr">
        <is>
          <t>USR-100539</t>
        </is>
      </c>
      <c r="B540" s="14" t="n">
        <v>45668</v>
      </c>
      <c r="C540" s="10" t="inlineStr">
        <is>
          <t>Control</t>
        </is>
      </c>
      <c r="D540" s="10" t="inlineStr">
        <is>
          <t>West</t>
        </is>
      </c>
      <c r="E540" s="10" t="inlineStr">
        <is>
          <t>Mobile</t>
        </is>
      </c>
      <c r="F540" s="10" t="inlineStr">
        <is>
          <t>Paid Search</t>
        </is>
      </c>
      <c r="G540" s="10" t="inlineStr">
        <is>
          <t>Premium</t>
        </is>
      </c>
      <c r="H540" s="10" t="n">
        <v>1</v>
      </c>
      <c r="I540" s="10" t="n">
        <v>1</v>
      </c>
      <c r="J540" s="10" t="n">
        <v>1</v>
      </c>
      <c r="K540" s="10" t="n">
        <v>0</v>
      </c>
      <c r="L540" s="10" t="n">
        <v>0</v>
      </c>
      <c r="M540" s="10" t="n">
        <v>1</v>
      </c>
      <c r="N540" s="10" t="n">
        <v>0</v>
      </c>
      <c r="P540" s="10" t="n">
        <v>42.1</v>
      </c>
      <c r="Q540" s="10">
        <f>A540&amp;"|"&amp;B540&amp;"|"&amp;C540&amp;"|"&amp;D540&amp;"|"&amp;E540&amp;"|"&amp;F540&amp;"|"&amp;G540&amp;"|"&amp;H540&amp;"|"&amp;I540&amp;"|"&amp;J540&amp;"|"&amp;K540&amp;"|"&amp;L540&amp;"|"&amp;M540&amp;"|"&amp;N540&amp;"|"&amp;O540&amp;"|"&amp;P540</f>
        <v/>
      </c>
      <c r="R540" s="10">
        <f>IF(COUNTIF($Q$2:$Q$1409,Q540)&gt;1,IF(COUNTIF($Q$2:Q540,Q540)=1,"Exact Duplicate - Keep First","Exact Duplicate - Remove"),"Unique")</f>
        <v/>
      </c>
    </row>
    <row r="541" ht="15" customHeight="1" s="11">
      <c r="A541" s="10" t="inlineStr">
        <is>
          <t>USR-100540</t>
        </is>
      </c>
      <c r="B541" s="14" t="n">
        <v>45747</v>
      </c>
      <c r="C541" s="10" t="inlineStr">
        <is>
          <t>Control</t>
        </is>
      </c>
      <c r="D541" s="10" t="inlineStr">
        <is>
          <t>West</t>
        </is>
      </c>
      <c r="E541" s="10" t="inlineStr">
        <is>
          <t>Tablet</t>
        </is>
      </c>
      <c r="F541" s="10" t="inlineStr">
        <is>
          <t>Paid Search</t>
        </is>
      </c>
      <c r="G541" s="10" t="inlineStr">
        <is>
          <t>Free</t>
        </is>
      </c>
      <c r="H541" s="10" t="n">
        <v>1</v>
      </c>
      <c r="I541" s="10" t="n">
        <v>0</v>
      </c>
      <c r="J541" s="10" t="n">
        <v>0</v>
      </c>
      <c r="K541" s="10" t="n">
        <v>0</v>
      </c>
      <c r="L541" s="10" t="n">
        <v>0</v>
      </c>
      <c r="M541" s="10" t="n">
        <v>0</v>
      </c>
      <c r="N541" s="10" t="n">
        <v>0</v>
      </c>
      <c r="P541" s="10" t="n">
        <v>43.4</v>
      </c>
      <c r="Q541" s="10">
        <f>A541&amp;"|"&amp;B541&amp;"|"&amp;C541&amp;"|"&amp;D541&amp;"|"&amp;E541&amp;"|"&amp;F541&amp;"|"&amp;G541&amp;"|"&amp;H541&amp;"|"&amp;I541&amp;"|"&amp;J541&amp;"|"&amp;K541&amp;"|"&amp;L541&amp;"|"&amp;M541&amp;"|"&amp;N541&amp;"|"&amp;O541&amp;"|"&amp;P541</f>
        <v/>
      </c>
      <c r="R541" s="10">
        <f>IF(COUNTIF($Q$2:$Q$1409,Q541)&gt;1,IF(COUNTIF($Q$2:Q541,Q541)=1,"Exact Duplicate - Keep First","Exact Duplicate - Remove"),"Unique")</f>
        <v/>
      </c>
    </row>
    <row r="542" ht="15" customHeight="1" s="11">
      <c r="A542" s="10" t="inlineStr">
        <is>
          <t>USR-100541</t>
        </is>
      </c>
      <c r="B542" s="14" t="n">
        <v>45799</v>
      </c>
      <c r="C542" s="10" t="inlineStr">
        <is>
          <t>Control</t>
        </is>
      </c>
      <c r="D542" s="10" t="inlineStr">
        <is>
          <t>North</t>
        </is>
      </c>
      <c r="E542" s="10" t="inlineStr">
        <is>
          <t>Mobile</t>
        </is>
      </c>
      <c r="F542" s="10" t="inlineStr">
        <is>
          <t>Paid Search</t>
        </is>
      </c>
      <c r="G542" s="10" t="inlineStr">
        <is>
          <t>Basic</t>
        </is>
      </c>
      <c r="H542" s="10" t="n">
        <v>1</v>
      </c>
      <c r="I542" s="10" t="n">
        <v>1</v>
      </c>
      <c r="J542" s="10" t="n">
        <v>0</v>
      </c>
      <c r="K542" s="10" t="n">
        <v>0</v>
      </c>
      <c r="L542" s="10" t="n">
        <v>0</v>
      </c>
      <c r="M542" s="10" t="n">
        <v>0</v>
      </c>
      <c r="N542" s="10" t="n">
        <v>0</v>
      </c>
      <c r="P542" s="10" t="n">
        <v>39.9</v>
      </c>
      <c r="Q542" s="10">
        <f>A542&amp;"|"&amp;B542&amp;"|"&amp;C542&amp;"|"&amp;D542&amp;"|"&amp;E542&amp;"|"&amp;F542&amp;"|"&amp;G542&amp;"|"&amp;H542&amp;"|"&amp;I542&amp;"|"&amp;J542&amp;"|"&amp;K542&amp;"|"&amp;L542&amp;"|"&amp;M542&amp;"|"&amp;N542&amp;"|"&amp;O542&amp;"|"&amp;P542</f>
        <v/>
      </c>
      <c r="R542" s="10">
        <f>IF(COUNTIF($Q$2:$Q$1409,Q542)&gt;1,IF(COUNTIF($Q$2:Q542,Q542)=1,"Exact Duplicate - Keep First","Exact Duplicate - Remove"),"Unique")</f>
        <v/>
      </c>
    </row>
    <row r="543" ht="15" customHeight="1" s="11">
      <c r="A543" s="10" t="inlineStr">
        <is>
          <t>USR-100542</t>
        </is>
      </c>
      <c r="B543" s="14" t="n">
        <v>45793</v>
      </c>
      <c r="C543" s="10" t="inlineStr">
        <is>
          <t>Control</t>
        </is>
      </c>
      <c r="D543" s="10" t="inlineStr">
        <is>
          <t>North</t>
        </is>
      </c>
      <c r="E543" s="10" t="inlineStr">
        <is>
          <t>Mobile</t>
        </is>
      </c>
      <c r="F543" s="10" t="inlineStr">
        <is>
          <t>Referral</t>
        </is>
      </c>
      <c r="G543" s="10" t="inlineStr">
        <is>
          <t>Basic</t>
        </is>
      </c>
      <c r="H543" s="10" t="n">
        <v>0</v>
      </c>
      <c r="I543" s="10" t="n">
        <v>0</v>
      </c>
      <c r="J543" s="10" t="n">
        <v>0</v>
      </c>
      <c r="K543" s="10" t="n">
        <v>0</v>
      </c>
      <c r="L543" s="10" t="n">
        <v>0</v>
      </c>
      <c r="M543" s="10" t="n">
        <v>0</v>
      </c>
      <c r="N543" s="10" t="n">
        <v>0</v>
      </c>
      <c r="P543" s="10" t="n">
        <v>74.09999999999999</v>
      </c>
      <c r="Q543" s="10">
        <f>A543&amp;"|"&amp;B543&amp;"|"&amp;C543&amp;"|"&amp;D543&amp;"|"&amp;E543&amp;"|"&amp;F543&amp;"|"&amp;G543&amp;"|"&amp;H543&amp;"|"&amp;I543&amp;"|"&amp;J543&amp;"|"&amp;K543&amp;"|"&amp;L543&amp;"|"&amp;M543&amp;"|"&amp;N543&amp;"|"&amp;O543&amp;"|"&amp;P543</f>
        <v/>
      </c>
      <c r="R543" s="10">
        <f>IF(COUNTIF($Q$2:$Q$1409,Q543)&gt;1,IF(COUNTIF($Q$2:Q543,Q543)=1,"Exact Duplicate - Keep First","Exact Duplicate - Remove"),"Unique")</f>
        <v/>
      </c>
    </row>
    <row r="544" ht="15" customHeight="1" s="11">
      <c r="A544" s="10" t="inlineStr">
        <is>
          <t>USR-100543</t>
        </is>
      </c>
      <c r="B544" s="14" t="n">
        <v>45772</v>
      </c>
      <c r="C544" s="10" t="inlineStr">
        <is>
          <t>Control</t>
        </is>
      </c>
      <c r="D544" s="10" t="inlineStr">
        <is>
          <t>East</t>
        </is>
      </c>
      <c r="E544" s="10" t="inlineStr">
        <is>
          <t>Desktop</t>
        </is>
      </c>
      <c r="F544" s="10" t="inlineStr">
        <is>
          <t>Paid Search</t>
        </is>
      </c>
      <c r="G544" s="10" t="inlineStr">
        <is>
          <t>Free</t>
        </is>
      </c>
      <c r="H544" s="10" t="n">
        <v>1</v>
      </c>
      <c r="I544" s="10" t="n">
        <v>0</v>
      </c>
      <c r="J544" s="10" t="n">
        <v>0</v>
      </c>
      <c r="K544" s="10" t="n">
        <v>0</v>
      </c>
      <c r="L544" s="10" t="n">
        <v>0</v>
      </c>
      <c r="M544" s="10" t="n">
        <v>0</v>
      </c>
      <c r="N544" s="10" t="n">
        <v>0</v>
      </c>
      <c r="P544" s="10" t="n">
        <v>61.4</v>
      </c>
      <c r="Q544" s="10">
        <f>A544&amp;"|"&amp;B544&amp;"|"&amp;C544&amp;"|"&amp;D544&amp;"|"&amp;E544&amp;"|"&amp;F544&amp;"|"&amp;G544&amp;"|"&amp;H544&amp;"|"&amp;I544&amp;"|"&amp;J544&amp;"|"&amp;K544&amp;"|"&amp;L544&amp;"|"&amp;M544&amp;"|"&amp;N544&amp;"|"&amp;O544&amp;"|"&amp;P544</f>
        <v/>
      </c>
      <c r="R544" s="10">
        <f>IF(COUNTIF($Q$2:$Q$1409,Q544)&gt;1,IF(COUNTIF($Q$2:Q544,Q544)=1,"Exact Duplicate - Keep First","Exact Duplicate - Remove"),"Unique")</f>
        <v/>
      </c>
    </row>
    <row r="545" ht="15" customHeight="1" s="11">
      <c r="A545" s="10" t="inlineStr">
        <is>
          <t>USR-100544</t>
        </is>
      </c>
      <c r="B545" s="14" t="n">
        <v>45764</v>
      </c>
      <c r="C545" s="10" t="inlineStr">
        <is>
          <t>Control</t>
        </is>
      </c>
      <c r="D545" s="10" t="inlineStr">
        <is>
          <t>East</t>
        </is>
      </c>
      <c r="E545" s="10" t="inlineStr">
        <is>
          <t>Mobile</t>
        </is>
      </c>
      <c r="F545" s="10" t="inlineStr">
        <is>
          <t>Social</t>
        </is>
      </c>
      <c r="G545" s="10" t="inlineStr">
        <is>
          <t>Premium</t>
        </is>
      </c>
      <c r="H545" s="10" t="n">
        <v>1</v>
      </c>
      <c r="I545" s="10" t="n">
        <v>1</v>
      </c>
      <c r="J545" s="10" t="n">
        <v>1</v>
      </c>
      <c r="K545" s="10" t="n">
        <v>0</v>
      </c>
      <c r="L545" s="10" t="n">
        <v>0</v>
      </c>
      <c r="M545" s="10" t="n">
        <v>0</v>
      </c>
      <c r="N545" s="10" t="n">
        <v>0</v>
      </c>
      <c r="P545" s="10" t="n">
        <v>76.8</v>
      </c>
      <c r="Q545" s="10">
        <f>A545&amp;"|"&amp;B545&amp;"|"&amp;C545&amp;"|"&amp;D545&amp;"|"&amp;E545&amp;"|"&amp;F545&amp;"|"&amp;G545&amp;"|"&amp;H545&amp;"|"&amp;I545&amp;"|"&amp;J545&amp;"|"&amp;K545&amp;"|"&amp;L545&amp;"|"&amp;M545&amp;"|"&amp;N545&amp;"|"&amp;O545&amp;"|"&amp;P545</f>
        <v/>
      </c>
      <c r="R545" s="10">
        <f>IF(COUNTIF($Q$2:$Q$1409,Q545)&gt;1,IF(COUNTIF($Q$2:Q545,Q545)=1,"Exact Duplicate - Keep First","Exact Duplicate - Remove"),"Unique")</f>
        <v/>
      </c>
    </row>
    <row r="546" ht="15" customHeight="1" s="11">
      <c r="A546" s="10" t="inlineStr">
        <is>
          <t>USR-100545</t>
        </is>
      </c>
      <c r="B546" s="14" t="n">
        <v>45658</v>
      </c>
      <c r="C546" s="10" t="inlineStr">
        <is>
          <t>Control</t>
        </is>
      </c>
      <c r="D546" s="10" t="inlineStr">
        <is>
          <t>South</t>
        </is>
      </c>
      <c r="E546" s="10" t="inlineStr">
        <is>
          <t>Desktop</t>
        </is>
      </c>
      <c r="F546" s="10" t="inlineStr">
        <is>
          <t>Social</t>
        </is>
      </c>
      <c r="G546" s="10" t="inlineStr">
        <is>
          <t>Basic</t>
        </is>
      </c>
      <c r="H546" s="10" t="n">
        <v>0</v>
      </c>
      <c r="I546" s="10" t="n">
        <v>0</v>
      </c>
      <c r="J546" s="10" t="n">
        <v>0</v>
      </c>
      <c r="K546" s="10" t="n">
        <v>0</v>
      </c>
      <c r="L546" s="10" t="n">
        <v>0</v>
      </c>
      <c r="M546" s="10" t="n">
        <v>0</v>
      </c>
      <c r="N546" s="10" t="n">
        <v>0</v>
      </c>
      <c r="Q546" s="10">
        <f>A546&amp;"|"&amp;B546&amp;"|"&amp;C546&amp;"|"&amp;D546&amp;"|"&amp;E546&amp;"|"&amp;F546&amp;"|"&amp;G546&amp;"|"&amp;H546&amp;"|"&amp;I546&amp;"|"&amp;J546&amp;"|"&amp;K546&amp;"|"&amp;L546&amp;"|"&amp;M546&amp;"|"&amp;N546&amp;"|"&amp;O546&amp;"|"&amp;P546</f>
        <v/>
      </c>
      <c r="R546" s="10">
        <f>IF(COUNTIF($Q$2:$Q$1409,Q546)&gt;1,IF(COUNTIF($Q$2:Q546,Q546)=1,"Exact Duplicate - Keep First","Exact Duplicate - Remove"),"Unique")</f>
        <v/>
      </c>
    </row>
    <row r="547" ht="15" customHeight="1" s="11">
      <c r="A547" s="10" t="inlineStr">
        <is>
          <t>USR-100546</t>
        </is>
      </c>
      <c r="B547" s="14" t="n">
        <v>45734</v>
      </c>
      <c r="C547" s="10" t="inlineStr">
        <is>
          <t>Control</t>
        </is>
      </c>
      <c r="D547" s="10" t="inlineStr">
        <is>
          <t>East</t>
        </is>
      </c>
      <c r="E547" s="10" t="inlineStr">
        <is>
          <t>Mobile</t>
        </is>
      </c>
      <c r="F547" s="10" t="inlineStr">
        <is>
          <t>Paid Search</t>
        </is>
      </c>
      <c r="G547" s="10" t="inlineStr">
        <is>
          <t>Basic</t>
        </is>
      </c>
      <c r="H547" s="10" t="n">
        <v>1</v>
      </c>
      <c r="I547" s="10" t="n">
        <v>1</v>
      </c>
      <c r="J547" s="10" t="n">
        <v>1</v>
      </c>
      <c r="K547" s="10" t="n">
        <v>0</v>
      </c>
      <c r="L547" s="10" t="n">
        <v>0</v>
      </c>
      <c r="M547" s="10" t="n">
        <v>0</v>
      </c>
      <c r="N547" s="10" t="n">
        <v>0</v>
      </c>
      <c r="P547" s="10" t="n">
        <v>45.3</v>
      </c>
      <c r="Q547" s="10">
        <f>A547&amp;"|"&amp;B547&amp;"|"&amp;C547&amp;"|"&amp;D547&amp;"|"&amp;E547&amp;"|"&amp;F547&amp;"|"&amp;G547&amp;"|"&amp;H547&amp;"|"&amp;I547&amp;"|"&amp;J547&amp;"|"&amp;K547&amp;"|"&amp;L547&amp;"|"&amp;M547&amp;"|"&amp;N547&amp;"|"&amp;O547&amp;"|"&amp;P547</f>
        <v/>
      </c>
      <c r="R547" s="10">
        <f>IF(COUNTIF($Q$2:$Q$1409,Q547)&gt;1,IF(COUNTIF($Q$2:Q547,Q547)=1,"Exact Duplicate - Keep First","Exact Duplicate - Remove"),"Unique")</f>
        <v/>
      </c>
    </row>
    <row r="548" ht="15" customHeight="1" s="11">
      <c r="A548" s="10" t="inlineStr">
        <is>
          <t>USR-100547</t>
        </is>
      </c>
      <c r="B548" s="14" t="n">
        <v>45797</v>
      </c>
      <c r="C548" s="10" t="inlineStr">
        <is>
          <t>Control</t>
        </is>
      </c>
      <c r="D548" s="10" t="inlineStr">
        <is>
          <t>North</t>
        </is>
      </c>
      <c r="E548" s="10" t="inlineStr">
        <is>
          <t>Tablet</t>
        </is>
      </c>
      <c r="F548" s="10" t="inlineStr">
        <is>
          <t>Paid Search</t>
        </is>
      </c>
      <c r="G548" s="10" t="inlineStr">
        <is>
          <t>Free</t>
        </is>
      </c>
      <c r="H548" s="10" t="n">
        <v>1</v>
      </c>
      <c r="I548" s="10" t="n">
        <v>0</v>
      </c>
      <c r="J548" s="10" t="n">
        <v>0</v>
      </c>
      <c r="K548" s="10" t="n">
        <v>0</v>
      </c>
      <c r="L548" s="10" t="n">
        <v>0</v>
      </c>
      <c r="M548" s="10" t="n">
        <v>0</v>
      </c>
      <c r="N548" s="10" t="n">
        <v>0</v>
      </c>
      <c r="P548" s="10" t="n">
        <v>41.4</v>
      </c>
      <c r="Q548" s="10">
        <f>A548&amp;"|"&amp;B548&amp;"|"&amp;C548&amp;"|"&amp;D548&amp;"|"&amp;E548&amp;"|"&amp;F548&amp;"|"&amp;G548&amp;"|"&amp;H548&amp;"|"&amp;I548&amp;"|"&amp;J548&amp;"|"&amp;K548&amp;"|"&amp;L548&amp;"|"&amp;M548&amp;"|"&amp;N548&amp;"|"&amp;O548&amp;"|"&amp;P548</f>
        <v/>
      </c>
      <c r="R548" s="10">
        <f>IF(COUNTIF($Q$2:$Q$1409,Q548)&gt;1,IF(COUNTIF($Q$2:Q548,Q548)=1,"Exact Duplicate - Keep First","Exact Duplicate - Remove"),"Unique")</f>
        <v/>
      </c>
    </row>
    <row r="549" ht="15" customHeight="1" s="11">
      <c r="A549" s="10" t="inlineStr">
        <is>
          <t>USR-100548</t>
        </is>
      </c>
      <c r="B549" s="14" t="n">
        <v>45732</v>
      </c>
      <c r="C549" s="10" t="inlineStr">
        <is>
          <t>Control</t>
        </is>
      </c>
      <c r="D549" s="10" t="inlineStr">
        <is>
          <t>North</t>
        </is>
      </c>
      <c r="E549" s="10" t="inlineStr">
        <is>
          <t>Mobile</t>
        </is>
      </c>
      <c r="F549" s="10" t="inlineStr">
        <is>
          <t>Organic</t>
        </is>
      </c>
      <c r="G549" s="10" t="inlineStr">
        <is>
          <t>Basic</t>
        </is>
      </c>
      <c r="H549" s="10" t="n">
        <v>1</v>
      </c>
      <c r="I549" s="10" t="n">
        <v>0</v>
      </c>
      <c r="J549" s="10" t="n">
        <v>0</v>
      </c>
      <c r="K549" s="10" t="n">
        <v>0</v>
      </c>
      <c r="L549" s="10" t="n">
        <v>0</v>
      </c>
      <c r="M549" s="10" t="n">
        <v>0</v>
      </c>
      <c r="N549" s="10" t="n">
        <v>0</v>
      </c>
      <c r="P549" s="10" t="n">
        <v>37.1</v>
      </c>
      <c r="Q549" s="10">
        <f>A549&amp;"|"&amp;B549&amp;"|"&amp;C549&amp;"|"&amp;D549&amp;"|"&amp;E549&amp;"|"&amp;F549&amp;"|"&amp;G549&amp;"|"&amp;H549&amp;"|"&amp;I549&amp;"|"&amp;J549&amp;"|"&amp;K549&amp;"|"&amp;L549&amp;"|"&amp;M549&amp;"|"&amp;N549&amp;"|"&amp;O549&amp;"|"&amp;P549</f>
        <v/>
      </c>
      <c r="R549" s="10">
        <f>IF(COUNTIF($Q$2:$Q$1409,Q549)&gt;1,IF(COUNTIF($Q$2:Q549,Q549)=1,"Exact Duplicate - Keep First","Exact Duplicate - Remove"),"Unique")</f>
        <v/>
      </c>
    </row>
    <row r="550" ht="15" customHeight="1" s="11">
      <c r="A550" s="10" t="inlineStr">
        <is>
          <t>USR-100549</t>
        </is>
      </c>
      <c r="B550" s="14" t="n">
        <v>45807</v>
      </c>
      <c r="C550" s="10" t="inlineStr">
        <is>
          <t>Control</t>
        </is>
      </c>
      <c r="D550" s="10" t="inlineStr">
        <is>
          <t>East</t>
        </is>
      </c>
      <c r="E550" s="10" t="inlineStr">
        <is>
          <t>Desktop</t>
        </is>
      </c>
      <c r="F550" s="10" t="inlineStr">
        <is>
          <t>Social</t>
        </is>
      </c>
      <c r="G550" s="10" t="inlineStr">
        <is>
          <t>Free</t>
        </is>
      </c>
      <c r="H550" s="10" t="n">
        <v>1</v>
      </c>
      <c r="I550" s="10" t="n">
        <v>0</v>
      </c>
      <c r="J550" s="10" t="n">
        <v>0</v>
      </c>
      <c r="K550" s="10" t="n">
        <v>0</v>
      </c>
      <c r="L550" s="10" t="n">
        <v>0</v>
      </c>
      <c r="M550" s="10" t="n">
        <v>0</v>
      </c>
      <c r="N550" s="10" t="n">
        <v>0</v>
      </c>
      <c r="P550" s="10" t="n">
        <v>40.7</v>
      </c>
      <c r="Q550" s="10">
        <f>A550&amp;"|"&amp;B550&amp;"|"&amp;C550&amp;"|"&amp;D550&amp;"|"&amp;E550&amp;"|"&amp;F550&amp;"|"&amp;G550&amp;"|"&amp;H550&amp;"|"&amp;I550&amp;"|"&amp;J550&amp;"|"&amp;K550&amp;"|"&amp;L550&amp;"|"&amp;M550&amp;"|"&amp;N550&amp;"|"&amp;O550&amp;"|"&amp;P550</f>
        <v/>
      </c>
      <c r="R550" s="10">
        <f>IF(COUNTIF($Q$2:$Q$1409,Q550)&gt;1,IF(COUNTIF($Q$2:Q550,Q550)=1,"Exact Duplicate - Keep First","Exact Duplicate - Remove"),"Unique")</f>
        <v/>
      </c>
    </row>
    <row r="551" ht="15" customHeight="1" s="11">
      <c r="A551" s="10" t="inlineStr">
        <is>
          <t>USR-100550</t>
        </is>
      </c>
      <c r="B551" s="14" t="n">
        <v>45708</v>
      </c>
      <c r="C551" s="10" t="inlineStr">
        <is>
          <t>Control</t>
        </is>
      </c>
      <c r="D551" s="10" t="inlineStr">
        <is>
          <t>North</t>
        </is>
      </c>
      <c r="E551" s="10" t="inlineStr">
        <is>
          <t>Mobile</t>
        </is>
      </c>
      <c r="F551" s="10" t="inlineStr">
        <is>
          <t>Social</t>
        </is>
      </c>
      <c r="G551" s="10" t="inlineStr">
        <is>
          <t>Premium</t>
        </is>
      </c>
      <c r="H551" s="10" t="n">
        <v>0</v>
      </c>
      <c r="I551" s="10" t="n">
        <v>0</v>
      </c>
      <c r="J551" s="10" t="n">
        <v>0</v>
      </c>
      <c r="K551" s="10" t="n">
        <v>0</v>
      </c>
      <c r="L551" s="10" t="n">
        <v>0</v>
      </c>
      <c r="M551" s="10" t="n">
        <v>2</v>
      </c>
      <c r="N551" s="10" t="n">
        <v>0</v>
      </c>
      <c r="P551" s="10" t="n">
        <v>55.9</v>
      </c>
      <c r="Q551" s="10">
        <f>A551&amp;"|"&amp;B551&amp;"|"&amp;C551&amp;"|"&amp;D551&amp;"|"&amp;E551&amp;"|"&amp;F551&amp;"|"&amp;G551&amp;"|"&amp;H551&amp;"|"&amp;I551&amp;"|"&amp;J551&amp;"|"&amp;K551&amp;"|"&amp;L551&amp;"|"&amp;M551&amp;"|"&amp;N551&amp;"|"&amp;O551&amp;"|"&amp;P551</f>
        <v/>
      </c>
      <c r="R551" s="10">
        <f>IF(COUNTIF($Q$2:$Q$1409,Q551)&gt;1,IF(COUNTIF($Q$2:Q551,Q551)=1,"Exact Duplicate - Keep First","Exact Duplicate - Remove"),"Unique")</f>
        <v/>
      </c>
    </row>
    <row r="552" ht="15" customHeight="1" s="11">
      <c r="A552" s="10" t="inlineStr">
        <is>
          <t>USR-100551</t>
        </is>
      </c>
      <c r="B552" s="14" t="n">
        <v>45699</v>
      </c>
      <c r="C552" s="10" t="inlineStr">
        <is>
          <t>Control</t>
        </is>
      </c>
      <c r="D552" s="10" t="inlineStr">
        <is>
          <t>East</t>
        </is>
      </c>
      <c r="F552" s="10" t="inlineStr">
        <is>
          <t>Social</t>
        </is>
      </c>
      <c r="G552" s="10" t="inlineStr">
        <is>
          <t>Free</t>
        </is>
      </c>
      <c r="H552" s="10" t="n">
        <v>1</v>
      </c>
      <c r="I552" s="10" t="n">
        <v>1</v>
      </c>
      <c r="J552" s="10" t="n">
        <v>0</v>
      </c>
      <c r="K552" s="10" t="n">
        <v>0</v>
      </c>
      <c r="L552" s="10" t="n">
        <v>0</v>
      </c>
      <c r="M552" s="10" t="n">
        <v>0</v>
      </c>
      <c r="N552" s="10" t="n">
        <v>0</v>
      </c>
      <c r="P552" s="10" t="n">
        <v>55.8</v>
      </c>
      <c r="Q552" s="10">
        <f>A552&amp;"|"&amp;B552&amp;"|"&amp;C552&amp;"|"&amp;D552&amp;"|"&amp;E552&amp;"|"&amp;F552&amp;"|"&amp;G552&amp;"|"&amp;H552&amp;"|"&amp;I552&amp;"|"&amp;J552&amp;"|"&amp;K552&amp;"|"&amp;L552&amp;"|"&amp;M552&amp;"|"&amp;N552&amp;"|"&amp;O552&amp;"|"&amp;P552</f>
        <v/>
      </c>
      <c r="R552" s="10">
        <f>IF(COUNTIF($Q$2:$Q$1409,Q552)&gt;1,IF(COUNTIF($Q$2:Q552,Q552)=1,"Exact Duplicate - Keep First","Exact Duplicate - Remove"),"Unique")</f>
        <v/>
      </c>
    </row>
    <row r="553" ht="15" customHeight="1" s="11">
      <c r="A553" s="10" t="inlineStr">
        <is>
          <t>USR-100552</t>
        </is>
      </c>
      <c r="B553" s="14" t="n">
        <v>45659</v>
      </c>
      <c r="C553" s="10" t="inlineStr">
        <is>
          <t>Control</t>
        </is>
      </c>
      <c r="D553" s="10" t="inlineStr">
        <is>
          <t>South</t>
        </is>
      </c>
      <c r="E553" s="10" t="inlineStr">
        <is>
          <t>Tablet</t>
        </is>
      </c>
      <c r="F553" s="10" t="inlineStr">
        <is>
          <t>Referral</t>
        </is>
      </c>
      <c r="G553" s="10" t="inlineStr">
        <is>
          <t>Basic</t>
        </is>
      </c>
      <c r="H553" s="10" t="n">
        <v>1</v>
      </c>
      <c r="I553" s="10" t="n">
        <v>0</v>
      </c>
      <c r="J553" s="10" t="n">
        <v>0</v>
      </c>
      <c r="K553" s="10" t="n">
        <v>0</v>
      </c>
      <c r="L553" s="10" t="n">
        <v>0</v>
      </c>
      <c r="M553" s="10" t="n">
        <v>0</v>
      </c>
      <c r="N553" s="10" t="n">
        <v>0</v>
      </c>
      <c r="P553" s="10" t="n">
        <v>64.3</v>
      </c>
      <c r="Q553" s="10">
        <f>A553&amp;"|"&amp;B553&amp;"|"&amp;C553&amp;"|"&amp;D553&amp;"|"&amp;E553&amp;"|"&amp;F553&amp;"|"&amp;G553&amp;"|"&amp;H553&amp;"|"&amp;I553&amp;"|"&amp;J553&amp;"|"&amp;K553&amp;"|"&amp;L553&amp;"|"&amp;M553&amp;"|"&amp;N553&amp;"|"&amp;O553&amp;"|"&amp;P553</f>
        <v/>
      </c>
      <c r="R553" s="10">
        <f>IF(COUNTIF($Q$2:$Q$1409,Q553)&gt;1,IF(COUNTIF($Q$2:Q553,Q553)=1,"Exact Duplicate - Keep First","Exact Duplicate - Remove"),"Unique")</f>
        <v/>
      </c>
    </row>
    <row r="554" ht="15" customHeight="1" s="11">
      <c r="A554" s="10" t="inlineStr">
        <is>
          <t>USR-100553</t>
        </is>
      </c>
      <c r="B554" s="14" t="n">
        <v>45780</v>
      </c>
      <c r="C554" s="10" t="inlineStr">
        <is>
          <t>Control</t>
        </is>
      </c>
      <c r="D554" s="10" t="inlineStr">
        <is>
          <t>North</t>
        </is>
      </c>
      <c r="E554" s="10" t="inlineStr">
        <is>
          <t>Mobile</t>
        </is>
      </c>
      <c r="F554" s="10" t="inlineStr">
        <is>
          <t>Organic</t>
        </is>
      </c>
      <c r="G554" s="10" t="inlineStr">
        <is>
          <t>Free</t>
        </is>
      </c>
      <c r="H554" s="10" t="n">
        <v>0</v>
      </c>
      <c r="I554" s="10" t="n">
        <v>0</v>
      </c>
      <c r="J554" s="10" t="n">
        <v>0</v>
      </c>
      <c r="K554" s="10" t="n">
        <v>0</v>
      </c>
      <c r="L554" s="10" t="n">
        <v>0</v>
      </c>
      <c r="M554" s="10" t="n">
        <v>0</v>
      </c>
      <c r="N554" s="10" t="n">
        <v>0</v>
      </c>
      <c r="P554" s="10" t="n">
        <v>65.40000000000001</v>
      </c>
      <c r="Q554" s="10">
        <f>A554&amp;"|"&amp;B554&amp;"|"&amp;C554&amp;"|"&amp;D554&amp;"|"&amp;E554&amp;"|"&amp;F554&amp;"|"&amp;G554&amp;"|"&amp;H554&amp;"|"&amp;I554&amp;"|"&amp;J554&amp;"|"&amp;K554&amp;"|"&amp;L554&amp;"|"&amp;M554&amp;"|"&amp;N554&amp;"|"&amp;O554&amp;"|"&amp;P554</f>
        <v/>
      </c>
      <c r="R554" s="10">
        <f>IF(COUNTIF($Q$2:$Q$1409,Q554)&gt;1,IF(COUNTIF($Q$2:Q554,Q554)=1,"Exact Duplicate - Keep First","Exact Duplicate - Remove"),"Unique")</f>
        <v/>
      </c>
    </row>
    <row r="555" ht="15" customHeight="1" s="11">
      <c r="A555" s="10" t="inlineStr">
        <is>
          <t>USR-100554</t>
        </is>
      </c>
      <c r="B555" s="14" t="n">
        <v>45712</v>
      </c>
      <c r="C555" s="10" t="inlineStr">
        <is>
          <t>Control</t>
        </is>
      </c>
      <c r="D555" s="10" t="inlineStr">
        <is>
          <t>West</t>
        </is>
      </c>
      <c r="E555" s="10" t="inlineStr">
        <is>
          <t>Mobile</t>
        </is>
      </c>
      <c r="F555" s="10" t="inlineStr">
        <is>
          <t>Organic</t>
        </is>
      </c>
      <c r="G555" s="10" t="inlineStr">
        <is>
          <t>Free</t>
        </is>
      </c>
      <c r="H555" s="10" t="n">
        <v>1</v>
      </c>
      <c r="I555" s="10" t="n">
        <v>0</v>
      </c>
      <c r="J555" s="10" t="n">
        <v>0</v>
      </c>
      <c r="K555" s="10" t="n">
        <v>0</v>
      </c>
      <c r="L555" s="10" t="n">
        <v>0</v>
      </c>
      <c r="M555" s="10" t="n">
        <v>0</v>
      </c>
      <c r="N555" s="10" t="n">
        <v>0</v>
      </c>
      <c r="P555" s="10" t="n">
        <v>89.8</v>
      </c>
      <c r="Q555" s="10">
        <f>A555&amp;"|"&amp;B555&amp;"|"&amp;C555&amp;"|"&amp;D555&amp;"|"&amp;E555&amp;"|"&amp;F555&amp;"|"&amp;G555&amp;"|"&amp;H555&amp;"|"&amp;I555&amp;"|"&amp;J555&amp;"|"&amp;K555&amp;"|"&amp;L555&amp;"|"&amp;M555&amp;"|"&amp;N555&amp;"|"&amp;O555&amp;"|"&amp;P555</f>
        <v/>
      </c>
      <c r="R555" s="10">
        <f>IF(COUNTIF($Q$2:$Q$1409,Q555)&gt;1,IF(COUNTIF($Q$2:Q555,Q555)=1,"Exact Duplicate - Keep First","Exact Duplicate - Remove"),"Unique")</f>
        <v/>
      </c>
    </row>
    <row r="556" ht="15" customHeight="1" s="11">
      <c r="A556" s="10" t="inlineStr">
        <is>
          <t>USR-100555</t>
        </is>
      </c>
      <c r="B556" s="14" t="n">
        <v>45699</v>
      </c>
      <c r="C556" s="10" t="inlineStr">
        <is>
          <t>Control</t>
        </is>
      </c>
      <c r="D556" s="10" t="inlineStr">
        <is>
          <t>South</t>
        </is>
      </c>
      <c r="F556" s="10" t="inlineStr">
        <is>
          <t>Organic</t>
        </is>
      </c>
      <c r="G556" s="10" t="inlineStr">
        <is>
          <t>Free</t>
        </is>
      </c>
      <c r="H556" s="10" t="n">
        <v>1</v>
      </c>
      <c r="I556" s="10" t="n">
        <v>1</v>
      </c>
      <c r="J556" s="10" t="n">
        <v>1</v>
      </c>
      <c r="K556" s="10" t="n">
        <v>0</v>
      </c>
      <c r="L556" s="10" t="n">
        <v>0</v>
      </c>
      <c r="M556" s="10" t="n">
        <v>0</v>
      </c>
      <c r="N556" s="10" t="n">
        <v>0</v>
      </c>
      <c r="P556" s="10" t="n">
        <v>58.3</v>
      </c>
      <c r="Q556" s="10">
        <f>A556&amp;"|"&amp;B556&amp;"|"&amp;C556&amp;"|"&amp;D556&amp;"|"&amp;E556&amp;"|"&amp;F556&amp;"|"&amp;G556&amp;"|"&amp;H556&amp;"|"&amp;I556&amp;"|"&amp;J556&amp;"|"&amp;K556&amp;"|"&amp;L556&amp;"|"&amp;M556&amp;"|"&amp;N556&amp;"|"&amp;O556&amp;"|"&amp;P556</f>
        <v/>
      </c>
      <c r="R556" s="10">
        <f>IF(COUNTIF($Q$2:$Q$1409,Q556)&gt;1,IF(COUNTIF($Q$2:Q556,Q556)=1,"Exact Duplicate - Keep First","Exact Duplicate - Remove"),"Unique")</f>
        <v/>
      </c>
    </row>
    <row r="557" ht="15" customHeight="1" s="11">
      <c r="A557" s="10" t="inlineStr">
        <is>
          <t>USR-100556</t>
        </is>
      </c>
      <c r="B557" s="14" t="n">
        <v>45783</v>
      </c>
      <c r="C557" s="10" t="inlineStr">
        <is>
          <t>Control</t>
        </is>
      </c>
      <c r="D557" s="10" t="inlineStr">
        <is>
          <t>South</t>
        </is>
      </c>
      <c r="E557" s="10" t="inlineStr">
        <is>
          <t>Mobile</t>
        </is>
      </c>
      <c r="F557" s="10" t="inlineStr">
        <is>
          <t>Social</t>
        </is>
      </c>
      <c r="G557" s="10" t="inlineStr">
        <is>
          <t>Basic</t>
        </is>
      </c>
      <c r="H557" s="10" t="n">
        <v>1</v>
      </c>
      <c r="I557" s="10" t="n">
        <v>0</v>
      </c>
      <c r="J557" s="10" t="n">
        <v>0</v>
      </c>
      <c r="K557" s="10" t="n">
        <v>0</v>
      </c>
      <c r="L557" s="10" t="n">
        <v>0</v>
      </c>
      <c r="M557" s="10" t="n">
        <v>0</v>
      </c>
      <c r="N557" s="10" t="n">
        <v>0</v>
      </c>
      <c r="P557" s="10" t="n">
        <v>64.40000000000001</v>
      </c>
      <c r="Q557" s="10">
        <f>A557&amp;"|"&amp;B557&amp;"|"&amp;C557&amp;"|"&amp;D557&amp;"|"&amp;E557&amp;"|"&amp;F557&amp;"|"&amp;G557&amp;"|"&amp;H557&amp;"|"&amp;I557&amp;"|"&amp;J557&amp;"|"&amp;K557&amp;"|"&amp;L557&amp;"|"&amp;M557&amp;"|"&amp;N557&amp;"|"&amp;O557&amp;"|"&amp;P557</f>
        <v/>
      </c>
      <c r="R557" s="10">
        <f>IF(COUNTIF($Q$2:$Q$1409,Q557)&gt;1,IF(COUNTIF($Q$2:Q557,Q557)=1,"Exact Duplicate - Keep First","Exact Duplicate - Remove"),"Unique")</f>
        <v/>
      </c>
    </row>
    <row r="558" ht="15" customHeight="1" s="11">
      <c r="A558" s="10" t="inlineStr">
        <is>
          <t>USR-100557</t>
        </is>
      </c>
      <c r="B558" s="14" t="n">
        <v>45800</v>
      </c>
      <c r="C558" s="10" t="inlineStr">
        <is>
          <t>Control</t>
        </is>
      </c>
      <c r="D558" s="10" t="inlineStr">
        <is>
          <t>North</t>
        </is>
      </c>
      <c r="E558" s="10" t="inlineStr">
        <is>
          <t>Mobile</t>
        </is>
      </c>
      <c r="F558" s="10" t="inlineStr">
        <is>
          <t>Paid Search</t>
        </is>
      </c>
      <c r="G558" s="10" t="inlineStr">
        <is>
          <t>Premium</t>
        </is>
      </c>
      <c r="H558" s="10" t="n">
        <v>0</v>
      </c>
      <c r="I558" s="10" t="n">
        <v>0</v>
      </c>
      <c r="J558" s="10" t="n">
        <v>0</v>
      </c>
      <c r="K558" s="10" t="n">
        <v>0</v>
      </c>
      <c r="L558" s="10" t="n">
        <v>0</v>
      </c>
      <c r="M558" s="10" t="n">
        <v>0</v>
      </c>
      <c r="N558" s="10" t="n">
        <v>0</v>
      </c>
      <c r="P558" s="10" t="n">
        <v>46.2</v>
      </c>
      <c r="Q558" s="10">
        <f>A558&amp;"|"&amp;B558&amp;"|"&amp;C558&amp;"|"&amp;D558&amp;"|"&amp;E558&amp;"|"&amp;F558&amp;"|"&amp;G558&amp;"|"&amp;H558&amp;"|"&amp;I558&amp;"|"&amp;J558&amp;"|"&amp;K558&amp;"|"&amp;L558&amp;"|"&amp;M558&amp;"|"&amp;N558&amp;"|"&amp;O558&amp;"|"&amp;P558</f>
        <v/>
      </c>
      <c r="R558" s="10">
        <f>IF(COUNTIF($Q$2:$Q$1409,Q558)&gt;1,IF(COUNTIF($Q$2:Q558,Q558)=1,"Exact Duplicate - Keep First","Exact Duplicate - Remove"),"Unique")</f>
        <v/>
      </c>
    </row>
    <row r="559" ht="15" customHeight="1" s="11">
      <c r="A559" s="10" t="inlineStr">
        <is>
          <t>USR-100558</t>
        </is>
      </c>
      <c r="B559" s="14" t="n">
        <v>45666</v>
      </c>
      <c r="C559" s="10" t="inlineStr">
        <is>
          <t>Control</t>
        </is>
      </c>
      <c r="D559" s="10" t="inlineStr">
        <is>
          <t>North</t>
        </is>
      </c>
      <c r="E559" s="10" t="inlineStr">
        <is>
          <t>Desktop</t>
        </is>
      </c>
      <c r="F559" s="10" t="inlineStr">
        <is>
          <t>Paid Search</t>
        </is>
      </c>
      <c r="G559" s="10" t="inlineStr">
        <is>
          <t>Free</t>
        </is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0</v>
      </c>
      <c r="M559" s="10" t="n">
        <v>0</v>
      </c>
      <c r="N559" s="10" t="n">
        <v>0</v>
      </c>
      <c r="P559" s="10" t="n">
        <v>78</v>
      </c>
      <c r="Q559" s="10">
        <f>A559&amp;"|"&amp;B559&amp;"|"&amp;C559&amp;"|"&amp;D559&amp;"|"&amp;E559&amp;"|"&amp;F559&amp;"|"&amp;G559&amp;"|"&amp;H559&amp;"|"&amp;I559&amp;"|"&amp;J559&amp;"|"&amp;K559&amp;"|"&amp;L559&amp;"|"&amp;M559&amp;"|"&amp;N559&amp;"|"&amp;O559&amp;"|"&amp;P559</f>
        <v/>
      </c>
      <c r="R559" s="10">
        <f>IF(COUNTIF($Q$2:$Q$1409,Q559)&gt;1,IF(COUNTIF($Q$2:Q559,Q559)=1,"Exact Duplicate - Keep First","Exact Duplicate - Remove"),"Unique")</f>
        <v/>
      </c>
    </row>
    <row r="560" ht="15" customHeight="1" s="11">
      <c r="A560" s="10" t="inlineStr">
        <is>
          <t>USR-100559</t>
        </is>
      </c>
      <c r="B560" s="14" t="n">
        <v>45748</v>
      </c>
      <c r="C560" s="10" t="inlineStr">
        <is>
          <t>Control</t>
        </is>
      </c>
      <c r="D560" s="10" t="inlineStr">
        <is>
          <t>North</t>
        </is>
      </c>
      <c r="E560" s="10" t="inlineStr">
        <is>
          <t>Desktop</t>
        </is>
      </c>
      <c r="F560" s="10" t="inlineStr">
        <is>
          <t>Organic</t>
        </is>
      </c>
      <c r="G560" s="10" t="inlineStr">
        <is>
          <t>Premium</t>
        </is>
      </c>
      <c r="H560" s="10" t="n">
        <v>1</v>
      </c>
      <c r="I560" s="10" t="n">
        <v>0</v>
      </c>
      <c r="J560" s="10" t="n">
        <v>0</v>
      </c>
      <c r="K560" s="10" t="n">
        <v>0</v>
      </c>
      <c r="L560" s="10" t="n">
        <v>0</v>
      </c>
      <c r="M560" s="10" t="n">
        <v>0</v>
      </c>
      <c r="N560" s="10" t="n">
        <v>0</v>
      </c>
      <c r="P560" s="10" t="n">
        <v>62.3</v>
      </c>
      <c r="Q560" s="10">
        <f>A560&amp;"|"&amp;B560&amp;"|"&amp;C560&amp;"|"&amp;D560&amp;"|"&amp;E560&amp;"|"&amp;F560&amp;"|"&amp;G560&amp;"|"&amp;H560&amp;"|"&amp;I560&amp;"|"&amp;J560&amp;"|"&amp;K560&amp;"|"&amp;L560&amp;"|"&amp;M560&amp;"|"&amp;N560&amp;"|"&amp;O560&amp;"|"&amp;P560</f>
        <v/>
      </c>
      <c r="R560" s="10">
        <f>IF(COUNTIF($Q$2:$Q$1409,Q560)&gt;1,IF(COUNTIF($Q$2:Q560,Q560)=1,"Exact Duplicate - Keep First","Exact Duplicate - Remove"),"Unique")</f>
        <v/>
      </c>
    </row>
    <row r="561" ht="15" customHeight="1" s="11">
      <c r="A561" s="10" t="inlineStr">
        <is>
          <t>USR-100560</t>
        </is>
      </c>
      <c r="B561" s="14" t="n">
        <v>45724</v>
      </c>
      <c r="C561" s="10" t="inlineStr">
        <is>
          <t>Control</t>
        </is>
      </c>
      <c r="D561" s="10" t="inlineStr">
        <is>
          <t>North</t>
        </is>
      </c>
      <c r="E561" s="10" t="inlineStr">
        <is>
          <t>Mobile</t>
        </is>
      </c>
      <c r="F561" s="10" t="inlineStr">
        <is>
          <t>Organic</t>
        </is>
      </c>
      <c r="G561" s="10" t="inlineStr">
        <is>
          <t>Free</t>
        </is>
      </c>
      <c r="H561" s="10" t="n">
        <v>1</v>
      </c>
      <c r="I561" s="10" t="n">
        <v>0</v>
      </c>
      <c r="J561" s="10" t="n">
        <v>0</v>
      </c>
      <c r="K561" s="10" t="n">
        <v>0</v>
      </c>
      <c r="L561" s="10" t="n">
        <v>0</v>
      </c>
      <c r="M561" s="10" t="n">
        <v>0</v>
      </c>
      <c r="N561" s="10" t="n">
        <v>0</v>
      </c>
      <c r="P561" s="10" t="n">
        <v>78.8</v>
      </c>
      <c r="Q561" s="10">
        <f>A561&amp;"|"&amp;B561&amp;"|"&amp;C561&amp;"|"&amp;D561&amp;"|"&amp;E561&amp;"|"&amp;F561&amp;"|"&amp;G561&amp;"|"&amp;H561&amp;"|"&amp;I561&amp;"|"&amp;J561&amp;"|"&amp;K561&amp;"|"&amp;L561&amp;"|"&amp;M561&amp;"|"&amp;N561&amp;"|"&amp;O561&amp;"|"&amp;P561</f>
        <v/>
      </c>
      <c r="R561" s="10">
        <f>IF(COUNTIF($Q$2:$Q$1409,Q561)&gt;1,IF(COUNTIF($Q$2:Q561,Q561)=1,"Exact Duplicate - Keep First","Exact Duplicate - Remove"),"Unique")</f>
        <v/>
      </c>
    </row>
    <row r="562" ht="15" customHeight="1" s="11">
      <c r="A562" s="10" t="inlineStr">
        <is>
          <t>USR-100561</t>
        </is>
      </c>
      <c r="B562" s="14" t="n">
        <v>45708</v>
      </c>
      <c r="C562" s="10" t="inlineStr">
        <is>
          <t>Control</t>
        </is>
      </c>
      <c r="D562" s="10" t="inlineStr">
        <is>
          <t>North</t>
        </is>
      </c>
      <c r="E562" s="10" t="inlineStr">
        <is>
          <t>Mobile</t>
        </is>
      </c>
      <c r="F562" s="10" t="inlineStr">
        <is>
          <t>Social</t>
        </is>
      </c>
      <c r="G562" s="10" t="inlineStr">
        <is>
          <t>Basic</t>
        </is>
      </c>
      <c r="H562" s="10" t="n">
        <v>1</v>
      </c>
      <c r="I562" s="10" t="n">
        <v>0</v>
      </c>
      <c r="J562" s="10" t="n">
        <v>0</v>
      </c>
      <c r="K562" s="10" t="n">
        <v>0</v>
      </c>
      <c r="L562" s="10" t="n">
        <v>0</v>
      </c>
      <c r="M562" s="10" t="n">
        <v>0</v>
      </c>
      <c r="N562" s="10" t="n">
        <v>0</v>
      </c>
      <c r="P562" s="10" t="n">
        <v>25</v>
      </c>
      <c r="Q562" s="10">
        <f>A562&amp;"|"&amp;B562&amp;"|"&amp;C562&amp;"|"&amp;D562&amp;"|"&amp;E562&amp;"|"&amp;F562&amp;"|"&amp;G562&amp;"|"&amp;H562&amp;"|"&amp;I562&amp;"|"&amp;J562&amp;"|"&amp;K562&amp;"|"&amp;L562&amp;"|"&amp;M562&amp;"|"&amp;N562&amp;"|"&amp;O562&amp;"|"&amp;P562</f>
        <v/>
      </c>
      <c r="R562" s="10">
        <f>IF(COUNTIF($Q$2:$Q$1409,Q562)&gt;1,IF(COUNTIF($Q$2:Q562,Q562)=1,"Exact Duplicate - Keep First","Exact Duplicate - Remove"),"Unique")</f>
        <v/>
      </c>
    </row>
    <row r="563" ht="15" customHeight="1" s="11">
      <c r="A563" s="10" t="inlineStr">
        <is>
          <t>USR-100562</t>
        </is>
      </c>
      <c r="B563" s="14" t="n">
        <v>45746</v>
      </c>
      <c r="C563" s="10" t="inlineStr">
        <is>
          <t>Control</t>
        </is>
      </c>
      <c r="D563" s="10" t="inlineStr">
        <is>
          <t>East</t>
        </is>
      </c>
      <c r="E563" s="10" t="inlineStr">
        <is>
          <t>Mobile</t>
        </is>
      </c>
      <c r="F563" s="10" t="inlineStr">
        <is>
          <t>Social</t>
        </is>
      </c>
      <c r="G563" s="10" t="inlineStr">
        <is>
          <t>Basic</t>
        </is>
      </c>
      <c r="H563" s="10" t="n">
        <v>0</v>
      </c>
      <c r="I563" s="10" t="n">
        <v>0</v>
      </c>
      <c r="J563" s="10" t="n">
        <v>0</v>
      </c>
      <c r="K563" s="10" t="n">
        <v>0</v>
      </c>
      <c r="L563" s="10" t="n">
        <v>0</v>
      </c>
      <c r="M563" s="10" t="n">
        <v>0</v>
      </c>
      <c r="N563" s="10" t="n">
        <v>0</v>
      </c>
      <c r="P563" s="10" t="n">
        <v>53.4</v>
      </c>
      <c r="Q563" s="10">
        <f>A563&amp;"|"&amp;B563&amp;"|"&amp;C563&amp;"|"&amp;D563&amp;"|"&amp;E563&amp;"|"&amp;F563&amp;"|"&amp;G563&amp;"|"&amp;H563&amp;"|"&amp;I563&amp;"|"&amp;J563&amp;"|"&amp;K563&amp;"|"&amp;L563&amp;"|"&amp;M563&amp;"|"&amp;N563&amp;"|"&amp;O563&amp;"|"&amp;P563</f>
        <v/>
      </c>
      <c r="R563" s="10">
        <f>IF(COUNTIF($Q$2:$Q$1409,Q563)&gt;1,IF(COUNTIF($Q$2:Q563,Q563)=1,"Exact Duplicate - Keep First","Exact Duplicate - Remove"),"Unique")</f>
        <v/>
      </c>
    </row>
    <row r="564" ht="15" customHeight="1" s="11">
      <c r="A564" s="10" t="inlineStr">
        <is>
          <t>USR-100563</t>
        </is>
      </c>
      <c r="B564" s="14" t="n">
        <v>45757</v>
      </c>
      <c r="C564" s="10" t="inlineStr">
        <is>
          <t>Control</t>
        </is>
      </c>
      <c r="D564" s="10" t="inlineStr">
        <is>
          <t>East</t>
        </is>
      </c>
      <c r="E564" s="10" t="inlineStr">
        <is>
          <t>Desktop</t>
        </is>
      </c>
      <c r="F564" s="10" t="inlineStr">
        <is>
          <t>Organic</t>
        </is>
      </c>
      <c r="G564" s="10" t="inlineStr">
        <is>
          <t>Basic</t>
        </is>
      </c>
      <c r="H564" s="10" t="n">
        <v>0</v>
      </c>
      <c r="I564" s="10" t="n">
        <v>0</v>
      </c>
      <c r="J564" s="10" t="n">
        <v>0</v>
      </c>
      <c r="K564" s="10" t="n">
        <v>0</v>
      </c>
      <c r="L564" s="10" t="n">
        <v>0</v>
      </c>
      <c r="M564" s="10" t="n">
        <v>0</v>
      </c>
      <c r="N564" s="10" t="n">
        <v>0</v>
      </c>
      <c r="P564" s="10" t="n">
        <v>40.7</v>
      </c>
      <c r="Q564" s="10">
        <f>A564&amp;"|"&amp;B564&amp;"|"&amp;C564&amp;"|"&amp;D564&amp;"|"&amp;E564&amp;"|"&amp;F564&amp;"|"&amp;G564&amp;"|"&amp;H564&amp;"|"&amp;I564&amp;"|"&amp;J564&amp;"|"&amp;K564&amp;"|"&amp;L564&amp;"|"&amp;M564&amp;"|"&amp;N564&amp;"|"&amp;O564&amp;"|"&amp;P564</f>
        <v/>
      </c>
      <c r="R564" s="10">
        <f>IF(COUNTIF($Q$2:$Q$1409,Q564)&gt;1,IF(COUNTIF($Q$2:Q564,Q564)=1,"Exact Duplicate - Keep First","Exact Duplicate - Remove"),"Unique")</f>
        <v/>
      </c>
    </row>
    <row r="565" ht="15" customHeight="1" s="11">
      <c r="A565" s="10" t="inlineStr">
        <is>
          <t>USR-100564</t>
        </is>
      </c>
      <c r="B565" s="14" t="n">
        <v>45740</v>
      </c>
      <c r="C565" s="10" t="inlineStr">
        <is>
          <t>Control</t>
        </is>
      </c>
      <c r="D565" s="10" t="inlineStr">
        <is>
          <t>East</t>
        </is>
      </c>
      <c r="E565" s="10" t="inlineStr">
        <is>
          <t>Mobile</t>
        </is>
      </c>
      <c r="F565" s="10" t="inlineStr">
        <is>
          <t>Organic</t>
        </is>
      </c>
      <c r="G565" s="10" t="inlineStr">
        <is>
          <t>Premium</t>
        </is>
      </c>
      <c r="H565" s="10" t="n">
        <v>1</v>
      </c>
      <c r="I565" s="10" t="n">
        <v>1</v>
      </c>
      <c r="J565" s="10" t="n">
        <v>0</v>
      </c>
      <c r="K565" s="10" t="n">
        <v>0</v>
      </c>
      <c r="L565" s="10" t="n">
        <v>0</v>
      </c>
      <c r="M565" s="10" t="n">
        <v>0</v>
      </c>
      <c r="N565" s="10" t="n">
        <v>0</v>
      </c>
      <c r="P565" s="10" t="n">
        <v>36.7</v>
      </c>
      <c r="Q565" s="10">
        <f>A565&amp;"|"&amp;B565&amp;"|"&amp;C565&amp;"|"&amp;D565&amp;"|"&amp;E565&amp;"|"&amp;F565&amp;"|"&amp;G565&amp;"|"&amp;H565&amp;"|"&amp;I565&amp;"|"&amp;J565&amp;"|"&amp;K565&amp;"|"&amp;L565&amp;"|"&amp;M565&amp;"|"&amp;N565&amp;"|"&amp;O565&amp;"|"&amp;P565</f>
        <v/>
      </c>
      <c r="R565" s="10">
        <f>IF(COUNTIF($Q$2:$Q$1409,Q565)&gt;1,IF(COUNTIF($Q$2:Q565,Q565)=1,"Exact Duplicate - Keep First","Exact Duplicate - Remove"),"Unique")</f>
        <v/>
      </c>
    </row>
    <row r="566" ht="15" customHeight="1" s="11">
      <c r="A566" s="10" t="inlineStr">
        <is>
          <t>USR-100565</t>
        </is>
      </c>
      <c r="B566" s="14" t="n">
        <v>45798</v>
      </c>
      <c r="C566" s="10" t="inlineStr">
        <is>
          <t>Control</t>
        </is>
      </c>
      <c r="D566" s="10" t="inlineStr">
        <is>
          <t>West</t>
        </is>
      </c>
      <c r="E566" s="10" t="inlineStr">
        <is>
          <t>Mobile</t>
        </is>
      </c>
      <c r="F566" s="10" t="inlineStr">
        <is>
          <t>Organic</t>
        </is>
      </c>
      <c r="G566" s="10" t="inlineStr">
        <is>
          <t>Basic</t>
        </is>
      </c>
      <c r="H566" s="10" t="n">
        <v>1</v>
      </c>
      <c r="I566" s="10" t="n">
        <v>0</v>
      </c>
      <c r="J566" s="10" t="n">
        <v>0</v>
      </c>
      <c r="K566" s="10" t="n">
        <v>0</v>
      </c>
      <c r="L566" s="10" t="n">
        <v>0</v>
      </c>
      <c r="M566" s="10" t="n">
        <v>1</v>
      </c>
      <c r="N566" s="10" t="n">
        <v>0</v>
      </c>
      <c r="P566" s="10" t="n">
        <v>67.5</v>
      </c>
      <c r="Q566" s="10">
        <f>A566&amp;"|"&amp;B566&amp;"|"&amp;C566&amp;"|"&amp;D566&amp;"|"&amp;E566&amp;"|"&amp;F566&amp;"|"&amp;G566&amp;"|"&amp;H566&amp;"|"&amp;I566&amp;"|"&amp;J566&amp;"|"&amp;K566&amp;"|"&amp;L566&amp;"|"&amp;M566&amp;"|"&amp;N566&amp;"|"&amp;O566&amp;"|"&amp;P566</f>
        <v/>
      </c>
      <c r="R566" s="10">
        <f>IF(COUNTIF($Q$2:$Q$1409,Q566)&gt;1,IF(COUNTIF($Q$2:Q566,Q566)=1,"Exact Duplicate - Keep First","Exact Duplicate - Remove"),"Unique")</f>
        <v/>
      </c>
    </row>
    <row r="567" ht="15" customHeight="1" s="11">
      <c r="A567" s="10" t="inlineStr">
        <is>
          <t>USR-100566</t>
        </is>
      </c>
      <c r="B567" s="14" t="n">
        <v>45745</v>
      </c>
      <c r="C567" s="10" t="inlineStr">
        <is>
          <t>Control</t>
        </is>
      </c>
      <c r="D567" s="10" t="inlineStr">
        <is>
          <t>East</t>
        </is>
      </c>
      <c r="E567" s="10" t="inlineStr">
        <is>
          <t>Mobile</t>
        </is>
      </c>
      <c r="F567" s="10" t="inlineStr">
        <is>
          <t>Social</t>
        </is>
      </c>
      <c r="G567" s="10" t="inlineStr">
        <is>
          <t>Premium</t>
        </is>
      </c>
      <c r="H567" s="10" t="n">
        <v>1</v>
      </c>
      <c r="I567" s="10" t="n">
        <v>1</v>
      </c>
      <c r="J567" s="10" t="n">
        <v>1</v>
      </c>
      <c r="K567" s="10" t="n">
        <v>0</v>
      </c>
      <c r="L567" s="10" t="n">
        <v>0</v>
      </c>
      <c r="M567" s="10" t="n">
        <v>0</v>
      </c>
      <c r="N567" s="10" t="n">
        <v>0</v>
      </c>
      <c r="P567" s="10" t="n">
        <v>69.90000000000001</v>
      </c>
      <c r="Q567" s="10">
        <f>A567&amp;"|"&amp;B567&amp;"|"&amp;C567&amp;"|"&amp;D567&amp;"|"&amp;E567&amp;"|"&amp;F567&amp;"|"&amp;G567&amp;"|"&amp;H567&amp;"|"&amp;I567&amp;"|"&amp;J567&amp;"|"&amp;K567&amp;"|"&amp;L567&amp;"|"&amp;M567&amp;"|"&amp;N567&amp;"|"&amp;O567&amp;"|"&amp;P567</f>
        <v/>
      </c>
      <c r="R567" s="10">
        <f>IF(COUNTIF($Q$2:$Q$1409,Q567)&gt;1,IF(COUNTIF($Q$2:Q567,Q567)=1,"Exact Duplicate - Keep First","Exact Duplicate - Remove"),"Unique")</f>
        <v/>
      </c>
    </row>
    <row r="568" ht="15" customHeight="1" s="11">
      <c r="A568" s="10" t="inlineStr">
        <is>
          <t>USR-100567</t>
        </is>
      </c>
      <c r="B568" s="14" t="n">
        <v>45711</v>
      </c>
      <c r="C568" s="10" t="inlineStr">
        <is>
          <t>Control</t>
        </is>
      </c>
      <c r="D568" s="10" t="inlineStr">
        <is>
          <t>North</t>
        </is>
      </c>
      <c r="E568" s="10" t="inlineStr">
        <is>
          <t>Tablet</t>
        </is>
      </c>
      <c r="F568" s="10" t="inlineStr">
        <is>
          <t>Referral</t>
        </is>
      </c>
      <c r="G568" s="10" t="inlineStr">
        <is>
          <t>Basic</t>
        </is>
      </c>
      <c r="H568" s="10" t="n">
        <v>1</v>
      </c>
      <c r="I568" s="10" t="n">
        <v>0</v>
      </c>
      <c r="J568" s="10" t="n">
        <v>0</v>
      </c>
      <c r="K568" s="10" t="n">
        <v>0</v>
      </c>
      <c r="L568" s="10" t="n">
        <v>0</v>
      </c>
      <c r="M568" s="10" t="n">
        <v>0</v>
      </c>
      <c r="N568" s="10" t="n">
        <v>0</v>
      </c>
      <c r="P568" s="10" t="n">
        <v>65.09999999999999</v>
      </c>
      <c r="Q568" s="10">
        <f>A568&amp;"|"&amp;B568&amp;"|"&amp;C568&amp;"|"&amp;D568&amp;"|"&amp;E568&amp;"|"&amp;F568&amp;"|"&amp;G568&amp;"|"&amp;H568&amp;"|"&amp;I568&amp;"|"&amp;J568&amp;"|"&amp;K568&amp;"|"&amp;L568&amp;"|"&amp;M568&amp;"|"&amp;N568&amp;"|"&amp;O568&amp;"|"&amp;P568</f>
        <v/>
      </c>
      <c r="R568" s="10">
        <f>IF(COUNTIF($Q$2:$Q$1409,Q568)&gt;1,IF(COUNTIF($Q$2:Q568,Q568)=1,"Exact Duplicate - Keep First","Exact Duplicate - Remove"),"Unique")</f>
        <v/>
      </c>
    </row>
    <row r="569" ht="15" customHeight="1" s="11">
      <c r="A569" s="10" t="inlineStr">
        <is>
          <t>USR-100568</t>
        </is>
      </c>
      <c r="B569" s="14" t="n">
        <v>45704</v>
      </c>
      <c r="C569" s="10" t="inlineStr">
        <is>
          <t>Control</t>
        </is>
      </c>
      <c r="D569" s="10" t="inlineStr">
        <is>
          <t>West</t>
        </is>
      </c>
      <c r="E569" s="10" t="inlineStr">
        <is>
          <t>Mobile</t>
        </is>
      </c>
      <c r="F569" s="10" t="inlineStr">
        <is>
          <t>Paid Search</t>
        </is>
      </c>
      <c r="G569" s="10" t="inlineStr">
        <is>
          <t>Premium</t>
        </is>
      </c>
      <c r="H569" s="10" t="n">
        <v>1</v>
      </c>
      <c r="I569" s="10" t="n">
        <v>0</v>
      </c>
      <c r="J569" s="10" t="n">
        <v>0</v>
      </c>
      <c r="K569" s="10" t="n">
        <v>0</v>
      </c>
      <c r="L569" s="10" t="n">
        <v>0</v>
      </c>
      <c r="M569" s="10" t="n">
        <v>0</v>
      </c>
      <c r="N569" s="10" t="n">
        <v>0</v>
      </c>
      <c r="P569" s="10" t="n">
        <v>48.7</v>
      </c>
      <c r="Q569" s="10">
        <f>A569&amp;"|"&amp;B569&amp;"|"&amp;C569&amp;"|"&amp;D569&amp;"|"&amp;E569&amp;"|"&amp;F569&amp;"|"&amp;G569&amp;"|"&amp;H569&amp;"|"&amp;I569&amp;"|"&amp;J569&amp;"|"&amp;K569&amp;"|"&amp;L569&amp;"|"&amp;M569&amp;"|"&amp;N569&amp;"|"&amp;O569&amp;"|"&amp;P569</f>
        <v/>
      </c>
      <c r="R569" s="10">
        <f>IF(COUNTIF($Q$2:$Q$1409,Q569)&gt;1,IF(COUNTIF($Q$2:Q569,Q569)=1,"Exact Duplicate - Keep First","Exact Duplicate - Remove"),"Unique")</f>
        <v/>
      </c>
    </row>
    <row r="570" ht="15" customHeight="1" s="11">
      <c r="A570" s="10" t="inlineStr">
        <is>
          <t>USR-100569</t>
        </is>
      </c>
      <c r="B570" s="14" t="n">
        <v>45709</v>
      </c>
      <c r="C570" s="10" t="inlineStr">
        <is>
          <t>Control</t>
        </is>
      </c>
      <c r="D570" s="10" t="inlineStr">
        <is>
          <t>West</t>
        </is>
      </c>
      <c r="E570" s="10" t="inlineStr">
        <is>
          <t>Desktop</t>
        </is>
      </c>
      <c r="F570" s="10" t="inlineStr">
        <is>
          <t>Organic</t>
        </is>
      </c>
      <c r="G570" s="10" t="inlineStr">
        <is>
          <t>Basic</t>
        </is>
      </c>
      <c r="H570" s="10" t="n">
        <v>1</v>
      </c>
      <c r="I570" s="10" t="n">
        <v>1</v>
      </c>
      <c r="J570" s="10" t="n">
        <v>0</v>
      </c>
      <c r="K570" s="10" t="n">
        <v>0</v>
      </c>
      <c r="L570" s="10" t="n">
        <v>0</v>
      </c>
      <c r="M570" s="10" t="n">
        <v>0</v>
      </c>
      <c r="N570" s="10" t="n">
        <v>0</v>
      </c>
      <c r="P570" s="10" t="n">
        <v>47.2</v>
      </c>
      <c r="Q570" s="10">
        <f>A570&amp;"|"&amp;B570&amp;"|"&amp;C570&amp;"|"&amp;D570&amp;"|"&amp;E570&amp;"|"&amp;F570&amp;"|"&amp;G570&amp;"|"&amp;H570&amp;"|"&amp;I570&amp;"|"&amp;J570&amp;"|"&amp;K570&amp;"|"&amp;L570&amp;"|"&amp;M570&amp;"|"&amp;N570&amp;"|"&amp;O570&amp;"|"&amp;P570</f>
        <v/>
      </c>
      <c r="R570" s="10">
        <f>IF(COUNTIF($Q$2:$Q$1409,Q570)&gt;1,IF(COUNTIF($Q$2:Q570,Q570)=1,"Exact Duplicate - Keep First","Exact Duplicate - Remove"),"Unique")</f>
        <v/>
      </c>
    </row>
    <row r="571" ht="15" customHeight="1" s="11">
      <c r="A571" s="10" t="inlineStr">
        <is>
          <t>USR-100570</t>
        </is>
      </c>
      <c r="B571" s="14" t="n">
        <v>45664</v>
      </c>
      <c r="C571" s="10" t="inlineStr">
        <is>
          <t>Control</t>
        </is>
      </c>
      <c r="D571" s="10" t="inlineStr">
        <is>
          <t>North</t>
        </is>
      </c>
      <c r="E571" s="10" t="inlineStr">
        <is>
          <t>Mobile</t>
        </is>
      </c>
      <c r="F571" s="10" t="inlineStr">
        <is>
          <t>Referral</t>
        </is>
      </c>
      <c r="G571" s="10" t="inlineStr">
        <is>
          <t>Free</t>
        </is>
      </c>
      <c r="H571" s="10" t="n">
        <v>1</v>
      </c>
      <c r="I571" s="10" t="n">
        <v>0</v>
      </c>
      <c r="J571" s="10" t="n">
        <v>0</v>
      </c>
      <c r="K571" s="10" t="n">
        <v>0</v>
      </c>
      <c r="L571" s="10" t="n">
        <v>0</v>
      </c>
      <c r="M571" s="10" t="n">
        <v>2</v>
      </c>
      <c r="N571" s="10" t="n">
        <v>0</v>
      </c>
      <c r="P571" s="10" t="n">
        <v>20.3</v>
      </c>
      <c r="Q571" s="10">
        <f>A571&amp;"|"&amp;B571&amp;"|"&amp;C571&amp;"|"&amp;D571&amp;"|"&amp;E571&amp;"|"&amp;F571&amp;"|"&amp;G571&amp;"|"&amp;H571&amp;"|"&amp;I571&amp;"|"&amp;J571&amp;"|"&amp;K571&amp;"|"&amp;L571&amp;"|"&amp;M571&amp;"|"&amp;N571&amp;"|"&amp;O571&amp;"|"&amp;P571</f>
        <v/>
      </c>
      <c r="R571" s="10">
        <f>IF(COUNTIF($Q$2:$Q$1409,Q571)&gt;1,IF(COUNTIF($Q$2:Q571,Q571)=1,"Exact Duplicate - Keep First","Exact Duplicate - Remove"),"Unique")</f>
        <v/>
      </c>
    </row>
    <row r="572" ht="15" customHeight="1" s="11">
      <c r="A572" s="10" t="inlineStr">
        <is>
          <t>USR-100571</t>
        </is>
      </c>
      <c r="B572" s="14" t="n">
        <v>45722</v>
      </c>
      <c r="C572" s="10" t="inlineStr">
        <is>
          <t>Control</t>
        </is>
      </c>
      <c r="D572" s="10" t="inlineStr">
        <is>
          <t>West</t>
        </is>
      </c>
      <c r="E572" s="10" t="inlineStr">
        <is>
          <t>Mobile</t>
        </is>
      </c>
      <c r="F572" s="10" t="inlineStr">
        <is>
          <t>Paid Search</t>
        </is>
      </c>
      <c r="G572" s="10" t="inlineStr">
        <is>
          <t>Free</t>
        </is>
      </c>
      <c r="H572" s="10" t="n">
        <v>0</v>
      </c>
      <c r="I572" s="10" t="n">
        <v>0</v>
      </c>
      <c r="J572" s="10" t="n">
        <v>0</v>
      </c>
      <c r="K572" s="10" t="n">
        <v>0</v>
      </c>
      <c r="L572" s="10" t="n">
        <v>0</v>
      </c>
      <c r="M572" s="10" t="n">
        <v>1</v>
      </c>
      <c r="N572" s="10" t="n">
        <v>0</v>
      </c>
      <c r="P572" s="10" t="n">
        <v>57.8</v>
      </c>
      <c r="Q572" s="10">
        <f>A572&amp;"|"&amp;B572&amp;"|"&amp;C572&amp;"|"&amp;D572&amp;"|"&amp;E572&amp;"|"&amp;F572&amp;"|"&amp;G572&amp;"|"&amp;H572&amp;"|"&amp;I572&amp;"|"&amp;J572&amp;"|"&amp;K572&amp;"|"&amp;L572&amp;"|"&amp;M572&amp;"|"&amp;N572&amp;"|"&amp;O572&amp;"|"&amp;P572</f>
        <v/>
      </c>
      <c r="R572" s="10">
        <f>IF(COUNTIF($Q$2:$Q$1409,Q572)&gt;1,IF(COUNTIF($Q$2:Q572,Q572)=1,"Exact Duplicate - Keep First","Exact Duplicate - Remove"),"Unique")</f>
        <v/>
      </c>
    </row>
    <row r="573" ht="15" customHeight="1" s="11">
      <c r="A573" s="10" t="inlineStr">
        <is>
          <t>USR-100572</t>
        </is>
      </c>
      <c r="B573" s="14" t="n">
        <v>45746</v>
      </c>
      <c r="C573" s="10" t="inlineStr">
        <is>
          <t>Control</t>
        </is>
      </c>
      <c r="D573" s="10" t="inlineStr">
        <is>
          <t>East</t>
        </is>
      </c>
      <c r="E573" s="10" t="inlineStr">
        <is>
          <t>Mobile</t>
        </is>
      </c>
      <c r="F573" s="10" t="inlineStr">
        <is>
          <t>Email</t>
        </is>
      </c>
      <c r="G573" s="10" t="inlineStr">
        <is>
          <t>Basic</t>
        </is>
      </c>
      <c r="H573" s="10" t="n">
        <v>1</v>
      </c>
      <c r="I573" s="10" t="n">
        <v>0</v>
      </c>
      <c r="J573" s="10" t="n">
        <v>0</v>
      </c>
      <c r="K573" s="10" t="n">
        <v>0</v>
      </c>
      <c r="L573" s="10" t="n">
        <v>0</v>
      </c>
      <c r="M573" s="10" t="n">
        <v>0</v>
      </c>
      <c r="N573" s="10" t="n">
        <v>0</v>
      </c>
      <c r="P573" s="10" t="n">
        <v>78.7</v>
      </c>
      <c r="Q573" s="10">
        <f>A573&amp;"|"&amp;B573&amp;"|"&amp;C573&amp;"|"&amp;D573&amp;"|"&amp;E573&amp;"|"&amp;F573&amp;"|"&amp;G573&amp;"|"&amp;H573&amp;"|"&amp;I573&amp;"|"&amp;J573&amp;"|"&amp;K573&amp;"|"&amp;L573&amp;"|"&amp;M573&amp;"|"&amp;N573&amp;"|"&amp;O573&amp;"|"&amp;P573</f>
        <v/>
      </c>
      <c r="R573" s="10">
        <f>IF(COUNTIF($Q$2:$Q$1409,Q573)&gt;1,IF(COUNTIF($Q$2:Q573,Q573)=1,"Exact Duplicate - Keep First","Exact Duplicate - Remove"),"Unique")</f>
        <v/>
      </c>
    </row>
    <row r="574" ht="15" customHeight="1" s="11">
      <c r="A574" s="10" t="inlineStr">
        <is>
          <t>USR-100573</t>
        </is>
      </c>
      <c r="B574" s="14" t="n">
        <v>45808</v>
      </c>
      <c r="C574" s="10" t="inlineStr">
        <is>
          <t>Control</t>
        </is>
      </c>
      <c r="D574" s="10" t="inlineStr">
        <is>
          <t>South</t>
        </is>
      </c>
      <c r="E574" s="10" t="inlineStr">
        <is>
          <t>Desktop</t>
        </is>
      </c>
      <c r="F574" s="10" t="inlineStr">
        <is>
          <t>Organic</t>
        </is>
      </c>
      <c r="G574" s="10" t="inlineStr">
        <is>
          <t>Free</t>
        </is>
      </c>
      <c r="H574" s="10" t="n">
        <v>1</v>
      </c>
      <c r="I574" s="10" t="n">
        <v>0</v>
      </c>
      <c r="J574" s="10" t="n">
        <v>0</v>
      </c>
      <c r="K574" s="10" t="n">
        <v>0</v>
      </c>
      <c r="L574" s="10" t="n">
        <v>0</v>
      </c>
      <c r="M574" s="10" t="n">
        <v>0</v>
      </c>
      <c r="N574" s="10" t="n">
        <v>0</v>
      </c>
      <c r="P574" s="10" t="n">
        <v>63.6</v>
      </c>
      <c r="Q574" s="10">
        <f>A574&amp;"|"&amp;B574&amp;"|"&amp;C574&amp;"|"&amp;D574&amp;"|"&amp;E574&amp;"|"&amp;F574&amp;"|"&amp;G574&amp;"|"&amp;H574&amp;"|"&amp;I574&amp;"|"&amp;J574&amp;"|"&amp;K574&amp;"|"&amp;L574&amp;"|"&amp;M574&amp;"|"&amp;N574&amp;"|"&amp;O574&amp;"|"&amp;P574</f>
        <v/>
      </c>
      <c r="R574" s="10">
        <f>IF(COUNTIF($Q$2:$Q$1409,Q574)&gt;1,IF(COUNTIF($Q$2:Q574,Q574)=1,"Exact Duplicate - Keep First","Exact Duplicate - Remove"),"Unique")</f>
        <v/>
      </c>
    </row>
    <row r="575" ht="15" customHeight="1" s="11">
      <c r="A575" s="10" t="inlineStr">
        <is>
          <t>USR-100574</t>
        </is>
      </c>
      <c r="B575" s="14" t="n">
        <v>45708</v>
      </c>
      <c r="C575" s="10" t="inlineStr">
        <is>
          <t>Control</t>
        </is>
      </c>
      <c r="D575" s="10" t="inlineStr">
        <is>
          <t>South</t>
        </is>
      </c>
      <c r="E575" s="10" t="inlineStr">
        <is>
          <t>Mobile</t>
        </is>
      </c>
      <c r="F575" s="10" t="inlineStr">
        <is>
          <t>Email</t>
        </is>
      </c>
      <c r="G575" s="10" t="inlineStr">
        <is>
          <t>Free</t>
        </is>
      </c>
      <c r="H575" s="10" t="n">
        <v>0</v>
      </c>
      <c r="I575" s="10" t="n">
        <v>0</v>
      </c>
      <c r="J575" s="10" t="n">
        <v>0</v>
      </c>
      <c r="K575" s="10" t="n">
        <v>0</v>
      </c>
      <c r="L575" s="10" t="n">
        <v>0</v>
      </c>
      <c r="M575" s="10" t="n">
        <v>2</v>
      </c>
      <c r="N575" s="10" t="n">
        <v>0</v>
      </c>
      <c r="P575" s="10" t="n">
        <v>45.1</v>
      </c>
      <c r="Q575" s="10">
        <f>A575&amp;"|"&amp;B575&amp;"|"&amp;C575&amp;"|"&amp;D575&amp;"|"&amp;E575&amp;"|"&amp;F575&amp;"|"&amp;G575&amp;"|"&amp;H575&amp;"|"&amp;I575&amp;"|"&amp;J575&amp;"|"&amp;K575&amp;"|"&amp;L575&amp;"|"&amp;M575&amp;"|"&amp;N575&amp;"|"&amp;O575&amp;"|"&amp;P575</f>
        <v/>
      </c>
      <c r="R575" s="10">
        <f>IF(COUNTIF($Q$2:$Q$1409,Q575)&gt;1,IF(COUNTIF($Q$2:Q575,Q575)=1,"Exact Duplicate - Keep First","Exact Duplicate - Remove"),"Unique")</f>
        <v/>
      </c>
    </row>
    <row r="576" ht="15" customHeight="1" s="11">
      <c r="A576" s="10" t="inlineStr">
        <is>
          <t>USR-100575</t>
        </is>
      </c>
      <c r="B576" s="14" t="n">
        <v>45670</v>
      </c>
      <c r="C576" s="10" t="inlineStr">
        <is>
          <t>Control</t>
        </is>
      </c>
      <c r="D576" s="10" t="inlineStr">
        <is>
          <t>West</t>
        </is>
      </c>
      <c r="E576" s="10" t="inlineStr">
        <is>
          <t>Mobile</t>
        </is>
      </c>
      <c r="F576" s="10" t="inlineStr">
        <is>
          <t>Social</t>
        </is>
      </c>
      <c r="G576" s="10" t="inlineStr">
        <is>
          <t>Free</t>
        </is>
      </c>
      <c r="H576" s="10" t="n">
        <v>0</v>
      </c>
      <c r="I576" s="10" t="n">
        <v>0</v>
      </c>
      <c r="J576" s="10" t="n">
        <v>0</v>
      </c>
      <c r="K576" s="10" t="n">
        <v>0</v>
      </c>
      <c r="L576" s="10" t="n">
        <v>0</v>
      </c>
      <c r="M576" s="10" t="n">
        <v>0</v>
      </c>
      <c r="N576" s="10" t="n">
        <v>0</v>
      </c>
      <c r="P576" s="10" t="n">
        <v>77.5</v>
      </c>
      <c r="Q576" s="10">
        <f>A576&amp;"|"&amp;B576&amp;"|"&amp;C576&amp;"|"&amp;D576&amp;"|"&amp;E576&amp;"|"&amp;F576&amp;"|"&amp;G576&amp;"|"&amp;H576&amp;"|"&amp;I576&amp;"|"&amp;J576&amp;"|"&amp;K576&amp;"|"&amp;L576&amp;"|"&amp;M576&amp;"|"&amp;N576&amp;"|"&amp;O576&amp;"|"&amp;P576</f>
        <v/>
      </c>
      <c r="R576" s="10">
        <f>IF(COUNTIF($Q$2:$Q$1409,Q576)&gt;1,IF(COUNTIF($Q$2:Q576,Q576)=1,"Exact Duplicate - Keep First","Exact Duplicate - Remove"),"Unique")</f>
        <v/>
      </c>
    </row>
    <row r="577" ht="15" customHeight="1" s="11">
      <c r="A577" s="10" t="inlineStr">
        <is>
          <t>USR-100576</t>
        </is>
      </c>
      <c r="B577" s="14" t="n">
        <v>45790</v>
      </c>
      <c r="C577" s="10" t="inlineStr">
        <is>
          <t>Control</t>
        </is>
      </c>
      <c r="D577" s="10" t="inlineStr">
        <is>
          <t>East</t>
        </is>
      </c>
      <c r="E577" s="10" t="inlineStr">
        <is>
          <t>Desktop</t>
        </is>
      </c>
      <c r="F577" s="10" t="inlineStr">
        <is>
          <t>Paid Search</t>
        </is>
      </c>
      <c r="G577" s="10" t="inlineStr">
        <is>
          <t>Basic</t>
        </is>
      </c>
      <c r="H577" s="10" t="n">
        <v>1</v>
      </c>
      <c r="I577" s="10" t="n">
        <v>1</v>
      </c>
      <c r="J577" s="10" t="n">
        <v>0</v>
      </c>
      <c r="K577" s="10" t="n">
        <v>0</v>
      </c>
      <c r="L577" s="10" t="n">
        <v>0</v>
      </c>
      <c r="M577" s="10" t="n">
        <v>0</v>
      </c>
      <c r="N577" s="10" t="n">
        <v>0</v>
      </c>
      <c r="P577" s="10" t="n">
        <v>58</v>
      </c>
      <c r="Q577" s="10">
        <f>A577&amp;"|"&amp;B577&amp;"|"&amp;C577&amp;"|"&amp;D577&amp;"|"&amp;E577&amp;"|"&amp;F577&amp;"|"&amp;G577&amp;"|"&amp;H577&amp;"|"&amp;I577&amp;"|"&amp;J577&amp;"|"&amp;K577&amp;"|"&amp;L577&amp;"|"&amp;M577&amp;"|"&amp;N577&amp;"|"&amp;O577&amp;"|"&amp;P577</f>
        <v/>
      </c>
      <c r="R577" s="10">
        <f>IF(COUNTIF($Q$2:$Q$1409,Q577)&gt;1,IF(COUNTIF($Q$2:Q577,Q577)=1,"Exact Duplicate - Keep First","Exact Duplicate - Remove"),"Unique")</f>
        <v/>
      </c>
    </row>
    <row r="578" ht="15" customHeight="1" s="11">
      <c r="A578" s="10" t="inlineStr">
        <is>
          <t>USR-100577</t>
        </is>
      </c>
      <c r="B578" s="14" t="n">
        <v>45768</v>
      </c>
      <c r="C578" s="10" t="inlineStr">
        <is>
          <t>Control</t>
        </is>
      </c>
      <c r="D578" s="10" t="inlineStr">
        <is>
          <t>South</t>
        </is>
      </c>
      <c r="E578" s="10" t="inlineStr">
        <is>
          <t>Tablet</t>
        </is>
      </c>
      <c r="F578" s="10" t="inlineStr">
        <is>
          <t>Organic</t>
        </is>
      </c>
      <c r="G578" s="10" t="inlineStr">
        <is>
          <t>Free</t>
        </is>
      </c>
      <c r="H578" s="10" t="n">
        <v>1</v>
      </c>
      <c r="I578" s="10" t="n">
        <v>0</v>
      </c>
      <c r="J578" s="10" t="n">
        <v>0</v>
      </c>
      <c r="K578" s="10" t="n">
        <v>0</v>
      </c>
      <c r="L578" s="10" t="n">
        <v>0</v>
      </c>
      <c r="M578" s="10" t="n">
        <v>0</v>
      </c>
      <c r="N578" s="10" t="n">
        <v>0</v>
      </c>
      <c r="P578" s="10" t="n">
        <v>68.09999999999999</v>
      </c>
      <c r="Q578" s="10">
        <f>A578&amp;"|"&amp;B578&amp;"|"&amp;C578&amp;"|"&amp;D578&amp;"|"&amp;E578&amp;"|"&amp;F578&amp;"|"&amp;G578&amp;"|"&amp;H578&amp;"|"&amp;I578&amp;"|"&amp;J578&amp;"|"&amp;K578&amp;"|"&amp;L578&amp;"|"&amp;M578&amp;"|"&amp;N578&amp;"|"&amp;O578&amp;"|"&amp;P578</f>
        <v/>
      </c>
      <c r="R578" s="10">
        <f>IF(COUNTIF($Q$2:$Q$1409,Q578)&gt;1,IF(COUNTIF($Q$2:Q578,Q578)=1,"Exact Duplicate - Keep First","Exact Duplicate - Remove"),"Unique")</f>
        <v/>
      </c>
    </row>
    <row r="579" ht="15" customHeight="1" s="11">
      <c r="A579" s="10" t="inlineStr">
        <is>
          <t>USR-100578</t>
        </is>
      </c>
      <c r="B579" s="14" t="n">
        <v>45717</v>
      </c>
      <c r="C579" s="10" t="inlineStr">
        <is>
          <t>Control</t>
        </is>
      </c>
      <c r="D579" s="10" t="inlineStr">
        <is>
          <t>East</t>
        </is>
      </c>
      <c r="E579" s="10" t="inlineStr">
        <is>
          <t>Tablet</t>
        </is>
      </c>
      <c r="F579" s="10" t="inlineStr">
        <is>
          <t>Organic</t>
        </is>
      </c>
      <c r="G579" s="10" t="inlineStr">
        <is>
          <t>Premium</t>
        </is>
      </c>
      <c r="H579" s="10" t="n">
        <v>1</v>
      </c>
      <c r="I579" s="10" t="n">
        <v>0</v>
      </c>
      <c r="J579" s="10" t="n">
        <v>0</v>
      </c>
      <c r="K579" s="10" t="n">
        <v>0</v>
      </c>
      <c r="L579" s="10" t="n">
        <v>0</v>
      </c>
      <c r="M579" s="10" t="n">
        <v>0</v>
      </c>
      <c r="N579" s="10" t="n">
        <v>0</v>
      </c>
      <c r="P579" s="10" t="n">
        <v>35.4</v>
      </c>
      <c r="Q579" s="10">
        <f>A579&amp;"|"&amp;B579&amp;"|"&amp;C579&amp;"|"&amp;D579&amp;"|"&amp;E579&amp;"|"&amp;F579&amp;"|"&amp;G579&amp;"|"&amp;H579&amp;"|"&amp;I579&amp;"|"&amp;J579&amp;"|"&amp;K579&amp;"|"&amp;L579&amp;"|"&amp;M579&amp;"|"&amp;N579&amp;"|"&amp;O579&amp;"|"&amp;P579</f>
        <v/>
      </c>
      <c r="R579" s="10">
        <f>IF(COUNTIF($Q$2:$Q$1409,Q579)&gt;1,IF(COUNTIF($Q$2:Q579,Q579)=1,"Exact Duplicate - Keep First","Exact Duplicate - Remove"),"Unique")</f>
        <v/>
      </c>
    </row>
    <row r="580" ht="15" customHeight="1" s="11">
      <c r="A580" s="10" t="inlineStr">
        <is>
          <t>USR-100579</t>
        </is>
      </c>
      <c r="B580" s="14" t="n">
        <v>45726</v>
      </c>
      <c r="C580" s="10" t="inlineStr">
        <is>
          <t>Control</t>
        </is>
      </c>
      <c r="D580" s="10" t="inlineStr">
        <is>
          <t>West</t>
        </is>
      </c>
      <c r="E580" s="10" t="inlineStr">
        <is>
          <t>Tablet</t>
        </is>
      </c>
      <c r="F580" s="10" t="inlineStr">
        <is>
          <t>Organic</t>
        </is>
      </c>
      <c r="G580" s="10" t="inlineStr">
        <is>
          <t>Free</t>
        </is>
      </c>
      <c r="H580" s="10" t="n">
        <v>0</v>
      </c>
      <c r="I580" s="10" t="n">
        <v>0</v>
      </c>
      <c r="J580" s="10" t="n">
        <v>0</v>
      </c>
      <c r="K580" s="10" t="n">
        <v>0</v>
      </c>
      <c r="L580" s="10" t="n">
        <v>0</v>
      </c>
      <c r="M580" s="10" t="n">
        <v>0</v>
      </c>
      <c r="N580" s="10" t="n">
        <v>0</v>
      </c>
      <c r="P580" s="10" t="n">
        <v>47</v>
      </c>
      <c r="Q580" s="10">
        <f>A580&amp;"|"&amp;B580&amp;"|"&amp;C580&amp;"|"&amp;D580&amp;"|"&amp;E580&amp;"|"&amp;F580&amp;"|"&amp;G580&amp;"|"&amp;H580&amp;"|"&amp;I580&amp;"|"&amp;J580&amp;"|"&amp;K580&amp;"|"&amp;L580&amp;"|"&amp;M580&amp;"|"&amp;N580&amp;"|"&amp;O580&amp;"|"&amp;P580</f>
        <v/>
      </c>
      <c r="R580" s="10">
        <f>IF(COUNTIF($Q$2:$Q$1409,Q580)&gt;1,IF(COUNTIF($Q$2:Q580,Q580)=1,"Exact Duplicate - Keep First","Exact Duplicate - Remove"),"Unique")</f>
        <v/>
      </c>
    </row>
    <row r="581" ht="15" customHeight="1" s="11">
      <c r="A581" s="10" t="inlineStr">
        <is>
          <t>USR-100580</t>
        </is>
      </c>
      <c r="B581" s="14" t="n">
        <v>45724</v>
      </c>
      <c r="C581" s="10" t="inlineStr">
        <is>
          <t>Control</t>
        </is>
      </c>
      <c r="D581" s="10" t="inlineStr">
        <is>
          <t>East</t>
        </is>
      </c>
      <c r="E581" s="10" t="inlineStr">
        <is>
          <t>Desktop</t>
        </is>
      </c>
      <c r="F581" s="10" t="inlineStr">
        <is>
          <t>Paid Search</t>
        </is>
      </c>
      <c r="G581" s="10" t="inlineStr">
        <is>
          <t>Free</t>
        </is>
      </c>
      <c r="H581" s="10" t="n">
        <v>0</v>
      </c>
      <c r="I581" s="10" t="n">
        <v>0</v>
      </c>
      <c r="J581" s="10" t="n">
        <v>0</v>
      </c>
      <c r="K581" s="10" t="n">
        <v>0</v>
      </c>
      <c r="L581" s="10" t="n">
        <v>0</v>
      </c>
      <c r="M581" s="10" t="n">
        <v>0</v>
      </c>
      <c r="N581" s="10" t="n">
        <v>0</v>
      </c>
      <c r="P581" s="10" t="n">
        <v>75</v>
      </c>
      <c r="Q581" s="10">
        <f>A581&amp;"|"&amp;B581&amp;"|"&amp;C581&amp;"|"&amp;D581&amp;"|"&amp;E581&amp;"|"&amp;F581&amp;"|"&amp;G581&amp;"|"&amp;H581&amp;"|"&amp;I581&amp;"|"&amp;J581&amp;"|"&amp;K581&amp;"|"&amp;L581&amp;"|"&amp;M581&amp;"|"&amp;N581&amp;"|"&amp;O581&amp;"|"&amp;P581</f>
        <v/>
      </c>
      <c r="R581" s="10">
        <f>IF(COUNTIF($Q$2:$Q$1409,Q581)&gt;1,IF(COUNTIF($Q$2:Q581,Q581)=1,"Exact Duplicate - Keep First","Exact Duplicate - Remove"),"Unique")</f>
        <v/>
      </c>
    </row>
    <row r="582" ht="15" customHeight="1" s="11">
      <c r="A582" s="10" t="inlineStr">
        <is>
          <t>USR-100581</t>
        </is>
      </c>
      <c r="B582" s="14" t="n">
        <v>45803</v>
      </c>
      <c r="C582" s="10" t="inlineStr">
        <is>
          <t>Control</t>
        </is>
      </c>
      <c r="D582" s="10" t="inlineStr">
        <is>
          <t>South</t>
        </is>
      </c>
      <c r="E582" s="10" t="inlineStr">
        <is>
          <t>Desktop</t>
        </is>
      </c>
      <c r="F582" s="10" t="inlineStr">
        <is>
          <t>Paid Search</t>
        </is>
      </c>
      <c r="G582" s="10" t="inlineStr">
        <is>
          <t>Free</t>
        </is>
      </c>
      <c r="H582" s="10" t="n">
        <v>1</v>
      </c>
      <c r="I582" s="10" t="n">
        <v>1</v>
      </c>
      <c r="J582" s="10" t="n">
        <v>1</v>
      </c>
      <c r="K582" s="10" t="n">
        <v>0</v>
      </c>
      <c r="L582" s="10" t="n">
        <v>0</v>
      </c>
      <c r="M582" s="10" t="n">
        <v>3</v>
      </c>
      <c r="N582" s="10" t="n">
        <v>0</v>
      </c>
      <c r="P582" s="10" t="n">
        <v>50.2</v>
      </c>
      <c r="Q582" s="10">
        <f>A582&amp;"|"&amp;B582&amp;"|"&amp;C582&amp;"|"&amp;D582&amp;"|"&amp;E582&amp;"|"&amp;F582&amp;"|"&amp;G582&amp;"|"&amp;H582&amp;"|"&amp;I582&amp;"|"&amp;J582&amp;"|"&amp;K582&amp;"|"&amp;L582&amp;"|"&amp;M582&amp;"|"&amp;N582&amp;"|"&amp;O582&amp;"|"&amp;P582</f>
        <v/>
      </c>
      <c r="R582" s="10">
        <f>IF(COUNTIF($Q$2:$Q$1409,Q582)&gt;1,IF(COUNTIF($Q$2:Q582,Q582)=1,"Exact Duplicate - Keep First","Exact Duplicate - Remove"),"Unique")</f>
        <v/>
      </c>
    </row>
    <row r="583" ht="15" customHeight="1" s="11">
      <c r="A583" s="10" t="inlineStr">
        <is>
          <t>USR-100582</t>
        </is>
      </c>
      <c r="B583" s="14" t="n">
        <v>45797</v>
      </c>
      <c r="C583" s="10" t="inlineStr">
        <is>
          <t>Control</t>
        </is>
      </c>
      <c r="D583" s="10" t="inlineStr">
        <is>
          <t>East</t>
        </is>
      </c>
      <c r="E583" s="10" t="inlineStr">
        <is>
          <t>Desktop</t>
        </is>
      </c>
      <c r="F583" s="10" t="inlineStr">
        <is>
          <t>Paid Search</t>
        </is>
      </c>
      <c r="G583" s="10" t="inlineStr">
        <is>
          <t>Free</t>
        </is>
      </c>
      <c r="H583" s="10" t="n">
        <v>1</v>
      </c>
      <c r="I583" s="10" t="n">
        <v>0</v>
      </c>
      <c r="J583" s="10" t="n">
        <v>0</v>
      </c>
      <c r="K583" s="10" t="n">
        <v>0</v>
      </c>
      <c r="L583" s="10" t="n">
        <v>0</v>
      </c>
      <c r="M583" s="10" t="n">
        <v>0</v>
      </c>
      <c r="N583" s="10" t="n">
        <v>0</v>
      </c>
      <c r="P583" s="10" t="n">
        <v>40.1</v>
      </c>
      <c r="Q583" s="10">
        <f>A583&amp;"|"&amp;B583&amp;"|"&amp;C583&amp;"|"&amp;D583&amp;"|"&amp;E583&amp;"|"&amp;F583&amp;"|"&amp;G583&amp;"|"&amp;H583&amp;"|"&amp;I583&amp;"|"&amp;J583&amp;"|"&amp;K583&amp;"|"&amp;L583&amp;"|"&amp;M583&amp;"|"&amp;N583&amp;"|"&amp;O583&amp;"|"&amp;P583</f>
        <v/>
      </c>
      <c r="R583" s="10">
        <f>IF(COUNTIF($Q$2:$Q$1409,Q583)&gt;1,IF(COUNTIF($Q$2:Q583,Q583)=1,"Exact Duplicate - Keep First","Exact Duplicate - Remove"),"Unique")</f>
        <v/>
      </c>
    </row>
    <row r="584" ht="15" customHeight="1" s="11">
      <c r="A584" s="10" t="inlineStr">
        <is>
          <t>USR-100583</t>
        </is>
      </c>
      <c r="B584" s="14" t="n">
        <v>45738</v>
      </c>
      <c r="C584" s="10" t="inlineStr">
        <is>
          <t>Control</t>
        </is>
      </c>
      <c r="D584" s="10" t="inlineStr">
        <is>
          <t>West</t>
        </is>
      </c>
      <c r="E584" s="10" t="inlineStr">
        <is>
          <t>Desktop</t>
        </is>
      </c>
      <c r="F584" s="10" t="inlineStr">
        <is>
          <t>Paid Search</t>
        </is>
      </c>
      <c r="G584" s="10" t="inlineStr">
        <is>
          <t>Free</t>
        </is>
      </c>
      <c r="H584" s="10" t="n">
        <v>0</v>
      </c>
      <c r="I584" s="10" t="n">
        <v>0</v>
      </c>
      <c r="J584" s="10" t="n">
        <v>0</v>
      </c>
      <c r="K584" s="10" t="n">
        <v>0</v>
      </c>
      <c r="L584" s="10" t="n">
        <v>0</v>
      </c>
      <c r="M584" s="10" t="n">
        <v>0</v>
      </c>
      <c r="N584" s="10" t="n">
        <v>0</v>
      </c>
      <c r="P584" s="10" t="n">
        <v>61.1</v>
      </c>
      <c r="Q584" s="10">
        <f>A584&amp;"|"&amp;B584&amp;"|"&amp;C584&amp;"|"&amp;D584&amp;"|"&amp;E584&amp;"|"&amp;F584&amp;"|"&amp;G584&amp;"|"&amp;H584&amp;"|"&amp;I584&amp;"|"&amp;J584&amp;"|"&amp;K584&amp;"|"&amp;L584&amp;"|"&amp;M584&amp;"|"&amp;N584&amp;"|"&amp;O584&amp;"|"&amp;P584</f>
        <v/>
      </c>
      <c r="R584" s="10">
        <f>IF(COUNTIF($Q$2:$Q$1409,Q584)&gt;1,IF(COUNTIF($Q$2:Q584,Q584)=1,"Exact Duplicate - Keep First","Exact Duplicate - Remove"),"Unique")</f>
        <v/>
      </c>
    </row>
    <row r="585" ht="15" customHeight="1" s="11">
      <c r="A585" s="10" t="inlineStr">
        <is>
          <t>USR-100584</t>
        </is>
      </c>
      <c r="B585" s="14" t="n">
        <v>45703</v>
      </c>
      <c r="C585" s="10" t="inlineStr">
        <is>
          <t>Control</t>
        </is>
      </c>
      <c r="D585" s="10" t="inlineStr">
        <is>
          <t>South</t>
        </is>
      </c>
      <c r="E585" s="10" t="inlineStr">
        <is>
          <t>Desktop</t>
        </is>
      </c>
      <c r="F585" s="10" t="inlineStr">
        <is>
          <t>Paid Search</t>
        </is>
      </c>
      <c r="G585" s="10" t="inlineStr">
        <is>
          <t>Free</t>
        </is>
      </c>
      <c r="H585" s="10" t="n">
        <v>0</v>
      </c>
      <c r="I585" s="10" t="n">
        <v>0</v>
      </c>
      <c r="J585" s="10" t="n">
        <v>0</v>
      </c>
      <c r="K585" s="10" t="n">
        <v>0</v>
      </c>
      <c r="L585" s="10" t="n">
        <v>0</v>
      </c>
      <c r="M585" s="10" t="n">
        <v>0</v>
      </c>
      <c r="N585" s="10" t="n">
        <v>0</v>
      </c>
      <c r="P585" s="10" t="n">
        <v>42.4</v>
      </c>
      <c r="Q585" s="10">
        <f>A585&amp;"|"&amp;B585&amp;"|"&amp;C585&amp;"|"&amp;D585&amp;"|"&amp;E585&amp;"|"&amp;F585&amp;"|"&amp;G585&amp;"|"&amp;H585&amp;"|"&amp;I585&amp;"|"&amp;J585&amp;"|"&amp;K585&amp;"|"&amp;L585&amp;"|"&amp;M585&amp;"|"&amp;N585&amp;"|"&amp;O585&amp;"|"&amp;P585</f>
        <v/>
      </c>
      <c r="R585" s="10">
        <f>IF(COUNTIF($Q$2:$Q$1409,Q585)&gt;1,IF(COUNTIF($Q$2:Q585,Q585)=1,"Exact Duplicate - Keep First","Exact Duplicate - Remove"),"Unique")</f>
        <v/>
      </c>
    </row>
    <row r="586" ht="15" customHeight="1" s="11">
      <c r="A586" s="10" t="inlineStr">
        <is>
          <t>USR-100585</t>
        </is>
      </c>
      <c r="B586" s="14" t="n">
        <v>45665</v>
      </c>
      <c r="C586" s="10" t="inlineStr">
        <is>
          <t>Control</t>
        </is>
      </c>
      <c r="D586" s="10" t="inlineStr">
        <is>
          <t>North</t>
        </is>
      </c>
      <c r="E586" s="10" t="inlineStr">
        <is>
          <t>Mobile</t>
        </is>
      </c>
      <c r="F586" s="10" t="inlineStr">
        <is>
          <t>Social</t>
        </is>
      </c>
      <c r="G586" s="10" t="inlineStr">
        <is>
          <t>Free</t>
        </is>
      </c>
      <c r="H586" s="10" t="n">
        <v>0</v>
      </c>
      <c r="I586" s="10" t="n">
        <v>0</v>
      </c>
      <c r="J586" s="10" t="n">
        <v>0</v>
      </c>
      <c r="K586" s="10" t="n">
        <v>0</v>
      </c>
      <c r="L586" s="10" t="n">
        <v>0</v>
      </c>
      <c r="M586" s="10" t="n">
        <v>1</v>
      </c>
      <c r="N586" s="10" t="n">
        <v>0</v>
      </c>
      <c r="P586" s="10" t="n">
        <v>46.6</v>
      </c>
      <c r="Q586" s="10">
        <f>A586&amp;"|"&amp;B586&amp;"|"&amp;C586&amp;"|"&amp;D586&amp;"|"&amp;E586&amp;"|"&amp;F586&amp;"|"&amp;G586&amp;"|"&amp;H586&amp;"|"&amp;I586&amp;"|"&amp;J586&amp;"|"&amp;K586&amp;"|"&amp;L586&amp;"|"&amp;M586&amp;"|"&amp;N586&amp;"|"&amp;O586&amp;"|"&amp;P586</f>
        <v/>
      </c>
      <c r="R586" s="10">
        <f>IF(COUNTIF($Q$2:$Q$1409,Q586)&gt;1,IF(COUNTIF($Q$2:Q586,Q586)=1,"Exact Duplicate - Keep First","Exact Duplicate - Remove"),"Unique")</f>
        <v/>
      </c>
    </row>
    <row r="587" ht="15" customHeight="1" s="11">
      <c r="A587" s="10" t="inlineStr">
        <is>
          <t>USR-100586</t>
        </is>
      </c>
      <c r="B587" s="14" t="n">
        <v>45686</v>
      </c>
      <c r="C587" s="10" t="inlineStr">
        <is>
          <t>Control</t>
        </is>
      </c>
      <c r="D587" s="10" t="inlineStr">
        <is>
          <t>South</t>
        </is>
      </c>
      <c r="E587" s="10" t="inlineStr">
        <is>
          <t>Mobile</t>
        </is>
      </c>
      <c r="F587" s="10" t="inlineStr">
        <is>
          <t>Organic</t>
        </is>
      </c>
      <c r="G587" s="10" t="inlineStr">
        <is>
          <t>Premium</t>
        </is>
      </c>
      <c r="H587" s="10" t="n">
        <v>1</v>
      </c>
      <c r="I587" s="10" t="n">
        <v>1</v>
      </c>
      <c r="J587" s="10" t="n">
        <v>0</v>
      </c>
      <c r="K587" s="10" t="n">
        <v>0</v>
      </c>
      <c r="L587" s="10" t="n">
        <v>0</v>
      </c>
      <c r="M587" s="10" t="n">
        <v>0</v>
      </c>
      <c r="N587" s="10" t="n">
        <v>0</v>
      </c>
      <c r="P587" s="10" t="n">
        <v>72.09999999999999</v>
      </c>
      <c r="Q587" s="10">
        <f>A587&amp;"|"&amp;B587&amp;"|"&amp;C587&amp;"|"&amp;D587&amp;"|"&amp;E587&amp;"|"&amp;F587&amp;"|"&amp;G587&amp;"|"&amp;H587&amp;"|"&amp;I587&amp;"|"&amp;J587&amp;"|"&amp;K587&amp;"|"&amp;L587&amp;"|"&amp;M587&amp;"|"&amp;N587&amp;"|"&amp;O587&amp;"|"&amp;P587</f>
        <v/>
      </c>
      <c r="R587" s="10">
        <f>IF(COUNTIF($Q$2:$Q$1409,Q587)&gt;1,IF(COUNTIF($Q$2:Q587,Q587)=1,"Exact Duplicate - Keep First","Exact Duplicate - Remove"),"Unique")</f>
        <v/>
      </c>
    </row>
    <row r="588" ht="15" customHeight="1" s="11">
      <c r="A588" s="10" t="inlineStr">
        <is>
          <t>USR-100587</t>
        </is>
      </c>
      <c r="B588" s="14" t="n">
        <v>45784</v>
      </c>
      <c r="C588" s="10" t="inlineStr">
        <is>
          <t>Control</t>
        </is>
      </c>
      <c r="D588" s="10" t="inlineStr">
        <is>
          <t>East</t>
        </is>
      </c>
      <c r="E588" s="10" t="inlineStr">
        <is>
          <t>Tablet</t>
        </is>
      </c>
      <c r="F588" s="10" t="inlineStr">
        <is>
          <t>Organic</t>
        </is>
      </c>
      <c r="G588" s="10" t="inlineStr">
        <is>
          <t>Free</t>
        </is>
      </c>
      <c r="H588" s="10" t="n">
        <v>0</v>
      </c>
      <c r="I588" s="10" t="n">
        <v>0</v>
      </c>
      <c r="J588" s="10" t="n">
        <v>0</v>
      </c>
      <c r="K588" s="10" t="n">
        <v>0</v>
      </c>
      <c r="L588" s="10" t="n">
        <v>0</v>
      </c>
      <c r="M588" s="10" t="n">
        <v>0</v>
      </c>
      <c r="N588" s="10" t="n">
        <v>0</v>
      </c>
      <c r="P588" s="10" t="n">
        <v>21.5</v>
      </c>
      <c r="Q588" s="10">
        <f>A588&amp;"|"&amp;B588&amp;"|"&amp;C588&amp;"|"&amp;D588&amp;"|"&amp;E588&amp;"|"&amp;F588&amp;"|"&amp;G588&amp;"|"&amp;H588&amp;"|"&amp;I588&amp;"|"&amp;J588&amp;"|"&amp;K588&amp;"|"&amp;L588&amp;"|"&amp;M588&amp;"|"&amp;N588&amp;"|"&amp;O588&amp;"|"&amp;P588</f>
        <v/>
      </c>
      <c r="R588" s="10">
        <f>IF(COUNTIF($Q$2:$Q$1409,Q588)&gt;1,IF(COUNTIF($Q$2:Q588,Q588)=1,"Exact Duplicate - Keep First","Exact Duplicate - Remove"),"Unique")</f>
        <v/>
      </c>
    </row>
    <row r="589" ht="15" customHeight="1" s="11">
      <c r="A589" s="10" t="inlineStr">
        <is>
          <t>USR-100588</t>
        </is>
      </c>
      <c r="B589" s="14" t="n">
        <v>45717</v>
      </c>
      <c r="C589" s="10" t="inlineStr">
        <is>
          <t>Control</t>
        </is>
      </c>
      <c r="D589" s="10" t="inlineStr">
        <is>
          <t>North</t>
        </is>
      </c>
      <c r="E589" s="10" t="inlineStr">
        <is>
          <t>Mobile</t>
        </is>
      </c>
      <c r="F589" s="10" t="inlineStr">
        <is>
          <t>Social</t>
        </is>
      </c>
      <c r="G589" s="10" t="inlineStr">
        <is>
          <t>Basic</t>
        </is>
      </c>
      <c r="H589" s="10" t="n">
        <v>1</v>
      </c>
      <c r="I589" s="10" t="n">
        <v>0</v>
      </c>
      <c r="J589" s="10" t="n">
        <v>0</v>
      </c>
      <c r="K589" s="10" t="n">
        <v>0</v>
      </c>
      <c r="L589" s="10" t="n">
        <v>0</v>
      </c>
      <c r="M589" s="10" t="n">
        <v>1</v>
      </c>
      <c r="N589" s="10" t="n">
        <v>0</v>
      </c>
      <c r="P589" s="10" t="n">
        <v>65.40000000000001</v>
      </c>
      <c r="Q589" s="10">
        <f>A589&amp;"|"&amp;B589&amp;"|"&amp;C589&amp;"|"&amp;D589&amp;"|"&amp;E589&amp;"|"&amp;F589&amp;"|"&amp;G589&amp;"|"&amp;H589&amp;"|"&amp;I589&amp;"|"&amp;J589&amp;"|"&amp;K589&amp;"|"&amp;L589&amp;"|"&amp;M589&amp;"|"&amp;N589&amp;"|"&amp;O589&amp;"|"&amp;P589</f>
        <v/>
      </c>
      <c r="R589" s="10">
        <f>IF(COUNTIF($Q$2:$Q$1409,Q589)&gt;1,IF(COUNTIF($Q$2:Q589,Q589)=1,"Exact Duplicate - Keep First","Exact Duplicate - Remove"),"Unique")</f>
        <v/>
      </c>
    </row>
    <row r="590" ht="15" customHeight="1" s="11">
      <c r="A590" s="10" t="inlineStr">
        <is>
          <t>USR-100589</t>
        </is>
      </c>
      <c r="B590" s="14" t="n">
        <v>45767</v>
      </c>
      <c r="C590" s="10" t="inlineStr">
        <is>
          <t>Control</t>
        </is>
      </c>
      <c r="D590" s="10" t="inlineStr">
        <is>
          <t>East</t>
        </is>
      </c>
      <c r="E590" s="10" t="inlineStr">
        <is>
          <t>Mobile</t>
        </is>
      </c>
      <c r="F590" s="10" t="inlineStr">
        <is>
          <t>Organic</t>
        </is>
      </c>
      <c r="G590" s="10" t="inlineStr">
        <is>
          <t>Free</t>
        </is>
      </c>
      <c r="H590" s="10" t="n">
        <v>1</v>
      </c>
      <c r="I590" s="10" t="n">
        <v>1</v>
      </c>
      <c r="J590" s="10" t="n">
        <v>0</v>
      </c>
      <c r="K590" s="10" t="n">
        <v>0</v>
      </c>
      <c r="L590" s="10" t="n">
        <v>0</v>
      </c>
      <c r="M590" s="10" t="n">
        <v>0</v>
      </c>
      <c r="N590" s="10" t="n">
        <v>0</v>
      </c>
      <c r="P590" s="10" t="n">
        <v>53.3</v>
      </c>
      <c r="Q590" s="10">
        <f>A590&amp;"|"&amp;B590&amp;"|"&amp;C590&amp;"|"&amp;D590&amp;"|"&amp;E590&amp;"|"&amp;F590&amp;"|"&amp;G590&amp;"|"&amp;H590&amp;"|"&amp;I590&amp;"|"&amp;J590&amp;"|"&amp;K590&amp;"|"&amp;L590&amp;"|"&amp;M590&amp;"|"&amp;N590&amp;"|"&amp;O590&amp;"|"&amp;P590</f>
        <v/>
      </c>
      <c r="R590" s="10">
        <f>IF(COUNTIF($Q$2:$Q$1409,Q590)&gt;1,IF(COUNTIF($Q$2:Q590,Q590)=1,"Exact Duplicate - Keep First","Exact Duplicate - Remove"),"Unique")</f>
        <v/>
      </c>
    </row>
    <row r="591" ht="15" customHeight="1" s="11">
      <c r="A591" s="10" t="inlineStr">
        <is>
          <t>USR-100590</t>
        </is>
      </c>
      <c r="B591" s="14" t="n">
        <v>45673</v>
      </c>
      <c r="C591" s="10" t="inlineStr">
        <is>
          <t>Control</t>
        </is>
      </c>
      <c r="D591" s="10" t="inlineStr">
        <is>
          <t>East</t>
        </is>
      </c>
      <c r="E591" s="10" t="inlineStr">
        <is>
          <t>Mobile</t>
        </is>
      </c>
      <c r="F591" s="10" t="inlineStr">
        <is>
          <t>Organic</t>
        </is>
      </c>
      <c r="G591" s="10" t="inlineStr">
        <is>
          <t>Premium</t>
        </is>
      </c>
      <c r="H591" s="10" t="n">
        <v>0</v>
      </c>
      <c r="I591" s="10" t="n">
        <v>0</v>
      </c>
      <c r="J591" s="10" t="n">
        <v>0</v>
      </c>
      <c r="K591" s="10" t="n">
        <v>0</v>
      </c>
      <c r="L591" s="10" t="n">
        <v>0</v>
      </c>
      <c r="M591" s="10" t="n">
        <v>2</v>
      </c>
      <c r="N591" s="10" t="n">
        <v>0</v>
      </c>
      <c r="P591" s="10" t="n">
        <v>52.3</v>
      </c>
      <c r="Q591" s="10">
        <f>A591&amp;"|"&amp;B591&amp;"|"&amp;C591&amp;"|"&amp;D591&amp;"|"&amp;E591&amp;"|"&amp;F591&amp;"|"&amp;G591&amp;"|"&amp;H591&amp;"|"&amp;I591&amp;"|"&amp;J591&amp;"|"&amp;K591&amp;"|"&amp;L591&amp;"|"&amp;M591&amp;"|"&amp;N591&amp;"|"&amp;O591&amp;"|"&amp;P591</f>
        <v/>
      </c>
      <c r="R591" s="10">
        <f>IF(COUNTIF($Q$2:$Q$1409,Q591)&gt;1,IF(COUNTIF($Q$2:Q591,Q591)=1,"Exact Duplicate - Keep First","Exact Duplicate - Remove"),"Unique")</f>
        <v/>
      </c>
    </row>
    <row r="592" ht="15" customHeight="1" s="11">
      <c r="A592" s="10" t="inlineStr">
        <is>
          <t>USR-100591</t>
        </is>
      </c>
      <c r="B592" s="14" t="n">
        <v>45751</v>
      </c>
      <c r="C592" s="10" t="inlineStr">
        <is>
          <t>Control</t>
        </is>
      </c>
      <c r="D592" s="10" t="inlineStr">
        <is>
          <t>East</t>
        </is>
      </c>
      <c r="E592" s="10" t="inlineStr">
        <is>
          <t>Mobile</t>
        </is>
      </c>
      <c r="F592" s="10" t="inlineStr">
        <is>
          <t>Paid Search</t>
        </is>
      </c>
      <c r="G592" s="10" t="inlineStr">
        <is>
          <t>Free</t>
        </is>
      </c>
      <c r="H592" s="10" t="n">
        <v>1</v>
      </c>
      <c r="I592" s="10" t="n">
        <v>0</v>
      </c>
      <c r="J592" s="10" t="n">
        <v>0</v>
      </c>
      <c r="K592" s="10" t="n">
        <v>0</v>
      </c>
      <c r="L592" s="10" t="n">
        <v>0</v>
      </c>
      <c r="M592" s="10" t="n">
        <v>0</v>
      </c>
      <c r="N592" s="10" t="n">
        <v>0</v>
      </c>
      <c r="P592" s="10" t="n">
        <v>62.5</v>
      </c>
      <c r="Q592" s="10">
        <f>A592&amp;"|"&amp;B592&amp;"|"&amp;C592&amp;"|"&amp;D592&amp;"|"&amp;E592&amp;"|"&amp;F592&amp;"|"&amp;G592&amp;"|"&amp;H592&amp;"|"&amp;I592&amp;"|"&amp;J592&amp;"|"&amp;K592&amp;"|"&amp;L592&amp;"|"&amp;M592&amp;"|"&amp;N592&amp;"|"&amp;O592&amp;"|"&amp;P592</f>
        <v/>
      </c>
      <c r="R592" s="10">
        <f>IF(COUNTIF($Q$2:$Q$1409,Q592)&gt;1,IF(COUNTIF($Q$2:Q592,Q592)=1,"Exact Duplicate - Keep First","Exact Duplicate - Remove"),"Unique")</f>
        <v/>
      </c>
    </row>
    <row r="593" ht="15" customHeight="1" s="11">
      <c r="A593" s="10" t="inlineStr">
        <is>
          <t>USR-100592</t>
        </is>
      </c>
      <c r="B593" s="14" t="n">
        <v>45686</v>
      </c>
      <c r="C593" s="10" t="inlineStr">
        <is>
          <t>Control</t>
        </is>
      </c>
      <c r="D593" s="10" t="inlineStr">
        <is>
          <t>North</t>
        </is>
      </c>
      <c r="E593" s="10" t="inlineStr">
        <is>
          <t>Tablet</t>
        </is>
      </c>
      <c r="F593" s="10" t="inlineStr">
        <is>
          <t>Social</t>
        </is>
      </c>
      <c r="G593" s="10" t="inlineStr">
        <is>
          <t>Free</t>
        </is>
      </c>
      <c r="H593" s="10" t="n">
        <v>1</v>
      </c>
      <c r="I593" s="10" t="n">
        <v>0</v>
      </c>
      <c r="J593" s="10" t="n">
        <v>0</v>
      </c>
      <c r="K593" s="10" t="n">
        <v>0</v>
      </c>
      <c r="L593" s="10" t="n">
        <v>0</v>
      </c>
      <c r="M593" s="10" t="n">
        <v>0</v>
      </c>
      <c r="N593" s="10" t="n">
        <v>0</v>
      </c>
      <c r="P593" s="10" t="n">
        <v>69.8</v>
      </c>
      <c r="Q593" s="10">
        <f>A593&amp;"|"&amp;B593&amp;"|"&amp;C593&amp;"|"&amp;D593&amp;"|"&amp;E593&amp;"|"&amp;F593&amp;"|"&amp;G593&amp;"|"&amp;H593&amp;"|"&amp;I593&amp;"|"&amp;J593&amp;"|"&amp;K593&amp;"|"&amp;L593&amp;"|"&amp;M593&amp;"|"&amp;N593&amp;"|"&amp;O593&amp;"|"&amp;P593</f>
        <v/>
      </c>
      <c r="R593" s="10">
        <f>IF(COUNTIF($Q$2:$Q$1409,Q593)&gt;1,IF(COUNTIF($Q$2:Q593,Q593)=1,"Exact Duplicate - Keep First","Exact Duplicate - Remove"),"Unique")</f>
        <v/>
      </c>
    </row>
    <row r="594" ht="15" customHeight="1" s="11">
      <c r="A594" s="10" t="inlineStr">
        <is>
          <t>USR-100593</t>
        </is>
      </c>
      <c r="B594" s="14" t="n">
        <v>45766</v>
      </c>
      <c r="C594" s="10" t="inlineStr">
        <is>
          <t>Control</t>
        </is>
      </c>
      <c r="D594" s="10" t="inlineStr">
        <is>
          <t>East</t>
        </is>
      </c>
      <c r="E594" s="10" t="inlineStr">
        <is>
          <t>Mobile</t>
        </is>
      </c>
      <c r="F594" s="10" t="inlineStr">
        <is>
          <t>Email</t>
        </is>
      </c>
      <c r="G594" s="10" t="inlineStr">
        <is>
          <t>Free</t>
        </is>
      </c>
      <c r="H594" s="10" t="n">
        <v>1</v>
      </c>
      <c r="I594" s="10" t="n">
        <v>0</v>
      </c>
      <c r="J594" s="10" t="n">
        <v>0</v>
      </c>
      <c r="K594" s="10" t="n">
        <v>0</v>
      </c>
      <c r="L594" s="10" t="n">
        <v>0</v>
      </c>
      <c r="M594" s="10" t="n">
        <v>0</v>
      </c>
      <c r="N594" s="10" t="n">
        <v>0</v>
      </c>
      <c r="P594" s="10" t="n">
        <v>68.2</v>
      </c>
      <c r="Q594" s="10">
        <f>A594&amp;"|"&amp;B594&amp;"|"&amp;C594&amp;"|"&amp;D594&amp;"|"&amp;E594&amp;"|"&amp;F594&amp;"|"&amp;G594&amp;"|"&amp;H594&amp;"|"&amp;I594&amp;"|"&amp;J594&amp;"|"&amp;K594&amp;"|"&amp;L594&amp;"|"&amp;M594&amp;"|"&amp;N594&amp;"|"&amp;O594&amp;"|"&amp;P594</f>
        <v/>
      </c>
      <c r="R594" s="10">
        <f>IF(COUNTIF($Q$2:$Q$1409,Q594)&gt;1,IF(COUNTIF($Q$2:Q594,Q594)=1,"Exact Duplicate - Keep First","Exact Duplicate - Remove"),"Unique")</f>
        <v/>
      </c>
    </row>
    <row r="595" ht="15" customHeight="1" s="11">
      <c r="A595" s="10" t="inlineStr">
        <is>
          <t>USR-100594</t>
        </is>
      </c>
      <c r="B595" s="14" t="n">
        <v>45726</v>
      </c>
      <c r="C595" s="10" t="inlineStr">
        <is>
          <t>Control</t>
        </is>
      </c>
      <c r="D595" s="10" t="inlineStr">
        <is>
          <t>South</t>
        </is>
      </c>
      <c r="E595" s="10" t="inlineStr">
        <is>
          <t>Mobile</t>
        </is>
      </c>
      <c r="F595" s="10" t="inlineStr">
        <is>
          <t>Social</t>
        </is>
      </c>
      <c r="G595" s="10" t="inlineStr">
        <is>
          <t>Basic</t>
        </is>
      </c>
      <c r="H595" s="10" t="n">
        <v>1</v>
      </c>
      <c r="I595" s="10" t="n">
        <v>1</v>
      </c>
      <c r="J595" s="10" t="n">
        <v>1</v>
      </c>
      <c r="K595" s="10" t="n">
        <v>1</v>
      </c>
      <c r="L595" s="10" t="n">
        <v>751.73</v>
      </c>
      <c r="M595" s="10" t="n">
        <v>0</v>
      </c>
      <c r="N595" s="10" t="n">
        <v>0</v>
      </c>
      <c r="O595" s="10" t="n">
        <v>6</v>
      </c>
      <c r="P595" s="10" t="n">
        <v>35.2</v>
      </c>
      <c r="Q595" s="10">
        <f>A595&amp;"|"&amp;B595&amp;"|"&amp;C595&amp;"|"&amp;D595&amp;"|"&amp;E595&amp;"|"&amp;F595&amp;"|"&amp;G595&amp;"|"&amp;H595&amp;"|"&amp;I595&amp;"|"&amp;J595&amp;"|"&amp;K595&amp;"|"&amp;L595&amp;"|"&amp;M595&amp;"|"&amp;N595&amp;"|"&amp;O595&amp;"|"&amp;P595</f>
        <v/>
      </c>
      <c r="R595" s="10">
        <f>IF(COUNTIF($Q$2:$Q$1409,Q595)&gt;1,IF(COUNTIF($Q$2:Q595,Q595)=1,"Exact Duplicate - Keep First","Exact Duplicate - Remove"),"Unique")</f>
        <v/>
      </c>
    </row>
    <row r="596" ht="15" customHeight="1" s="11">
      <c r="A596" s="10" t="inlineStr">
        <is>
          <t>USR-100595</t>
        </is>
      </c>
      <c r="B596" s="14" t="n">
        <v>45787</v>
      </c>
      <c r="C596" s="10" t="inlineStr">
        <is>
          <t>Control</t>
        </is>
      </c>
      <c r="D596" s="10" t="inlineStr">
        <is>
          <t>South</t>
        </is>
      </c>
      <c r="E596" s="10" t="inlineStr">
        <is>
          <t>Mobile</t>
        </is>
      </c>
      <c r="F596" s="10" t="inlineStr">
        <is>
          <t>Social</t>
        </is>
      </c>
      <c r="G596" s="10" t="inlineStr">
        <is>
          <t>Basic</t>
        </is>
      </c>
      <c r="H596" s="10" t="n">
        <v>0</v>
      </c>
      <c r="I596" s="10" t="n">
        <v>0</v>
      </c>
      <c r="J596" s="10" t="n">
        <v>0</v>
      </c>
      <c r="K596" s="10" t="n">
        <v>0</v>
      </c>
      <c r="L596" s="10" t="n">
        <v>0</v>
      </c>
      <c r="M596" s="10" t="n">
        <v>0</v>
      </c>
      <c r="N596" s="10" t="n">
        <v>0</v>
      </c>
      <c r="P596" s="10" t="n">
        <v>59.3</v>
      </c>
      <c r="Q596" s="10">
        <f>A596&amp;"|"&amp;B596&amp;"|"&amp;C596&amp;"|"&amp;D596&amp;"|"&amp;E596&amp;"|"&amp;F596&amp;"|"&amp;G596&amp;"|"&amp;H596&amp;"|"&amp;I596&amp;"|"&amp;J596&amp;"|"&amp;K596&amp;"|"&amp;L596&amp;"|"&amp;M596&amp;"|"&amp;N596&amp;"|"&amp;O596&amp;"|"&amp;P596</f>
        <v/>
      </c>
      <c r="R596" s="10">
        <f>IF(COUNTIF($Q$2:$Q$1409,Q596)&gt;1,IF(COUNTIF($Q$2:Q596,Q596)=1,"Exact Duplicate - Keep First","Exact Duplicate - Remove"),"Unique")</f>
        <v/>
      </c>
    </row>
    <row r="597" ht="15" customHeight="1" s="11">
      <c r="A597" s="10" t="inlineStr">
        <is>
          <t>USR-100596</t>
        </is>
      </c>
      <c r="B597" s="14" t="n">
        <v>45690</v>
      </c>
      <c r="C597" s="10" t="inlineStr">
        <is>
          <t>Control</t>
        </is>
      </c>
      <c r="D597" s="10" t="inlineStr">
        <is>
          <t>North</t>
        </is>
      </c>
      <c r="E597" s="10" t="inlineStr">
        <is>
          <t>Mobile</t>
        </is>
      </c>
      <c r="F597" s="10" t="inlineStr">
        <is>
          <t>Social</t>
        </is>
      </c>
      <c r="G597" s="10" t="inlineStr">
        <is>
          <t>Free</t>
        </is>
      </c>
      <c r="H597" s="10" t="n">
        <v>0</v>
      </c>
      <c r="I597" s="10" t="n">
        <v>0</v>
      </c>
      <c r="J597" s="10" t="n">
        <v>0</v>
      </c>
      <c r="K597" s="10" t="n">
        <v>0</v>
      </c>
      <c r="L597" s="10" t="n">
        <v>0</v>
      </c>
      <c r="M597" s="10" t="n">
        <v>0</v>
      </c>
      <c r="N597" s="10" t="n">
        <v>0</v>
      </c>
      <c r="P597" s="10" t="n">
        <v>68.09999999999999</v>
      </c>
      <c r="Q597" s="10">
        <f>A597&amp;"|"&amp;B597&amp;"|"&amp;C597&amp;"|"&amp;D597&amp;"|"&amp;E597&amp;"|"&amp;F597&amp;"|"&amp;G597&amp;"|"&amp;H597&amp;"|"&amp;I597&amp;"|"&amp;J597&amp;"|"&amp;K597&amp;"|"&amp;L597&amp;"|"&amp;M597&amp;"|"&amp;N597&amp;"|"&amp;O597&amp;"|"&amp;P597</f>
        <v/>
      </c>
      <c r="R597" s="10">
        <f>IF(COUNTIF($Q$2:$Q$1409,Q597)&gt;1,IF(COUNTIF($Q$2:Q597,Q597)=1,"Exact Duplicate - Keep First","Exact Duplicate - Remove"),"Unique")</f>
        <v/>
      </c>
    </row>
    <row r="598" ht="15" customHeight="1" s="11">
      <c r="A598" s="10" t="inlineStr">
        <is>
          <t>USR-100597</t>
        </is>
      </c>
      <c r="B598" s="14" t="n">
        <v>45783</v>
      </c>
      <c r="C598" s="10" t="inlineStr">
        <is>
          <t>Control</t>
        </is>
      </c>
      <c r="D598" s="10" t="inlineStr">
        <is>
          <t>North</t>
        </is>
      </c>
      <c r="E598" s="10" t="inlineStr">
        <is>
          <t>Desktop</t>
        </is>
      </c>
      <c r="F598" s="10" t="inlineStr">
        <is>
          <t>Organic</t>
        </is>
      </c>
      <c r="G598" s="10" t="inlineStr">
        <is>
          <t>Free</t>
        </is>
      </c>
      <c r="H598" s="10" t="n">
        <v>1</v>
      </c>
      <c r="I598" s="10" t="n">
        <v>1</v>
      </c>
      <c r="J598" s="10" t="n">
        <v>0</v>
      </c>
      <c r="K598" s="10" t="n">
        <v>0</v>
      </c>
      <c r="L598" s="10" t="n">
        <v>0</v>
      </c>
      <c r="M598" s="10" t="n">
        <v>0</v>
      </c>
      <c r="N598" s="10" t="n">
        <v>0</v>
      </c>
      <c r="P598" s="10" t="n">
        <v>74.8</v>
      </c>
      <c r="Q598" s="10">
        <f>A598&amp;"|"&amp;B598&amp;"|"&amp;C598&amp;"|"&amp;D598&amp;"|"&amp;E598&amp;"|"&amp;F598&amp;"|"&amp;G598&amp;"|"&amp;H598&amp;"|"&amp;I598&amp;"|"&amp;J598&amp;"|"&amp;K598&amp;"|"&amp;L598&amp;"|"&amp;M598&amp;"|"&amp;N598&amp;"|"&amp;O598&amp;"|"&amp;P598</f>
        <v/>
      </c>
      <c r="R598" s="10">
        <f>IF(COUNTIF($Q$2:$Q$1409,Q598)&gt;1,IF(COUNTIF($Q$2:Q598,Q598)=1,"Exact Duplicate - Keep First","Exact Duplicate - Remove"),"Unique")</f>
        <v/>
      </c>
    </row>
    <row r="599" ht="15" customHeight="1" s="11">
      <c r="A599" s="10" t="inlineStr">
        <is>
          <t>USR-100598</t>
        </is>
      </c>
      <c r="B599" s="14" t="n">
        <v>45676</v>
      </c>
      <c r="C599" s="10" t="inlineStr">
        <is>
          <t>Control</t>
        </is>
      </c>
      <c r="D599" s="10" t="inlineStr">
        <is>
          <t>West</t>
        </is>
      </c>
      <c r="E599" s="10" t="inlineStr">
        <is>
          <t>Desktop</t>
        </is>
      </c>
      <c r="F599" s="10" t="inlineStr">
        <is>
          <t>Organic</t>
        </is>
      </c>
      <c r="G599" s="10" t="inlineStr">
        <is>
          <t>Free</t>
        </is>
      </c>
      <c r="H599" s="10" t="n">
        <v>1</v>
      </c>
      <c r="I599" s="10" t="n">
        <v>1</v>
      </c>
      <c r="J599" s="10" t="n">
        <v>1</v>
      </c>
      <c r="K599" s="10" t="n">
        <v>0</v>
      </c>
      <c r="L599" s="10" t="n">
        <v>0</v>
      </c>
      <c r="M599" s="10" t="n">
        <v>0</v>
      </c>
      <c r="N599" s="10" t="n">
        <v>0</v>
      </c>
      <c r="P599" s="10" t="n">
        <v>61.7</v>
      </c>
      <c r="Q599" s="10">
        <f>A599&amp;"|"&amp;B599&amp;"|"&amp;C599&amp;"|"&amp;D599&amp;"|"&amp;E599&amp;"|"&amp;F599&amp;"|"&amp;G599&amp;"|"&amp;H599&amp;"|"&amp;I599&amp;"|"&amp;J599&amp;"|"&amp;K599&amp;"|"&amp;L599&amp;"|"&amp;M599&amp;"|"&amp;N599&amp;"|"&amp;O599&amp;"|"&amp;P599</f>
        <v/>
      </c>
      <c r="R599" s="10">
        <f>IF(COUNTIF($Q$2:$Q$1409,Q599)&gt;1,IF(COUNTIF($Q$2:Q599,Q599)=1,"Exact Duplicate - Keep First","Exact Duplicate - Remove"),"Unique")</f>
        <v/>
      </c>
    </row>
    <row r="600" ht="15" customHeight="1" s="11">
      <c r="A600" s="10" t="inlineStr">
        <is>
          <t>USR-100599</t>
        </is>
      </c>
      <c r="B600" s="14" t="n">
        <v>45659</v>
      </c>
      <c r="C600" s="10" t="inlineStr">
        <is>
          <t>Control</t>
        </is>
      </c>
      <c r="D600" s="10" t="inlineStr">
        <is>
          <t>North</t>
        </is>
      </c>
      <c r="E600" s="10" t="inlineStr">
        <is>
          <t>Mobile</t>
        </is>
      </c>
      <c r="F600" s="10" t="inlineStr">
        <is>
          <t>Organic</t>
        </is>
      </c>
      <c r="G600" s="10" t="inlineStr">
        <is>
          <t>Free</t>
        </is>
      </c>
      <c r="H600" s="10" t="n">
        <v>1</v>
      </c>
      <c r="I600" s="10" t="n">
        <v>0</v>
      </c>
      <c r="J600" s="10" t="n">
        <v>0</v>
      </c>
      <c r="K600" s="10" t="n">
        <v>0</v>
      </c>
      <c r="L600" s="10" t="n">
        <v>0</v>
      </c>
      <c r="M600" s="10" t="n">
        <v>0</v>
      </c>
      <c r="N600" s="10" t="n">
        <v>0</v>
      </c>
      <c r="P600" s="10" t="n">
        <v>24.3</v>
      </c>
      <c r="Q600" s="10">
        <f>A600&amp;"|"&amp;B600&amp;"|"&amp;C600&amp;"|"&amp;D600&amp;"|"&amp;E600&amp;"|"&amp;F600&amp;"|"&amp;G600&amp;"|"&amp;H600&amp;"|"&amp;I600&amp;"|"&amp;J600&amp;"|"&amp;K600&amp;"|"&amp;L600&amp;"|"&amp;M600&amp;"|"&amp;N600&amp;"|"&amp;O600&amp;"|"&amp;P600</f>
        <v/>
      </c>
      <c r="R600" s="10">
        <f>IF(COUNTIF($Q$2:$Q$1409,Q600)&gt;1,IF(COUNTIF($Q$2:Q600,Q600)=1,"Exact Duplicate - Keep First","Exact Duplicate - Remove"),"Unique")</f>
        <v/>
      </c>
    </row>
    <row r="601" ht="15" customHeight="1" s="11">
      <c r="A601" s="10" t="inlineStr">
        <is>
          <t>USR-100600</t>
        </is>
      </c>
      <c r="B601" s="14" t="n">
        <v>45780</v>
      </c>
      <c r="C601" s="10" t="inlineStr">
        <is>
          <t>Control</t>
        </is>
      </c>
      <c r="D601" s="10" t="inlineStr">
        <is>
          <t>South</t>
        </is>
      </c>
      <c r="E601" s="10" t="inlineStr">
        <is>
          <t>Desktop</t>
        </is>
      </c>
      <c r="F601" s="10" t="inlineStr">
        <is>
          <t>Paid Search</t>
        </is>
      </c>
      <c r="G601" s="10" t="inlineStr">
        <is>
          <t>Free</t>
        </is>
      </c>
      <c r="H601" s="10" t="n">
        <v>0</v>
      </c>
      <c r="I601" s="10" t="n">
        <v>0</v>
      </c>
      <c r="J601" s="10" t="n">
        <v>0</v>
      </c>
      <c r="K601" s="10" t="n">
        <v>0</v>
      </c>
      <c r="L601" s="10" t="n">
        <v>0</v>
      </c>
      <c r="M601" s="10" t="n">
        <v>1</v>
      </c>
      <c r="N601" s="10" t="n">
        <v>0</v>
      </c>
      <c r="P601" s="10" t="n">
        <v>61.9</v>
      </c>
      <c r="Q601" s="10">
        <f>A601&amp;"|"&amp;B601&amp;"|"&amp;C601&amp;"|"&amp;D601&amp;"|"&amp;E601&amp;"|"&amp;F601&amp;"|"&amp;G601&amp;"|"&amp;H601&amp;"|"&amp;I601&amp;"|"&amp;J601&amp;"|"&amp;K601&amp;"|"&amp;L601&amp;"|"&amp;M601&amp;"|"&amp;N601&amp;"|"&amp;O601&amp;"|"&amp;P601</f>
        <v/>
      </c>
      <c r="R601" s="10">
        <f>IF(COUNTIF($Q$2:$Q$1409,Q601)&gt;1,IF(COUNTIF($Q$2:Q601,Q601)=1,"Exact Duplicate - Keep First","Exact Duplicate - Remove"),"Unique")</f>
        <v/>
      </c>
    </row>
    <row r="602" ht="15" customHeight="1" s="11">
      <c r="A602" s="10" t="inlineStr">
        <is>
          <t>USR-100601</t>
        </is>
      </c>
      <c r="B602" s="14" t="n">
        <v>45804</v>
      </c>
      <c r="C602" s="10" t="inlineStr">
        <is>
          <t>Control</t>
        </is>
      </c>
      <c r="D602" s="10" t="inlineStr">
        <is>
          <t>East</t>
        </is>
      </c>
      <c r="E602" s="10" t="inlineStr">
        <is>
          <t>Desktop</t>
        </is>
      </c>
      <c r="F602" s="10" t="inlineStr">
        <is>
          <t>Referral</t>
        </is>
      </c>
      <c r="G602" s="10" t="inlineStr">
        <is>
          <t>Premium</t>
        </is>
      </c>
      <c r="H602" s="10" t="n">
        <v>0</v>
      </c>
      <c r="I602" s="10" t="n">
        <v>0</v>
      </c>
      <c r="J602" s="10" t="n">
        <v>0</v>
      </c>
      <c r="K602" s="10" t="n">
        <v>0</v>
      </c>
      <c r="L602" s="10" t="n">
        <v>0</v>
      </c>
      <c r="M602" s="10" t="n">
        <v>2</v>
      </c>
      <c r="N602" s="10" t="n">
        <v>0</v>
      </c>
      <c r="P602" s="10" t="n">
        <v>41.7</v>
      </c>
      <c r="Q602" s="10">
        <f>A602&amp;"|"&amp;B602&amp;"|"&amp;C602&amp;"|"&amp;D602&amp;"|"&amp;E602&amp;"|"&amp;F602&amp;"|"&amp;G602&amp;"|"&amp;H602&amp;"|"&amp;I602&amp;"|"&amp;J602&amp;"|"&amp;K602&amp;"|"&amp;L602&amp;"|"&amp;M602&amp;"|"&amp;N602&amp;"|"&amp;O602&amp;"|"&amp;P602</f>
        <v/>
      </c>
      <c r="R602" s="10">
        <f>IF(COUNTIF($Q$2:$Q$1409,Q602)&gt;1,IF(COUNTIF($Q$2:Q602,Q602)=1,"Exact Duplicate - Keep First","Exact Duplicate - Remove"),"Unique")</f>
        <v/>
      </c>
    </row>
    <row r="603" ht="15" customHeight="1" s="11">
      <c r="A603" s="10" t="inlineStr">
        <is>
          <t>USR-100602</t>
        </is>
      </c>
      <c r="B603" s="14" t="n">
        <v>45697</v>
      </c>
      <c r="C603" s="10" t="inlineStr">
        <is>
          <t>Control</t>
        </is>
      </c>
      <c r="D603" s="10" t="inlineStr">
        <is>
          <t>South</t>
        </is>
      </c>
      <c r="E603" s="10" t="inlineStr">
        <is>
          <t>Desktop</t>
        </is>
      </c>
      <c r="F603" s="10" t="inlineStr">
        <is>
          <t>Social</t>
        </is>
      </c>
      <c r="G603" s="10" t="inlineStr">
        <is>
          <t>Free</t>
        </is>
      </c>
      <c r="H603" s="10" t="n">
        <v>1</v>
      </c>
      <c r="I603" s="10" t="n">
        <v>0</v>
      </c>
      <c r="J603" s="10" t="n">
        <v>0</v>
      </c>
      <c r="K603" s="10" t="n">
        <v>0</v>
      </c>
      <c r="L603" s="10" t="n">
        <v>0</v>
      </c>
      <c r="M603" s="10" t="n">
        <v>0</v>
      </c>
      <c r="N603" s="10" t="n">
        <v>0</v>
      </c>
      <c r="P603" s="10" t="n">
        <v>87.59999999999999</v>
      </c>
      <c r="Q603" s="10">
        <f>A603&amp;"|"&amp;B603&amp;"|"&amp;C603&amp;"|"&amp;D603&amp;"|"&amp;E603&amp;"|"&amp;F603&amp;"|"&amp;G603&amp;"|"&amp;H603&amp;"|"&amp;I603&amp;"|"&amp;J603&amp;"|"&amp;K603&amp;"|"&amp;L603&amp;"|"&amp;M603&amp;"|"&amp;N603&amp;"|"&amp;O603&amp;"|"&amp;P603</f>
        <v/>
      </c>
      <c r="R603" s="10">
        <f>IF(COUNTIF($Q$2:$Q$1409,Q603)&gt;1,IF(COUNTIF($Q$2:Q603,Q603)=1,"Exact Duplicate - Keep First","Exact Duplicate - Remove"),"Unique")</f>
        <v/>
      </c>
    </row>
    <row r="604" ht="15" customHeight="1" s="11">
      <c r="A604" s="10" t="inlineStr">
        <is>
          <t>USR-100603</t>
        </is>
      </c>
      <c r="B604" s="14" t="n">
        <v>45795</v>
      </c>
      <c r="C604" s="10" t="inlineStr">
        <is>
          <t>Control</t>
        </is>
      </c>
      <c r="D604" s="10" t="inlineStr">
        <is>
          <t>East</t>
        </is>
      </c>
      <c r="E604" s="10" t="inlineStr">
        <is>
          <t>Mobile</t>
        </is>
      </c>
      <c r="F604" s="10" t="inlineStr">
        <is>
          <t>Paid Search</t>
        </is>
      </c>
      <c r="G604" s="10" t="inlineStr">
        <is>
          <t>Free</t>
        </is>
      </c>
      <c r="H604" s="10" t="n">
        <v>1</v>
      </c>
      <c r="I604" s="10" t="n">
        <v>0</v>
      </c>
      <c r="J604" s="10" t="n">
        <v>0</v>
      </c>
      <c r="K604" s="10" t="n">
        <v>0</v>
      </c>
      <c r="L604" s="10" t="n">
        <v>0</v>
      </c>
      <c r="M604" s="10" t="n">
        <v>0</v>
      </c>
      <c r="N604" s="10" t="n">
        <v>0</v>
      </c>
      <c r="P604" s="10" t="n">
        <v>30.8</v>
      </c>
      <c r="Q604" s="10">
        <f>A604&amp;"|"&amp;B604&amp;"|"&amp;C604&amp;"|"&amp;D604&amp;"|"&amp;E604&amp;"|"&amp;F604&amp;"|"&amp;G604&amp;"|"&amp;H604&amp;"|"&amp;I604&amp;"|"&amp;J604&amp;"|"&amp;K604&amp;"|"&amp;L604&amp;"|"&amp;M604&amp;"|"&amp;N604&amp;"|"&amp;O604&amp;"|"&amp;P604</f>
        <v/>
      </c>
      <c r="R604" s="10">
        <f>IF(COUNTIF($Q$2:$Q$1409,Q604)&gt;1,IF(COUNTIF($Q$2:Q604,Q604)=1,"Exact Duplicate - Keep First","Exact Duplicate - Remove"),"Unique")</f>
        <v/>
      </c>
    </row>
    <row r="605" ht="15" customHeight="1" s="11">
      <c r="A605" s="10" t="inlineStr">
        <is>
          <t>USR-100604</t>
        </is>
      </c>
      <c r="B605" s="14" t="n">
        <v>45794</v>
      </c>
      <c r="C605" s="10" t="inlineStr">
        <is>
          <t>Control</t>
        </is>
      </c>
      <c r="D605" s="10" t="inlineStr">
        <is>
          <t>North</t>
        </is>
      </c>
      <c r="E605" s="10" t="inlineStr">
        <is>
          <t>Mobile</t>
        </is>
      </c>
      <c r="F605" s="10" t="inlineStr">
        <is>
          <t>Email</t>
        </is>
      </c>
      <c r="G605" s="10" t="inlineStr">
        <is>
          <t>Free</t>
        </is>
      </c>
      <c r="H605" s="10" t="n">
        <v>0</v>
      </c>
      <c r="I605" s="10" t="n">
        <v>0</v>
      </c>
      <c r="J605" s="10" t="n">
        <v>0</v>
      </c>
      <c r="K605" s="10" t="n">
        <v>0</v>
      </c>
      <c r="L605" s="10" t="n">
        <v>0</v>
      </c>
      <c r="M605" s="10" t="n">
        <v>0</v>
      </c>
      <c r="N605" s="10" t="n">
        <v>0</v>
      </c>
      <c r="P605" s="10" t="n">
        <v>54</v>
      </c>
      <c r="Q605" s="10">
        <f>A605&amp;"|"&amp;B605&amp;"|"&amp;C605&amp;"|"&amp;D605&amp;"|"&amp;E605&amp;"|"&amp;F605&amp;"|"&amp;G605&amp;"|"&amp;H605&amp;"|"&amp;I605&amp;"|"&amp;J605&amp;"|"&amp;K605&amp;"|"&amp;L605&amp;"|"&amp;M605&amp;"|"&amp;N605&amp;"|"&amp;O605&amp;"|"&amp;P605</f>
        <v/>
      </c>
      <c r="R605" s="10">
        <f>IF(COUNTIF($Q$2:$Q$1409,Q605)&gt;1,IF(COUNTIF($Q$2:Q605,Q605)=1,"Exact Duplicate - Keep First","Exact Duplicate - Remove"),"Unique")</f>
        <v/>
      </c>
    </row>
    <row r="606" ht="15" customHeight="1" s="11">
      <c r="A606" s="10" t="inlineStr">
        <is>
          <t>USR-100605</t>
        </is>
      </c>
      <c r="B606" s="14" t="n">
        <v>45682</v>
      </c>
      <c r="C606" s="10" t="inlineStr">
        <is>
          <t>Control</t>
        </is>
      </c>
      <c r="D606" s="10" t="inlineStr">
        <is>
          <t>East</t>
        </is>
      </c>
      <c r="E606" s="10" t="inlineStr">
        <is>
          <t>Desktop</t>
        </is>
      </c>
      <c r="F606" s="10" t="inlineStr">
        <is>
          <t>Referral</t>
        </is>
      </c>
      <c r="G606" s="10" t="inlineStr">
        <is>
          <t>Basic</t>
        </is>
      </c>
      <c r="H606" s="10" t="n">
        <v>1</v>
      </c>
      <c r="I606" s="10" t="n">
        <v>0</v>
      </c>
      <c r="J606" s="10" t="n">
        <v>0</v>
      </c>
      <c r="K606" s="10" t="n">
        <v>0</v>
      </c>
      <c r="L606" s="10" t="n">
        <v>0</v>
      </c>
      <c r="M606" s="10" t="n">
        <v>1</v>
      </c>
      <c r="N606" s="10" t="n">
        <v>0</v>
      </c>
      <c r="P606" s="10" t="n">
        <v>54.5</v>
      </c>
      <c r="Q606" s="10">
        <f>A606&amp;"|"&amp;B606&amp;"|"&amp;C606&amp;"|"&amp;D606&amp;"|"&amp;E606&amp;"|"&amp;F606&amp;"|"&amp;G606&amp;"|"&amp;H606&amp;"|"&amp;I606&amp;"|"&amp;J606&amp;"|"&amp;K606&amp;"|"&amp;L606&amp;"|"&amp;M606&amp;"|"&amp;N606&amp;"|"&amp;O606&amp;"|"&amp;P606</f>
        <v/>
      </c>
      <c r="R606" s="10">
        <f>IF(COUNTIF($Q$2:$Q$1409,Q606)&gt;1,IF(COUNTIF($Q$2:Q606,Q606)=1,"Exact Duplicate - Keep First","Exact Duplicate - Remove"),"Unique")</f>
        <v/>
      </c>
    </row>
    <row r="607" ht="15" customHeight="1" s="11">
      <c r="A607" s="10" t="inlineStr">
        <is>
          <t>USR-100606</t>
        </is>
      </c>
      <c r="B607" s="14" t="n">
        <v>45781</v>
      </c>
      <c r="C607" s="10" t="inlineStr">
        <is>
          <t>Control</t>
        </is>
      </c>
      <c r="D607" s="10" t="inlineStr">
        <is>
          <t>West</t>
        </is>
      </c>
      <c r="E607" s="10" t="inlineStr">
        <is>
          <t>Mobile</t>
        </is>
      </c>
      <c r="F607" s="10" t="inlineStr">
        <is>
          <t>Paid Search</t>
        </is>
      </c>
      <c r="G607" s="10" t="inlineStr">
        <is>
          <t>Premium</t>
        </is>
      </c>
      <c r="H607" s="10" t="n">
        <v>1</v>
      </c>
      <c r="I607" s="10" t="n">
        <v>1</v>
      </c>
      <c r="J607" s="10" t="n">
        <v>0</v>
      </c>
      <c r="K607" s="10" t="n">
        <v>0</v>
      </c>
      <c r="L607" s="10" t="n">
        <v>0</v>
      </c>
      <c r="M607" s="10" t="n">
        <v>0</v>
      </c>
      <c r="N607" s="10" t="n">
        <v>0</v>
      </c>
      <c r="P607" s="10" t="n">
        <v>61.3</v>
      </c>
      <c r="Q607" s="10">
        <f>A607&amp;"|"&amp;B607&amp;"|"&amp;C607&amp;"|"&amp;D607&amp;"|"&amp;E607&amp;"|"&amp;F607&amp;"|"&amp;G607&amp;"|"&amp;H607&amp;"|"&amp;I607&amp;"|"&amp;J607&amp;"|"&amp;K607&amp;"|"&amp;L607&amp;"|"&amp;M607&amp;"|"&amp;N607&amp;"|"&amp;O607&amp;"|"&amp;P607</f>
        <v/>
      </c>
      <c r="R607" s="10">
        <f>IF(COUNTIF($Q$2:$Q$1409,Q607)&gt;1,IF(COUNTIF($Q$2:Q607,Q607)=1,"Exact Duplicate - Keep First","Exact Duplicate - Remove"),"Unique")</f>
        <v/>
      </c>
    </row>
    <row r="608" ht="15" customHeight="1" s="11">
      <c r="A608" s="10" t="inlineStr">
        <is>
          <t>USR-100607</t>
        </is>
      </c>
      <c r="B608" s="14" t="n">
        <v>45761</v>
      </c>
      <c r="C608" s="10" t="inlineStr">
        <is>
          <t>Control</t>
        </is>
      </c>
      <c r="D608" s="10" t="inlineStr">
        <is>
          <t>West</t>
        </is>
      </c>
      <c r="E608" s="10" t="inlineStr">
        <is>
          <t>Mobile</t>
        </is>
      </c>
      <c r="F608" s="10" t="inlineStr">
        <is>
          <t>Organic</t>
        </is>
      </c>
      <c r="G608" s="10" t="inlineStr">
        <is>
          <t>Free</t>
        </is>
      </c>
      <c r="H608" s="10" t="n">
        <v>1</v>
      </c>
      <c r="I608" s="10" t="n">
        <v>0</v>
      </c>
      <c r="J608" s="10" t="n">
        <v>0</v>
      </c>
      <c r="K608" s="10" t="n">
        <v>0</v>
      </c>
      <c r="L608" s="10" t="n">
        <v>0</v>
      </c>
      <c r="M608" s="10" t="n">
        <v>0</v>
      </c>
      <c r="N608" s="10" t="n">
        <v>0</v>
      </c>
      <c r="P608" s="10" t="n">
        <v>62.7</v>
      </c>
      <c r="Q608" s="10">
        <f>A608&amp;"|"&amp;B608&amp;"|"&amp;C608&amp;"|"&amp;D608&amp;"|"&amp;E608&amp;"|"&amp;F608&amp;"|"&amp;G608&amp;"|"&amp;H608&amp;"|"&amp;I608&amp;"|"&amp;J608&amp;"|"&amp;K608&amp;"|"&amp;L608&amp;"|"&amp;M608&amp;"|"&amp;N608&amp;"|"&amp;O608&amp;"|"&amp;P608</f>
        <v/>
      </c>
      <c r="R608" s="10">
        <f>IF(COUNTIF($Q$2:$Q$1409,Q608)&gt;1,IF(COUNTIF($Q$2:Q608,Q608)=1,"Exact Duplicate - Keep First","Exact Duplicate - Remove"),"Unique")</f>
        <v/>
      </c>
    </row>
    <row r="609" ht="15" customHeight="1" s="11">
      <c r="A609" s="10" t="inlineStr">
        <is>
          <t>USR-100608</t>
        </is>
      </c>
      <c r="B609" s="14" t="n">
        <v>45765</v>
      </c>
      <c r="C609" s="10" t="inlineStr">
        <is>
          <t>Control</t>
        </is>
      </c>
      <c r="D609" s="10" t="inlineStr">
        <is>
          <t>South</t>
        </is>
      </c>
      <c r="E609" s="10" t="inlineStr">
        <is>
          <t>Mobile</t>
        </is>
      </c>
      <c r="F609" s="10" t="inlineStr">
        <is>
          <t>Paid Search</t>
        </is>
      </c>
      <c r="G609" s="10" t="inlineStr">
        <is>
          <t>Free</t>
        </is>
      </c>
      <c r="H609" s="10" t="n">
        <v>1</v>
      </c>
      <c r="I609" s="10" t="n">
        <v>1</v>
      </c>
      <c r="J609" s="10" t="n">
        <v>0</v>
      </c>
      <c r="K609" s="10" t="n">
        <v>0</v>
      </c>
      <c r="L609" s="10" t="n">
        <v>0</v>
      </c>
      <c r="M609" s="10" t="n">
        <v>0</v>
      </c>
      <c r="N609" s="10" t="n">
        <v>0</v>
      </c>
      <c r="P609" s="10" t="n">
        <v>43.1</v>
      </c>
      <c r="Q609" s="10">
        <f>A609&amp;"|"&amp;B609&amp;"|"&amp;C609&amp;"|"&amp;D609&amp;"|"&amp;E609&amp;"|"&amp;F609&amp;"|"&amp;G609&amp;"|"&amp;H609&amp;"|"&amp;I609&amp;"|"&amp;J609&amp;"|"&amp;K609&amp;"|"&amp;L609&amp;"|"&amp;M609&amp;"|"&amp;N609&amp;"|"&amp;O609&amp;"|"&amp;P609</f>
        <v/>
      </c>
      <c r="R609" s="10">
        <f>IF(COUNTIF($Q$2:$Q$1409,Q609)&gt;1,IF(COUNTIF($Q$2:Q609,Q609)=1,"Exact Duplicate - Keep First","Exact Duplicate - Remove"),"Unique")</f>
        <v/>
      </c>
    </row>
    <row r="610" ht="15" customHeight="1" s="11">
      <c r="A610" s="10" t="inlineStr">
        <is>
          <t>USR-100609</t>
        </is>
      </c>
      <c r="B610" s="14" t="n">
        <v>45712</v>
      </c>
      <c r="C610" s="10" t="inlineStr">
        <is>
          <t>Control</t>
        </is>
      </c>
      <c r="D610" s="10" t="inlineStr">
        <is>
          <t>South</t>
        </is>
      </c>
      <c r="E610" s="10" t="inlineStr">
        <is>
          <t>Desktop</t>
        </is>
      </c>
      <c r="F610" s="10" t="inlineStr">
        <is>
          <t>Email</t>
        </is>
      </c>
      <c r="G610" s="10" t="inlineStr">
        <is>
          <t>Basic</t>
        </is>
      </c>
      <c r="H610" s="10" t="n">
        <v>0</v>
      </c>
      <c r="I610" s="10" t="n">
        <v>0</v>
      </c>
      <c r="J610" s="10" t="n">
        <v>0</v>
      </c>
      <c r="K610" s="10" t="n">
        <v>0</v>
      </c>
      <c r="L610" s="10" t="n">
        <v>0</v>
      </c>
      <c r="M610" s="10" t="n">
        <v>0</v>
      </c>
      <c r="N610" s="10" t="n">
        <v>0</v>
      </c>
      <c r="P610" s="10" t="n">
        <v>59.9</v>
      </c>
      <c r="Q610" s="10">
        <f>A610&amp;"|"&amp;B610&amp;"|"&amp;C610&amp;"|"&amp;D610&amp;"|"&amp;E610&amp;"|"&amp;F610&amp;"|"&amp;G610&amp;"|"&amp;H610&amp;"|"&amp;I610&amp;"|"&amp;J610&amp;"|"&amp;K610&amp;"|"&amp;L610&amp;"|"&amp;M610&amp;"|"&amp;N610&amp;"|"&amp;O610&amp;"|"&amp;P610</f>
        <v/>
      </c>
      <c r="R610" s="10">
        <f>IF(COUNTIF($Q$2:$Q$1409,Q610)&gt;1,IF(COUNTIF($Q$2:Q610,Q610)=1,"Exact Duplicate - Keep First","Exact Duplicate - Remove"),"Unique")</f>
        <v/>
      </c>
    </row>
    <row r="611" ht="15" customHeight="1" s="11">
      <c r="A611" s="10" t="inlineStr">
        <is>
          <t>USR-100610</t>
        </is>
      </c>
      <c r="B611" s="14" t="n">
        <v>45766</v>
      </c>
      <c r="C611" s="10" t="inlineStr">
        <is>
          <t>Control</t>
        </is>
      </c>
      <c r="D611" s="10" t="inlineStr">
        <is>
          <t>North</t>
        </is>
      </c>
      <c r="E611" s="10" t="inlineStr">
        <is>
          <t>Tablet</t>
        </is>
      </c>
      <c r="F611" s="10" t="inlineStr">
        <is>
          <t>Paid Search</t>
        </is>
      </c>
      <c r="G611" s="10" t="inlineStr">
        <is>
          <t>Free</t>
        </is>
      </c>
      <c r="H611" s="10" t="n">
        <v>1</v>
      </c>
      <c r="I611" s="10" t="n">
        <v>1</v>
      </c>
      <c r="J611" s="10" t="n">
        <v>1</v>
      </c>
      <c r="K611" s="10" t="n">
        <v>0</v>
      </c>
      <c r="L611" s="10" t="n">
        <v>0</v>
      </c>
      <c r="M611" s="10" t="n">
        <v>0</v>
      </c>
      <c r="N611" s="10" t="n">
        <v>0</v>
      </c>
      <c r="P611" s="10" t="n">
        <v>55.7</v>
      </c>
      <c r="Q611" s="10">
        <f>A611&amp;"|"&amp;B611&amp;"|"&amp;C611&amp;"|"&amp;D611&amp;"|"&amp;E611&amp;"|"&amp;F611&amp;"|"&amp;G611&amp;"|"&amp;H611&amp;"|"&amp;I611&amp;"|"&amp;J611&amp;"|"&amp;K611&amp;"|"&amp;L611&amp;"|"&amp;M611&amp;"|"&amp;N611&amp;"|"&amp;O611&amp;"|"&amp;P611</f>
        <v/>
      </c>
      <c r="R611" s="10">
        <f>IF(COUNTIF($Q$2:$Q$1409,Q611)&gt;1,IF(COUNTIF($Q$2:Q611,Q611)=1,"Exact Duplicate - Keep First","Exact Duplicate - Remove"),"Unique")</f>
        <v/>
      </c>
    </row>
    <row r="612" ht="15" customHeight="1" s="11">
      <c r="A612" s="10" t="inlineStr">
        <is>
          <t>USR-100611</t>
        </is>
      </c>
      <c r="B612" s="14" t="n">
        <v>45723</v>
      </c>
      <c r="C612" s="10" t="inlineStr">
        <is>
          <t>Control</t>
        </is>
      </c>
      <c r="D612" s="10" t="inlineStr">
        <is>
          <t>South</t>
        </is>
      </c>
      <c r="E612" s="10" t="inlineStr">
        <is>
          <t>Desktop</t>
        </is>
      </c>
      <c r="F612" s="10" t="inlineStr">
        <is>
          <t>Organic</t>
        </is>
      </c>
      <c r="G612" s="10" t="inlineStr">
        <is>
          <t>Basic</t>
        </is>
      </c>
      <c r="H612" s="10" t="n">
        <v>1</v>
      </c>
      <c r="I612" s="10" t="n">
        <v>0</v>
      </c>
      <c r="J612" s="10" t="n">
        <v>0</v>
      </c>
      <c r="K612" s="10" t="n">
        <v>0</v>
      </c>
      <c r="L612" s="10" t="n">
        <v>0</v>
      </c>
      <c r="M612" s="10" t="n">
        <v>0</v>
      </c>
      <c r="N612" s="10" t="n">
        <v>0</v>
      </c>
      <c r="P612" s="10" t="n">
        <v>37.1</v>
      </c>
      <c r="Q612" s="10">
        <f>A612&amp;"|"&amp;B612&amp;"|"&amp;C612&amp;"|"&amp;D612&amp;"|"&amp;E612&amp;"|"&amp;F612&amp;"|"&amp;G612&amp;"|"&amp;H612&amp;"|"&amp;I612&amp;"|"&amp;J612&amp;"|"&amp;K612&amp;"|"&amp;L612&amp;"|"&amp;M612&amp;"|"&amp;N612&amp;"|"&amp;O612&amp;"|"&amp;P612</f>
        <v/>
      </c>
      <c r="R612" s="10">
        <f>IF(COUNTIF($Q$2:$Q$1409,Q612)&gt;1,IF(COUNTIF($Q$2:Q612,Q612)=1,"Exact Duplicate - Keep First","Exact Duplicate - Remove"),"Unique")</f>
        <v/>
      </c>
    </row>
    <row r="613" ht="15" customHeight="1" s="11">
      <c r="A613" s="10" t="inlineStr">
        <is>
          <t>USR-100612</t>
        </is>
      </c>
      <c r="B613" s="14" t="n">
        <v>45725</v>
      </c>
      <c r="C613" s="10" t="inlineStr">
        <is>
          <t>Control</t>
        </is>
      </c>
      <c r="D613" s="10" t="inlineStr">
        <is>
          <t>East</t>
        </is>
      </c>
      <c r="E613" s="10" t="inlineStr">
        <is>
          <t>Mobile</t>
        </is>
      </c>
      <c r="F613" s="10" t="inlineStr">
        <is>
          <t>Organic</t>
        </is>
      </c>
      <c r="G613" s="10" t="inlineStr">
        <is>
          <t>Basic</t>
        </is>
      </c>
      <c r="H613" s="10" t="n">
        <v>0</v>
      </c>
      <c r="I613" s="10" t="n">
        <v>0</v>
      </c>
      <c r="J613" s="10" t="n">
        <v>0</v>
      </c>
      <c r="K613" s="10" t="n">
        <v>0</v>
      </c>
      <c r="L613" s="10" t="n">
        <v>0</v>
      </c>
      <c r="M613" s="10" t="n">
        <v>1</v>
      </c>
      <c r="N613" s="10" t="n">
        <v>0</v>
      </c>
      <c r="P613" s="10" t="n">
        <v>46.7</v>
      </c>
      <c r="Q613" s="10">
        <f>A613&amp;"|"&amp;B613&amp;"|"&amp;C613&amp;"|"&amp;D613&amp;"|"&amp;E613&amp;"|"&amp;F613&amp;"|"&amp;G613&amp;"|"&amp;H613&amp;"|"&amp;I613&amp;"|"&amp;J613&amp;"|"&amp;K613&amp;"|"&amp;L613&amp;"|"&amp;M613&amp;"|"&amp;N613&amp;"|"&amp;O613&amp;"|"&amp;P613</f>
        <v/>
      </c>
      <c r="R613" s="10">
        <f>IF(COUNTIF($Q$2:$Q$1409,Q613)&gt;1,IF(COUNTIF($Q$2:Q613,Q613)=1,"Exact Duplicate - Keep First","Exact Duplicate - Remove"),"Unique")</f>
        <v/>
      </c>
    </row>
    <row r="614" ht="15" customHeight="1" s="11">
      <c r="A614" s="10" t="inlineStr">
        <is>
          <t>USR-100613</t>
        </is>
      </c>
      <c r="B614" s="14" t="n">
        <v>45778</v>
      </c>
      <c r="C614" s="10" t="inlineStr">
        <is>
          <t>Control</t>
        </is>
      </c>
      <c r="D614" s="10" t="inlineStr">
        <is>
          <t>South</t>
        </is>
      </c>
      <c r="E614" s="10" t="inlineStr">
        <is>
          <t>Desktop</t>
        </is>
      </c>
      <c r="F614" s="10" t="inlineStr">
        <is>
          <t>Organic</t>
        </is>
      </c>
      <c r="G614" s="10" t="inlineStr">
        <is>
          <t>Basic</t>
        </is>
      </c>
      <c r="H614" s="10" t="n">
        <v>1</v>
      </c>
      <c r="I614" s="10" t="n">
        <v>0</v>
      </c>
      <c r="J614" s="10" t="n">
        <v>0</v>
      </c>
      <c r="K614" s="10" t="n">
        <v>0</v>
      </c>
      <c r="L614" s="10" t="n">
        <v>0</v>
      </c>
      <c r="M614" s="10" t="n">
        <v>0</v>
      </c>
      <c r="N614" s="10" t="n">
        <v>0</v>
      </c>
      <c r="P614" s="10" t="n">
        <v>54.1</v>
      </c>
      <c r="Q614" s="10">
        <f>A614&amp;"|"&amp;B614&amp;"|"&amp;C614&amp;"|"&amp;D614&amp;"|"&amp;E614&amp;"|"&amp;F614&amp;"|"&amp;G614&amp;"|"&amp;H614&amp;"|"&amp;I614&amp;"|"&amp;J614&amp;"|"&amp;K614&amp;"|"&amp;L614&amp;"|"&amp;M614&amp;"|"&amp;N614&amp;"|"&amp;O614&amp;"|"&amp;P614</f>
        <v/>
      </c>
      <c r="R614" s="10">
        <f>IF(COUNTIF($Q$2:$Q$1409,Q614)&gt;1,IF(COUNTIF($Q$2:Q614,Q614)=1,"Exact Duplicate - Keep First","Exact Duplicate - Remove"),"Unique")</f>
        <v/>
      </c>
    </row>
    <row r="615" ht="15" customHeight="1" s="11">
      <c r="A615" s="10" t="inlineStr">
        <is>
          <t>USR-100614</t>
        </is>
      </c>
      <c r="B615" s="14" t="n">
        <v>45697</v>
      </c>
      <c r="C615" s="10" t="inlineStr">
        <is>
          <t>Control</t>
        </is>
      </c>
      <c r="D615" s="10" t="inlineStr">
        <is>
          <t>West</t>
        </is>
      </c>
      <c r="E615" s="10" t="inlineStr">
        <is>
          <t>Desktop</t>
        </is>
      </c>
      <c r="F615" s="10" t="inlineStr">
        <is>
          <t>Organic</t>
        </is>
      </c>
      <c r="G615" s="10" t="inlineStr">
        <is>
          <t>Premium</t>
        </is>
      </c>
      <c r="H615" s="10" t="n">
        <v>1</v>
      </c>
      <c r="I615" s="10" t="n">
        <v>1</v>
      </c>
      <c r="J615" s="10" t="n">
        <v>1</v>
      </c>
      <c r="K615" s="10" t="n">
        <v>0</v>
      </c>
      <c r="L615" s="10" t="n">
        <v>0</v>
      </c>
      <c r="M615" s="10" t="n">
        <v>0</v>
      </c>
      <c r="N615" s="10" t="n">
        <v>0</v>
      </c>
      <c r="P615" s="10" t="n">
        <v>56.1</v>
      </c>
      <c r="Q615" s="10">
        <f>A615&amp;"|"&amp;B615&amp;"|"&amp;C615&amp;"|"&amp;D615&amp;"|"&amp;E615&amp;"|"&amp;F615&amp;"|"&amp;G615&amp;"|"&amp;H615&amp;"|"&amp;I615&amp;"|"&amp;J615&amp;"|"&amp;K615&amp;"|"&amp;L615&amp;"|"&amp;M615&amp;"|"&amp;N615&amp;"|"&amp;O615&amp;"|"&amp;P615</f>
        <v/>
      </c>
      <c r="R615" s="10">
        <f>IF(COUNTIF($Q$2:$Q$1409,Q615)&gt;1,IF(COUNTIF($Q$2:Q615,Q615)=1,"Exact Duplicate - Keep First","Exact Duplicate - Remove"),"Unique")</f>
        <v/>
      </c>
    </row>
    <row r="616" ht="15" customHeight="1" s="11">
      <c r="A616" s="10" t="inlineStr">
        <is>
          <t>USR-100615</t>
        </is>
      </c>
      <c r="B616" s="14" t="n">
        <v>45799</v>
      </c>
      <c r="C616" s="10" t="inlineStr">
        <is>
          <t>Control</t>
        </is>
      </c>
      <c r="D616" s="10" t="inlineStr">
        <is>
          <t>West</t>
        </is>
      </c>
      <c r="E616" s="10" t="inlineStr">
        <is>
          <t>Mobile</t>
        </is>
      </c>
      <c r="F616" s="10" t="inlineStr">
        <is>
          <t>Referral</t>
        </is>
      </c>
      <c r="G616" s="10" t="inlineStr">
        <is>
          <t>Premium</t>
        </is>
      </c>
      <c r="H616" s="10" t="n">
        <v>0</v>
      </c>
      <c r="I616" s="10" t="n">
        <v>0</v>
      </c>
      <c r="J616" s="10" t="n">
        <v>0</v>
      </c>
      <c r="K616" s="10" t="n">
        <v>0</v>
      </c>
      <c r="L616" s="10" t="n">
        <v>0</v>
      </c>
      <c r="M616" s="10" t="n">
        <v>0</v>
      </c>
      <c r="N616" s="10" t="n">
        <v>0</v>
      </c>
      <c r="P616" s="10" t="n">
        <v>23.6</v>
      </c>
      <c r="Q616" s="10">
        <f>A616&amp;"|"&amp;B616&amp;"|"&amp;C616&amp;"|"&amp;D616&amp;"|"&amp;E616&amp;"|"&amp;F616&amp;"|"&amp;G616&amp;"|"&amp;H616&amp;"|"&amp;I616&amp;"|"&amp;J616&amp;"|"&amp;K616&amp;"|"&amp;L616&amp;"|"&amp;M616&amp;"|"&amp;N616&amp;"|"&amp;O616&amp;"|"&amp;P616</f>
        <v/>
      </c>
      <c r="R616" s="10">
        <f>IF(COUNTIF($Q$2:$Q$1409,Q616)&gt;1,IF(COUNTIF($Q$2:Q616,Q616)=1,"Exact Duplicate - Keep First","Exact Duplicate - Remove"),"Unique")</f>
        <v/>
      </c>
    </row>
    <row r="617" ht="15" customHeight="1" s="11">
      <c r="A617" s="10" t="inlineStr">
        <is>
          <t>USR-100616</t>
        </is>
      </c>
      <c r="B617" s="14" t="n">
        <v>45699</v>
      </c>
      <c r="C617" s="10" t="inlineStr">
        <is>
          <t>Control</t>
        </is>
      </c>
      <c r="D617" s="10" t="inlineStr">
        <is>
          <t>North</t>
        </is>
      </c>
      <c r="E617" s="10" t="inlineStr">
        <is>
          <t>Mobile</t>
        </is>
      </c>
      <c r="F617" s="10" t="inlineStr">
        <is>
          <t>Organic</t>
        </is>
      </c>
      <c r="G617" s="10" t="inlineStr">
        <is>
          <t>Premium</t>
        </is>
      </c>
      <c r="H617" s="10" t="n">
        <v>0</v>
      </c>
      <c r="I617" s="10" t="n">
        <v>0</v>
      </c>
      <c r="J617" s="10" t="n">
        <v>0</v>
      </c>
      <c r="K617" s="10" t="n">
        <v>0</v>
      </c>
      <c r="L617" s="10" t="n">
        <v>0</v>
      </c>
      <c r="M617" s="10" t="n">
        <v>0</v>
      </c>
      <c r="N617" s="10" t="n">
        <v>0</v>
      </c>
      <c r="P617" s="10" t="n">
        <v>54.7</v>
      </c>
      <c r="Q617" s="10">
        <f>A617&amp;"|"&amp;B617&amp;"|"&amp;C617&amp;"|"&amp;D617&amp;"|"&amp;E617&amp;"|"&amp;F617&amp;"|"&amp;G617&amp;"|"&amp;H617&amp;"|"&amp;I617&amp;"|"&amp;J617&amp;"|"&amp;K617&amp;"|"&amp;L617&amp;"|"&amp;M617&amp;"|"&amp;N617&amp;"|"&amp;O617&amp;"|"&amp;P617</f>
        <v/>
      </c>
      <c r="R617" s="10">
        <f>IF(COUNTIF($Q$2:$Q$1409,Q617)&gt;1,IF(COUNTIF($Q$2:Q617,Q617)=1,"Exact Duplicate - Keep First","Exact Duplicate - Remove"),"Unique")</f>
        <v/>
      </c>
    </row>
    <row r="618" ht="15" customHeight="1" s="11">
      <c r="A618" s="10" t="inlineStr">
        <is>
          <t>USR-100617</t>
        </is>
      </c>
      <c r="B618" s="14" t="n">
        <v>45759</v>
      </c>
      <c r="C618" s="10" t="inlineStr">
        <is>
          <t>Control</t>
        </is>
      </c>
      <c r="D618" s="10" t="inlineStr">
        <is>
          <t>North</t>
        </is>
      </c>
      <c r="E618" s="10" t="inlineStr">
        <is>
          <t>Mobile</t>
        </is>
      </c>
      <c r="F618" s="10" t="inlineStr">
        <is>
          <t>Referral</t>
        </is>
      </c>
      <c r="G618" s="10" t="inlineStr">
        <is>
          <t>Basic</t>
        </is>
      </c>
      <c r="H618" s="10" t="n">
        <v>0</v>
      </c>
      <c r="I618" s="10" t="n">
        <v>0</v>
      </c>
      <c r="J618" s="10" t="n">
        <v>0</v>
      </c>
      <c r="K618" s="10" t="n">
        <v>0</v>
      </c>
      <c r="L618" s="10" t="n">
        <v>0</v>
      </c>
      <c r="M618" s="10" t="n">
        <v>2</v>
      </c>
      <c r="N618" s="10" t="n">
        <v>0</v>
      </c>
      <c r="P618" s="10" t="n">
        <v>50.4</v>
      </c>
      <c r="Q618" s="10">
        <f>A618&amp;"|"&amp;B618&amp;"|"&amp;C618&amp;"|"&amp;D618&amp;"|"&amp;E618&amp;"|"&amp;F618&amp;"|"&amp;G618&amp;"|"&amp;H618&amp;"|"&amp;I618&amp;"|"&amp;J618&amp;"|"&amp;K618&amp;"|"&amp;L618&amp;"|"&amp;M618&amp;"|"&amp;N618&amp;"|"&amp;O618&amp;"|"&amp;P618</f>
        <v/>
      </c>
      <c r="R618" s="10">
        <f>IF(COUNTIF($Q$2:$Q$1409,Q618)&gt;1,IF(COUNTIF($Q$2:Q618,Q618)=1,"Exact Duplicate - Keep First","Exact Duplicate - Remove"),"Unique")</f>
        <v/>
      </c>
    </row>
    <row r="619" ht="15" customHeight="1" s="11">
      <c r="A619" s="10" t="inlineStr">
        <is>
          <t>USR-100618</t>
        </is>
      </c>
      <c r="B619" s="14" t="n">
        <v>45717</v>
      </c>
      <c r="C619" s="10" t="inlineStr">
        <is>
          <t>Control</t>
        </is>
      </c>
      <c r="D619" s="10" t="inlineStr">
        <is>
          <t>West</t>
        </is>
      </c>
      <c r="E619" s="10" t="inlineStr">
        <is>
          <t>Mobile</t>
        </is>
      </c>
      <c r="F619" s="10" t="inlineStr">
        <is>
          <t>Social</t>
        </is>
      </c>
      <c r="G619" s="10" t="inlineStr">
        <is>
          <t>Free</t>
        </is>
      </c>
      <c r="H619" s="10" t="n">
        <v>1</v>
      </c>
      <c r="I619" s="10" t="n">
        <v>0</v>
      </c>
      <c r="J619" s="10" t="n">
        <v>0</v>
      </c>
      <c r="K619" s="10" t="n">
        <v>0</v>
      </c>
      <c r="L619" s="10" t="n">
        <v>0</v>
      </c>
      <c r="M619" s="10" t="n">
        <v>0</v>
      </c>
      <c r="N619" s="10" t="n">
        <v>0</v>
      </c>
      <c r="P619" s="10" t="n">
        <v>54.5</v>
      </c>
      <c r="Q619" s="10">
        <f>A619&amp;"|"&amp;B619&amp;"|"&amp;C619&amp;"|"&amp;D619&amp;"|"&amp;E619&amp;"|"&amp;F619&amp;"|"&amp;G619&amp;"|"&amp;H619&amp;"|"&amp;I619&amp;"|"&amp;J619&amp;"|"&amp;K619&amp;"|"&amp;L619&amp;"|"&amp;M619&amp;"|"&amp;N619&amp;"|"&amp;O619&amp;"|"&amp;P619</f>
        <v/>
      </c>
      <c r="R619" s="10">
        <f>IF(COUNTIF($Q$2:$Q$1409,Q619)&gt;1,IF(COUNTIF($Q$2:Q619,Q619)=1,"Exact Duplicate - Keep First","Exact Duplicate - Remove"),"Unique")</f>
        <v/>
      </c>
    </row>
    <row r="620" ht="15" customHeight="1" s="11">
      <c r="A620" s="10" t="inlineStr">
        <is>
          <t>USR-100619</t>
        </is>
      </c>
      <c r="B620" s="14" t="n">
        <v>45733</v>
      </c>
      <c r="C620" s="10" t="inlineStr">
        <is>
          <t>Control</t>
        </is>
      </c>
      <c r="D620" s="10" t="inlineStr">
        <is>
          <t>West</t>
        </is>
      </c>
      <c r="E620" s="10" t="inlineStr">
        <is>
          <t>Desktop</t>
        </is>
      </c>
      <c r="F620" s="10" t="inlineStr">
        <is>
          <t>Email</t>
        </is>
      </c>
      <c r="G620" s="10" t="inlineStr">
        <is>
          <t>Basic</t>
        </is>
      </c>
      <c r="H620" s="10" t="n">
        <v>0</v>
      </c>
      <c r="I620" s="10" t="n">
        <v>0</v>
      </c>
      <c r="J620" s="10" t="n">
        <v>0</v>
      </c>
      <c r="K620" s="10" t="n">
        <v>0</v>
      </c>
      <c r="L620" s="10" t="n">
        <v>0</v>
      </c>
      <c r="M620" s="10" t="n">
        <v>0</v>
      </c>
      <c r="N620" s="10" t="n">
        <v>0</v>
      </c>
      <c r="P620" s="10" t="n">
        <v>58</v>
      </c>
      <c r="Q620" s="10">
        <f>A620&amp;"|"&amp;B620&amp;"|"&amp;C620&amp;"|"&amp;D620&amp;"|"&amp;E620&amp;"|"&amp;F620&amp;"|"&amp;G620&amp;"|"&amp;H620&amp;"|"&amp;I620&amp;"|"&amp;J620&amp;"|"&amp;K620&amp;"|"&amp;L620&amp;"|"&amp;M620&amp;"|"&amp;N620&amp;"|"&amp;O620&amp;"|"&amp;P620</f>
        <v/>
      </c>
      <c r="R620" s="10">
        <f>IF(COUNTIF($Q$2:$Q$1409,Q620)&gt;1,IF(COUNTIF($Q$2:Q620,Q620)=1,"Exact Duplicate - Keep First","Exact Duplicate - Remove"),"Unique")</f>
        <v/>
      </c>
    </row>
    <row r="621" ht="15" customHeight="1" s="11">
      <c r="A621" s="10" t="inlineStr">
        <is>
          <t>USR-100620</t>
        </is>
      </c>
      <c r="B621" s="14" t="n">
        <v>45668</v>
      </c>
      <c r="C621" s="10" t="inlineStr">
        <is>
          <t>Control</t>
        </is>
      </c>
      <c r="D621" s="10" t="inlineStr">
        <is>
          <t>North</t>
        </is>
      </c>
      <c r="E621" s="10" t="inlineStr">
        <is>
          <t>Mobile</t>
        </is>
      </c>
      <c r="F621" s="10" t="inlineStr">
        <is>
          <t>Paid Search</t>
        </is>
      </c>
      <c r="G621" s="10" t="inlineStr">
        <is>
          <t>Free</t>
        </is>
      </c>
      <c r="H621" s="10" t="n">
        <v>0</v>
      </c>
      <c r="I621" s="10" t="n">
        <v>0</v>
      </c>
      <c r="J621" s="10" t="n">
        <v>0</v>
      </c>
      <c r="K621" s="10" t="n">
        <v>0</v>
      </c>
      <c r="L621" s="10" t="n">
        <v>0</v>
      </c>
      <c r="M621" s="10" t="n">
        <v>0</v>
      </c>
      <c r="N621" s="10" t="n">
        <v>0</v>
      </c>
      <c r="P621" s="10" t="n">
        <v>42.9</v>
      </c>
      <c r="Q621" s="10">
        <f>A621&amp;"|"&amp;B621&amp;"|"&amp;C621&amp;"|"&amp;D621&amp;"|"&amp;E621&amp;"|"&amp;F621&amp;"|"&amp;G621&amp;"|"&amp;H621&amp;"|"&amp;I621&amp;"|"&amp;J621&amp;"|"&amp;K621&amp;"|"&amp;L621&amp;"|"&amp;M621&amp;"|"&amp;N621&amp;"|"&amp;O621&amp;"|"&amp;P621</f>
        <v/>
      </c>
      <c r="R621" s="10">
        <f>IF(COUNTIF($Q$2:$Q$1409,Q621)&gt;1,IF(COUNTIF($Q$2:Q621,Q621)=1,"Exact Duplicate - Keep First","Exact Duplicate - Remove"),"Unique")</f>
        <v/>
      </c>
    </row>
    <row r="622" ht="15" customHeight="1" s="11">
      <c r="A622" s="10" t="inlineStr">
        <is>
          <t>USR-100621</t>
        </is>
      </c>
      <c r="B622" s="14" t="n">
        <v>45705</v>
      </c>
      <c r="C622" s="10" t="inlineStr">
        <is>
          <t>Control</t>
        </is>
      </c>
      <c r="D622" s="10" t="inlineStr">
        <is>
          <t>South</t>
        </is>
      </c>
      <c r="E622" s="10" t="inlineStr">
        <is>
          <t>Mobile</t>
        </is>
      </c>
      <c r="F622" s="10" t="inlineStr">
        <is>
          <t>Social</t>
        </is>
      </c>
      <c r="G622" s="10" t="inlineStr">
        <is>
          <t>Premium</t>
        </is>
      </c>
      <c r="H622" s="10" t="n">
        <v>1</v>
      </c>
      <c r="I622" s="10" t="n">
        <v>0</v>
      </c>
      <c r="J622" s="10" t="n">
        <v>0</v>
      </c>
      <c r="K622" s="10" t="n">
        <v>0</v>
      </c>
      <c r="L622" s="10" t="n">
        <v>0</v>
      </c>
      <c r="M622" s="10" t="n">
        <v>0</v>
      </c>
      <c r="N622" s="10" t="n">
        <v>0</v>
      </c>
      <c r="P622" s="10" t="n">
        <v>51.1</v>
      </c>
      <c r="Q622" s="10">
        <f>A622&amp;"|"&amp;B622&amp;"|"&amp;C622&amp;"|"&amp;D622&amp;"|"&amp;E622&amp;"|"&amp;F622&amp;"|"&amp;G622&amp;"|"&amp;H622&amp;"|"&amp;I622&amp;"|"&amp;J622&amp;"|"&amp;K622&amp;"|"&amp;L622&amp;"|"&amp;M622&amp;"|"&amp;N622&amp;"|"&amp;O622&amp;"|"&amp;P622</f>
        <v/>
      </c>
      <c r="R622" s="10">
        <f>IF(COUNTIF($Q$2:$Q$1409,Q622)&gt;1,IF(COUNTIF($Q$2:Q622,Q622)=1,"Exact Duplicate - Keep First","Exact Duplicate - Remove"),"Unique")</f>
        <v/>
      </c>
    </row>
    <row r="623" ht="15" customHeight="1" s="11">
      <c r="A623" s="10" t="inlineStr">
        <is>
          <t>USR-100622</t>
        </is>
      </c>
      <c r="B623" s="14" t="n">
        <v>45741</v>
      </c>
      <c r="C623" s="10" t="inlineStr">
        <is>
          <t>Control</t>
        </is>
      </c>
      <c r="D623" s="10" t="inlineStr">
        <is>
          <t>East</t>
        </is>
      </c>
      <c r="E623" s="10" t="inlineStr">
        <is>
          <t>Mobile</t>
        </is>
      </c>
      <c r="F623" s="10" t="inlineStr">
        <is>
          <t>Paid Search</t>
        </is>
      </c>
      <c r="G623" s="10" t="inlineStr">
        <is>
          <t>Basic</t>
        </is>
      </c>
      <c r="H623" s="10" t="n">
        <v>1</v>
      </c>
      <c r="I623" s="10" t="n">
        <v>1</v>
      </c>
      <c r="J623" s="10" t="n">
        <v>0</v>
      </c>
      <c r="K623" s="10" t="n">
        <v>0</v>
      </c>
      <c r="L623" s="10" t="n">
        <v>0</v>
      </c>
      <c r="M623" s="10" t="n">
        <v>0</v>
      </c>
      <c r="N623" s="10" t="n">
        <v>0</v>
      </c>
      <c r="P623" s="10" t="n">
        <v>51.8</v>
      </c>
      <c r="Q623" s="10">
        <f>A623&amp;"|"&amp;B623&amp;"|"&amp;C623&amp;"|"&amp;D623&amp;"|"&amp;E623&amp;"|"&amp;F623&amp;"|"&amp;G623&amp;"|"&amp;H623&amp;"|"&amp;I623&amp;"|"&amp;J623&amp;"|"&amp;K623&amp;"|"&amp;L623&amp;"|"&amp;M623&amp;"|"&amp;N623&amp;"|"&amp;O623&amp;"|"&amp;P623</f>
        <v/>
      </c>
      <c r="R623" s="10">
        <f>IF(COUNTIF($Q$2:$Q$1409,Q623)&gt;1,IF(COUNTIF($Q$2:Q623,Q623)=1,"Exact Duplicate - Keep First","Exact Duplicate - Remove"),"Unique")</f>
        <v/>
      </c>
    </row>
    <row r="624" ht="15" customHeight="1" s="11">
      <c r="A624" s="10" t="inlineStr">
        <is>
          <t>USR-100623</t>
        </is>
      </c>
      <c r="B624" s="14" t="n">
        <v>45778</v>
      </c>
      <c r="C624" s="10" t="inlineStr">
        <is>
          <t>Control</t>
        </is>
      </c>
      <c r="D624" s="10" t="inlineStr">
        <is>
          <t>South</t>
        </is>
      </c>
      <c r="E624" s="10" t="inlineStr">
        <is>
          <t>Mobile</t>
        </is>
      </c>
      <c r="F624" s="10" t="inlineStr">
        <is>
          <t>Paid Search</t>
        </is>
      </c>
      <c r="G624" s="10" t="inlineStr">
        <is>
          <t>Free</t>
        </is>
      </c>
      <c r="H624" s="10" t="n">
        <v>0</v>
      </c>
      <c r="I624" s="10" t="n">
        <v>0</v>
      </c>
      <c r="J624" s="10" t="n">
        <v>0</v>
      </c>
      <c r="K624" s="10" t="n">
        <v>0</v>
      </c>
      <c r="L624" s="10" t="n">
        <v>0</v>
      </c>
      <c r="M624" s="10" t="n">
        <v>0</v>
      </c>
      <c r="N624" s="10" t="n">
        <v>0</v>
      </c>
      <c r="P624" s="10" t="n">
        <v>67.7</v>
      </c>
      <c r="Q624" s="10">
        <f>A624&amp;"|"&amp;B624&amp;"|"&amp;C624&amp;"|"&amp;D624&amp;"|"&amp;E624&amp;"|"&amp;F624&amp;"|"&amp;G624&amp;"|"&amp;H624&amp;"|"&amp;I624&amp;"|"&amp;J624&amp;"|"&amp;K624&amp;"|"&amp;L624&amp;"|"&amp;M624&amp;"|"&amp;N624&amp;"|"&amp;O624&amp;"|"&amp;P624</f>
        <v/>
      </c>
      <c r="R624" s="10">
        <f>IF(COUNTIF($Q$2:$Q$1409,Q624)&gt;1,IF(COUNTIF($Q$2:Q624,Q624)=1,"Exact Duplicate - Keep First","Exact Duplicate - Remove"),"Unique")</f>
        <v/>
      </c>
    </row>
    <row r="625" ht="15" customHeight="1" s="11">
      <c r="A625" s="10" t="inlineStr">
        <is>
          <t>USR-100624</t>
        </is>
      </c>
      <c r="B625" s="14" t="n">
        <v>45749</v>
      </c>
      <c r="C625" s="10" t="inlineStr">
        <is>
          <t>Control</t>
        </is>
      </c>
      <c r="D625" s="10" t="inlineStr">
        <is>
          <t>East</t>
        </is>
      </c>
      <c r="E625" s="10" t="inlineStr">
        <is>
          <t>Mobile</t>
        </is>
      </c>
      <c r="F625" s="10" t="inlineStr">
        <is>
          <t>Organic</t>
        </is>
      </c>
      <c r="G625" s="10" t="inlineStr">
        <is>
          <t>Basic</t>
        </is>
      </c>
      <c r="H625" s="10" t="n">
        <v>0</v>
      </c>
      <c r="I625" s="10" t="n">
        <v>0</v>
      </c>
      <c r="J625" s="10" t="n">
        <v>0</v>
      </c>
      <c r="K625" s="10" t="n">
        <v>0</v>
      </c>
      <c r="L625" s="10" t="n">
        <v>0</v>
      </c>
      <c r="M625" s="10" t="n">
        <v>0</v>
      </c>
      <c r="N625" s="10" t="n">
        <v>0</v>
      </c>
      <c r="P625" s="10" t="n">
        <v>75.8</v>
      </c>
      <c r="Q625" s="10">
        <f>A625&amp;"|"&amp;B625&amp;"|"&amp;C625&amp;"|"&amp;D625&amp;"|"&amp;E625&amp;"|"&amp;F625&amp;"|"&amp;G625&amp;"|"&amp;H625&amp;"|"&amp;I625&amp;"|"&amp;J625&amp;"|"&amp;K625&amp;"|"&amp;L625&amp;"|"&amp;M625&amp;"|"&amp;N625&amp;"|"&amp;O625&amp;"|"&amp;P625</f>
        <v/>
      </c>
      <c r="R625" s="10">
        <f>IF(COUNTIF($Q$2:$Q$1409,Q625)&gt;1,IF(COUNTIF($Q$2:Q625,Q625)=1,"Exact Duplicate - Keep First","Exact Duplicate - Remove"),"Unique")</f>
        <v/>
      </c>
    </row>
    <row r="626" ht="15" customHeight="1" s="11">
      <c r="A626" s="10" t="inlineStr">
        <is>
          <t>USR-100625</t>
        </is>
      </c>
      <c r="B626" s="14" t="n">
        <v>45752</v>
      </c>
      <c r="C626" s="10" t="inlineStr">
        <is>
          <t>Control</t>
        </is>
      </c>
      <c r="D626" s="10" t="inlineStr">
        <is>
          <t>East</t>
        </is>
      </c>
      <c r="E626" s="10" t="inlineStr">
        <is>
          <t>Mobile</t>
        </is>
      </c>
      <c r="F626" s="10" t="inlineStr">
        <is>
          <t>Email</t>
        </is>
      </c>
      <c r="G626" s="10" t="inlineStr">
        <is>
          <t>Free</t>
        </is>
      </c>
      <c r="H626" s="10" t="n">
        <v>1</v>
      </c>
      <c r="I626" s="10" t="n">
        <v>1</v>
      </c>
      <c r="J626" s="10" t="n">
        <v>0</v>
      </c>
      <c r="K626" s="10" t="n">
        <v>0</v>
      </c>
      <c r="L626" s="10" t="n">
        <v>0</v>
      </c>
      <c r="M626" s="10" t="n">
        <v>0</v>
      </c>
      <c r="N626" s="10" t="n">
        <v>0</v>
      </c>
      <c r="P626" s="10" t="n">
        <v>72.8</v>
      </c>
      <c r="Q626" s="10">
        <f>A626&amp;"|"&amp;B626&amp;"|"&amp;C626&amp;"|"&amp;D626&amp;"|"&amp;E626&amp;"|"&amp;F626&amp;"|"&amp;G626&amp;"|"&amp;H626&amp;"|"&amp;I626&amp;"|"&amp;J626&amp;"|"&amp;K626&amp;"|"&amp;L626&amp;"|"&amp;M626&amp;"|"&amp;N626&amp;"|"&amp;O626&amp;"|"&amp;P626</f>
        <v/>
      </c>
      <c r="R626" s="10">
        <f>IF(COUNTIF($Q$2:$Q$1409,Q626)&gt;1,IF(COUNTIF($Q$2:Q626,Q626)=1,"Exact Duplicate - Keep First","Exact Duplicate - Remove"),"Unique")</f>
        <v/>
      </c>
    </row>
    <row r="627" ht="15" customHeight="1" s="11">
      <c r="A627" s="10" t="inlineStr">
        <is>
          <t>USR-100626</t>
        </is>
      </c>
      <c r="B627" s="14" t="n">
        <v>45712</v>
      </c>
      <c r="C627" s="10" t="inlineStr">
        <is>
          <t>Control</t>
        </is>
      </c>
      <c r="D627" s="10" t="inlineStr">
        <is>
          <t>North</t>
        </is>
      </c>
      <c r="E627" s="10" t="inlineStr">
        <is>
          <t>Desktop</t>
        </is>
      </c>
      <c r="F627" s="10" t="inlineStr">
        <is>
          <t>Social</t>
        </is>
      </c>
      <c r="G627" s="10" t="inlineStr">
        <is>
          <t>Free</t>
        </is>
      </c>
      <c r="H627" s="10" t="n">
        <v>1</v>
      </c>
      <c r="I627" s="10" t="n">
        <v>1</v>
      </c>
      <c r="J627" s="10" t="n">
        <v>0</v>
      </c>
      <c r="K627" s="10" t="n">
        <v>0</v>
      </c>
      <c r="L627" s="10" t="n">
        <v>0</v>
      </c>
      <c r="M627" s="10" t="n">
        <v>0</v>
      </c>
      <c r="N627" s="10" t="n">
        <v>0</v>
      </c>
      <c r="P627" s="10" t="n">
        <v>54.4</v>
      </c>
      <c r="Q627" s="10">
        <f>A627&amp;"|"&amp;B627&amp;"|"&amp;C627&amp;"|"&amp;D627&amp;"|"&amp;E627&amp;"|"&amp;F627&amp;"|"&amp;G627&amp;"|"&amp;H627&amp;"|"&amp;I627&amp;"|"&amp;J627&amp;"|"&amp;K627&amp;"|"&amp;L627&amp;"|"&amp;M627&amp;"|"&amp;N627&amp;"|"&amp;O627&amp;"|"&amp;P627</f>
        <v/>
      </c>
      <c r="R627" s="10">
        <f>IF(COUNTIF($Q$2:$Q$1409,Q627)&gt;1,IF(COUNTIF($Q$2:Q627,Q627)=1,"Exact Duplicate - Keep First","Exact Duplicate - Remove"),"Unique")</f>
        <v/>
      </c>
    </row>
    <row r="628" ht="15" customHeight="1" s="11">
      <c r="A628" s="10" t="inlineStr">
        <is>
          <t>USR-100627</t>
        </is>
      </c>
      <c r="B628" s="14" t="n">
        <v>45681</v>
      </c>
      <c r="C628" s="10" t="inlineStr">
        <is>
          <t>Control</t>
        </is>
      </c>
      <c r="D628" s="10" t="inlineStr">
        <is>
          <t>West</t>
        </is>
      </c>
      <c r="E628" s="10" t="inlineStr">
        <is>
          <t>Mobile</t>
        </is>
      </c>
      <c r="F628" s="10" t="inlineStr">
        <is>
          <t>Paid Search</t>
        </is>
      </c>
      <c r="G628" s="10" t="inlineStr">
        <is>
          <t>Basic</t>
        </is>
      </c>
      <c r="H628" s="10" t="n">
        <v>1</v>
      </c>
      <c r="I628" s="10" t="n">
        <v>0</v>
      </c>
      <c r="J628" s="10" t="n">
        <v>0</v>
      </c>
      <c r="K628" s="10" t="n">
        <v>0</v>
      </c>
      <c r="L628" s="10" t="n">
        <v>0</v>
      </c>
      <c r="M628" s="10" t="n">
        <v>0</v>
      </c>
      <c r="N628" s="10" t="n">
        <v>0</v>
      </c>
      <c r="P628" s="10" t="n">
        <v>51.8</v>
      </c>
      <c r="Q628" s="10">
        <f>A628&amp;"|"&amp;B628&amp;"|"&amp;C628&amp;"|"&amp;D628&amp;"|"&amp;E628&amp;"|"&amp;F628&amp;"|"&amp;G628&amp;"|"&amp;H628&amp;"|"&amp;I628&amp;"|"&amp;J628&amp;"|"&amp;K628&amp;"|"&amp;L628&amp;"|"&amp;M628&amp;"|"&amp;N628&amp;"|"&amp;O628&amp;"|"&amp;P628</f>
        <v/>
      </c>
      <c r="R628" s="10">
        <f>IF(COUNTIF($Q$2:$Q$1409,Q628)&gt;1,IF(COUNTIF($Q$2:Q628,Q628)=1,"Exact Duplicate - Keep First","Exact Duplicate - Remove"),"Unique")</f>
        <v/>
      </c>
    </row>
    <row r="629" ht="15" customHeight="1" s="11">
      <c r="A629" s="10" t="inlineStr">
        <is>
          <t>USR-100628</t>
        </is>
      </c>
      <c r="B629" s="14" t="n">
        <v>45757</v>
      </c>
      <c r="C629" s="10" t="inlineStr">
        <is>
          <t>Control</t>
        </is>
      </c>
      <c r="D629" s="10" t="inlineStr">
        <is>
          <t>South</t>
        </is>
      </c>
      <c r="E629" s="10" t="inlineStr">
        <is>
          <t>Mobile</t>
        </is>
      </c>
      <c r="F629" s="10" t="inlineStr">
        <is>
          <t>Paid Search</t>
        </is>
      </c>
      <c r="G629" s="10" t="inlineStr">
        <is>
          <t>Free</t>
        </is>
      </c>
      <c r="H629" s="10" t="n">
        <v>0</v>
      </c>
      <c r="I629" s="10" t="n">
        <v>0</v>
      </c>
      <c r="J629" s="10" t="n">
        <v>0</v>
      </c>
      <c r="K629" s="10" t="n">
        <v>0</v>
      </c>
      <c r="L629" s="10" t="n">
        <v>0</v>
      </c>
      <c r="M629" s="10" t="n">
        <v>0</v>
      </c>
      <c r="N629" s="10" t="n">
        <v>0</v>
      </c>
      <c r="P629" s="10" t="n">
        <v>40.3</v>
      </c>
      <c r="Q629" s="10">
        <f>A629&amp;"|"&amp;B629&amp;"|"&amp;C629&amp;"|"&amp;D629&amp;"|"&amp;E629&amp;"|"&amp;F629&amp;"|"&amp;G629&amp;"|"&amp;H629&amp;"|"&amp;I629&amp;"|"&amp;J629&amp;"|"&amp;K629&amp;"|"&amp;L629&amp;"|"&amp;M629&amp;"|"&amp;N629&amp;"|"&amp;O629&amp;"|"&amp;P629</f>
        <v/>
      </c>
      <c r="R629" s="10">
        <f>IF(COUNTIF($Q$2:$Q$1409,Q629)&gt;1,IF(COUNTIF($Q$2:Q629,Q629)=1,"Exact Duplicate - Keep First","Exact Duplicate - Remove"),"Unique")</f>
        <v/>
      </c>
    </row>
    <row r="630" ht="15" customHeight="1" s="11">
      <c r="A630" s="10" t="inlineStr">
        <is>
          <t>USR-100629</t>
        </is>
      </c>
      <c r="B630" s="14" t="n">
        <v>45707</v>
      </c>
      <c r="C630" s="10" t="inlineStr">
        <is>
          <t>Control</t>
        </is>
      </c>
      <c r="D630" s="10" t="inlineStr">
        <is>
          <t>South</t>
        </is>
      </c>
      <c r="E630" s="10" t="inlineStr">
        <is>
          <t>Mobile</t>
        </is>
      </c>
      <c r="F630" s="10" t="inlineStr">
        <is>
          <t>Referral</t>
        </is>
      </c>
      <c r="G630" s="10" t="inlineStr">
        <is>
          <t>Free</t>
        </is>
      </c>
      <c r="H630" s="10" t="n">
        <v>1</v>
      </c>
      <c r="I630" s="10" t="n">
        <v>1</v>
      </c>
      <c r="J630" s="10" t="n">
        <v>1</v>
      </c>
      <c r="K630" s="10" t="n">
        <v>0</v>
      </c>
      <c r="L630" s="10" t="n">
        <v>0</v>
      </c>
      <c r="M630" s="10" t="n">
        <v>0</v>
      </c>
      <c r="N630" s="10" t="n">
        <v>0</v>
      </c>
      <c r="P630" s="10" t="n">
        <v>61.7</v>
      </c>
      <c r="Q630" s="10">
        <f>A630&amp;"|"&amp;B630&amp;"|"&amp;C630&amp;"|"&amp;D630&amp;"|"&amp;E630&amp;"|"&amp;F630&amp;"|"&amp;G630&amp;"|"&amp;H630&amp;"|"&amp;I630&amp;"|"&amp;J630&amp;"|"&amp;K630&amp;"|"&amp;L630&amp;"|"&amp;M630&amp;"|"&amp;N630&amp;"|"&amp;O630&amp;"|"&amp;P630</f>
        <v/>
      </c>
      <c r="R630" s="10">
        <f>IF(COUNTIF($Q$2:$Q$1409,Q630)&gt;1,IF(COUNTIF($Q$2:Q630,Q630)=1,"Exact Duplicate - Keep First","Exact Duplicate - Remove"),"Unique")</f>
        <v/>
      </c>
    </row>
    <row r="631" ht="15" customHeight="1" s="11">
      <c r="A631" s="10" t="inlineStr">
        <is>
          <t>USR-100630</t>
        </is>
      </c>
      <c r="B631" s="14" t="n">
        <v>45738</v>
      </c>
      <c r="C631" s="10" t="inlineStr">
        <is>
          <t>Control</t>
        </is>
      </c>
      <c r="D631" s="10" t="inlineStr">
        <is>
          <t>North</t>
        </is>
      </c>
      <c r="E631" s="10" t="inlineStr">
        <is>
          <t>Mobile</t>
        </is>
      </c>
      <c r="F631" s="10" t="inlineStr">
        <is>
          <t>Social</t>
        </is>
      </c>
      <c r="G631" s="10" t="inlineStr">
        <is>
          <t>Free</t>
        </is>
      </c>
      <c r="H631" s="10" t="n">
        <v>0</v>
      </c>
      <c r="I631" s="10" t="n">
        <v>0</v>
      </c>
      <c r="J631" s="10" t="n">
        <v>0</v>
      </c>
      <c r="K631" s="10" t="n">
        <v>0</v>
      </c>
      <c r="L631" s="10" t="n">
        <v>0</v>
      </c>
      <c r="M631" s="10" t="n">
        <v>0</v>
      </c>
      <c r="N631" s="10" t="n">
        <v>0</v>
      </c>
      <c r="P631" s="10" t="n">
        <v>45</v>
      </c>
      <c r="Q631" s="10">
        <f>A631&amp;"|"&amp;B631&amp;"|"&amp;C631&amp;"|"&amp;D631&amp;"|"&amp;E631&amp;"|"&amp;F631&amp;"|"&amp;G631&amp;"|"&amp;H631&amp;"|"&amp;I631&amp;"|"&amp;J631&amp;"|"&amp;K631&amp;"|"&amp;L631&amp;"|"&amp;M631&amp;"|"&amp;N631&amp;"|"&amp;O631&amp;"|"&amp;P631</f>
        <v/>
      </c>
      <c r="R631" s="10">
        <f>IF(COUNTIF($Q$2:$Q$1409,Q631)&gt;1,IF(COUNTIF($Q$2:Q631,Q631)=1,"Exact Duplicate - Keep First","Exact Duplicate - Remove"),"Unique")</f>
        <v/>
      </c>
    </row>
    <row r="632" ht="15" customHeight="1" s="11">
      <c r="A632" s="10" t="inlineStr">
        <is>
          <t>USR-100631</t>
        </is>
      </c>
      <c r="B632" s="14" t="n">
        <v>45755</v>
      </c>
      <c r="C632" s="10" t="inlineStr">
        <is>
          <t>Control</t>
        </is>
      </c>
      <c r="D632" s="10" t="inlineStr">
        <is>
          <t>East</t>
        </is>
      </c>
      <c r="E632" s="10" t="inlineStr">
        <is>
          <t>Desktop</t>
        </is>
      </c>
      <c r="F632" s="10" t="inlineStr">
        <is>
          <t>Organic</t>
        </is>
      </c>
      <c r="G632" s="10" t="inlineStr">
        <is>
          <t>Premium</t>
        </is>
      </c>
      <c r="H632" s="10" t="n">
        <v>1</v>
      </c>
      <c r="I632" s="10" t="n">
        <v>1</v>
      </c>
      <c r="J632" s="10" t="n">
        <v>1</v>
      </c>
      <c r="K632" s="10" t="n">
        <v>0</v>
      </c>
      <c r="L632" s="10" t="n">
        <v>0</v>
      </c>
      <c r="M632" s="10" t="n">
        <v>0</v>
      </c>
      <c r="N632" s="10" t="n">
        <v>0</v>
      </c>
      <c r="P632" s="10" t="n">
        <v>60</v>
      </c>
      <c r="Q632" s="10">
        <f>A632&amp;"|"&amp;B632&amp;"|"&amp;C632&amp;"|"&amp;D632&amp;"|"&amp;E632&amp;"|"&amp;F632&amp;"|"&amp;G632&amp;"|"&amp;H632&amp;"|"&amp;I632&amp;"|"&amp;J632&amp;"|"&amp;K632&amp;"|"&amp;L632&amp;"|"&amp;M632&amp;"|"&amp;N632&amp;"|"&amp;O632&amp;"|"&amp;P632</f>
        <v/>
      </c>
      <c r="R632" s="10">
        <f>IF(COUNTIF($Q$2:$Q$1409,Q632)&gt;1,IF(COUNTIF($Q$2:Q632,Q632)=1,"Exact Duplicate - Keep First","Exact Duplicate - Remove"),"Unique")</f>
        <v/>
      </c>
    </row>
    <row r="633" ht="15" customHeight="1" s="11">
      <c r="A633" s="10" t="inlineStr">
        <is>
          <t>USR-100632</t>
        </is>
      </c>
      <c r="B633" s="14" t="n">
        <v>45732</v>
      </c>
      <c r="C633" s="10" t="inlineStr">
        <is>
          <t>Control</t>
        </is>
      </c>
      <c r="D633" s="10" t="inlineStr">
        <is>
          <t>North</t>
        </is>
      </c>
      <c r="E633" s="10" t="inlineStr">
        <is>
          <t>Mobile</t>
        </is>
      </c>
      <c r="F633" s="10" t="inlineStr">
        <is>
          <t>Social</t>
        </is>
      </c>
      <c r="G633" s="10" t="inlineStr">
        <is>
          <t>Free</t>
        </is>
      </c>
      <c r="H633" s="10" t="n">
        <v>1</v>
      </c>
      <c r="I633" s="10" t="n">
        <v>0</v>
      </c>
      <c r="J633" s="10" t="n">
        <v>0</v>
      </c>
      <c r="K633" s="10" t="n">
        <v>0</v>
      </c>
      <c r="L633" s="10" t="n">
        <v>0</v>
      </c>
      <c r="M633" s="10" t="n">
        <v>0</v>
      </c>
      <c r="N633" s="10" t="n">
        <v>0</v>
      </c>
      <c r="Q633" s="10">
        <f>A633&amp;"|"&amp;B633&amp;"|"&amp;C633&amp;"|"&amp;D633&amp;"|"&amp;E633&amp;"|"&amp;F633&amp;"|"&amp;G633&amp;"|"&amp;H633&amp;"|"&amp;I633&amp;"|"&amp;J633&amp;"|"&amp;K633&amp;"|"&amp;L633&amp;"|"&amp;M633&amp;"|"&amp;N633&amp;"|"&amp;O633&amp;"|"&amp;P633</f>
        <v/>
      </c>
      <c r="R633" s="10">
        <f>IF(COUNTIF($Q$2:$Q$1409,Q633)&gt;1,IF(COUNTIF($Q$2:Q633,Q633)=1,"Exact Duplicate - Keep First","Exact Duplicate - Remove"),"Unique")</f>
        <v/>
      </c>
    </row>
    <row r="634" ht="15" customHeight="1" s="11">
      <c r="A634" s="10" t="inlineStr">
        <is>
          <t>USR-100633</t>
        </is>
      </c>
      <c r="B634" s="14" t="n">
        <v>45723</v>
      </c>
      <c r="C634" s="10" t="inlineStr">
        <is>
          <t>Control</t>
        </is>
      </c>
      <c r="D634" s="10" t="inlineStr">
        <is>
          <t>East</t>
        </is>
      </c>
      <c r="E634" s="10" t="inlineStr">
        <is>
          <t>Mobile</t>
        </is>
      </c>
      <c r="F634" s="10" t="inlineStr">
        <is>
          <t>Paid Search</t>
        </is>
      </c>
      <c r="G634" s="10" t="inlineStr">
        <is>
          <t>Free</t>
        </is>
      </c>
      <c r="H634" s="10" t="n">
        <v>1</v>
      </c>
      <c r="I634" s="10" t="n">
        <v>0</v>
      </c>
      <c r="J634" s="10" t="n">
        <v>0</v>
      </c>
      <c r="K634" s="10" t="n">
        <v>0</v>
      </c>
      <c r="L634" s="10" t="n">
        <v>0</v>
      </c>
      <c r="M634" s="10" t="n">
        <v>0</v>
      </c>
      <c r="N634" s="10" t="n">
        <v>0</v>
      </c>
      <c r="P634" s="10" t="n">
        <v>55.5</v>
      </c>
      <c r="Q634" s="10">
        <f>A634&amp;"|"&amp;B634&amp;"|"&amp;C634&amp;"|"&amp;D634&amp;"|"&amp;E634&amp;"|"&amp;F634&amp;"|"&amp;G634&amp;"|"&amp;H634&amp;"|"&amp;I634&amp;"|"&amp;J634&amp;"|"&amp;K634&amp;"|"&amp;L634&amp;"|"&amp;M634&amp;"|"&amp;N634&amp;"|"&amp;O634&amp;"|"&amp;P634</f>
        <v/>
      </c>
      <c r="R634" s="10">
        <f>IF(COUNTIF($Q$2:$Q$1409,Q634)&gt;1,IF(COUNTIF($Q$2:Q634,Q634)=1,"Exact Duplicate - Keep First","Exact Duplicate - Remove"),"Unique")</f>
        <v/>
      </c>
    </row>
    <row r="635" ht="15" customHeight="1" s="11">
      <c r="A635" s="10" t="inlineStr">
        <is>
          <t>USR-100634</t>
        </is>
      </c>
      <c r="B635" s="14" t="n">
        <v>45732</v>
      </c>
      <c r="C635" s="10" t="inlineStr">
        <is>
          <t>Control</t>
        </is>
      </c>
      <c r="D635" s="10" t="inlineStr">
        <is>
          <t>South</t>
        </is>
      </c>
      <c r="E635" s="10" t="inlineStr">
        <is>
          <t>Mobile</t>
        </is>
      </c>
      <c r="F635" s="10" t="inlineStr">
        <is>
          <t>Referral</t>
        </is>
      </c>
      <c r="G635" s="10" t="inlineStr">
        <is>
          <t>Basic</t>
        </is>
      </c>
      <c r="H635" s="10" t="n">
        <v>0</v>
      </c>
      <c r="I635" s="10" t="n">
        <v>0</v>
      </c>
      <c r="J635" s="10" t="n">
        <v>0</v>
      </c>
      <c r="K635" s="10" t="n">
        <v>0</v>
      </c>
      <c r="L635" s="10" t="n">
        <v>0</v>
      </c>
      <c r="M635" s="10" t="n">
        <v>0</v>
      </c>
      <c r="N635" s="10" t="n">
        <v>0</v>
      </c>
      <c r="P635" s="10" t="n">
        <v>51.8</v>
      </c>
      <c r="Q635" s="10">
        <f>A635&amp;"|"&amp;B635&amp;"|"&amp;C635&amp;"|"&amp;D635&amp;"|"&amp;E635&amp;"|"&amp;F635&amp;"|"&amp;G635&amp;"|"&amp;H635&amp;"|"&amp;I635&amp;"|"&amp;J635&amp;"|"&amp;K635&amp;"|"&amp;L635&amp;"|"&amp;M635&amp;"|"&amp;N635&amp;"|"&amp;O635&amp;"|"&amp;P635</f>
        <v/>
      </c>
      <c r="R635" s="10">
        <f>IF(COUNTIF($Q$2:$Q$1409,Q635)&gt;1,IF(COUNTIF($Q$2:Q635,Q635)=1,"Exact Duplicate - Keep First","Exact Duplicate - Remove"),"Unique")</f>
        <v/>
      </c>
    </row>
    <row r="636" ht="15" customHeight="1" s="11">
      <c r="A636" s="10" t="inlineStr">
        <is>
          <t>USR-100635</t>
        </is>
      </c>
      <c r="B636" s="14" t="n">
        <v>45803</v>
      </c>
      <c r="C636" s="10" t="inlineStr">
        <is>
          <t>Control</t>
        </is>
      </c>
      <c r="D636" s="10" t="inlineStr">
        <is>
          <t>East</t>
        </is>
      </c>
      <c r="E636" s="10" t="inlineStr">
        <is>
          <t>Mobile</t>
        </is>
      </c>
      <c r="G636" s="10" t="inlineStr">
        <is>
          <t>Premium</t>
        </is>
      </c>
      <c r="H636" s="10" t="n">
        <v>1</v>
      </c>
      <c r="I636" s="10" t="n">
        <v>0</v>
      </c>
      <c r="J636" s="10" t="n">
        <v>0</v>
      </c>
      <c r="K636" s="10" t="n">
        <v>0</v>
      </c>
      <c r="L636" s="10" t="n">
        <v>0</v>
      </c>
      <c r="M636" s="10" t="n">
        <v>3</v>
      </c>
      <c r="N636" s="10" t="n">
        <v>0</v>
      </c>
      <c r="P636" s="10" t="n">
        <v>56</v>
      </c>
      <c r="Q636" s="10">
        <f>A636&amp;"|"&amp;B636&amp;"|"&amp;C636&amp;"|"&amp;D636&amp;"|"&amp;E636&amp;"|"&amp;F636&amp;"|"&amp;G636&amp;"|"&amp;H636&amp;"|"&amp;I636&amp;"|"&amp;J636&amp;"|"&amp;K636&amp;"|"&amp;L636&amp;"|"&amp;M636&amp;"|"&amp;N636&amp;"|"&amp;O636&amp;"|"&amp;P636</f>
        <v/>
      </c>
      <c r="R636" s="10">
        <f>IF(COUNTIF($Q$2:$Q$1409,Q636)&gt;1,IF(COUNTIF($Q$2:Q636,Q636)=1,"Exact Duplicate - Keep First","Exact Duplicate - Remove"),"Unique")</f>
        <v/>
      </c>
    </row>
    <row r="637" ht="15" customHeight="1" s="11">
      <c r="A637" s="10" t="inlineStr">
        <is>
          <t>USR-100636</t>
        </is>
      </c>
      <c r="B637" s="14" t="n">
        <v>45671</v>
      </c>
      <c r="C637" s="10" t="inlineStr">
        <is>
          <t>Control</t>
        </is>
      </c>
      <c r="D637" s="10" t="inlineStr">
        <is>
          <t>West</t>
        </is>
      </c>
      <c r="E637" s="10" t="inlineStr">
        <is>
          <t>Mobile</t>
        </is>
      </c>
      <c r="F637" s="10" t="inlineStr">
        <is>
          <t>Organic</t>
        </is>
      </c>
      <c r="G637" s="10" t="inlineStr">
        <is>
          <t>Free</t>
        </is>
      </c>
      <c r="H637" s="10" t="n">
        <v>0</v>
      </c>
      <c r="I637" s="10" t="n">
        <v>0</v>
      </c>
      <c r="J637" s="10" t="n">
        <v>0</v>
      </c>
      <c r="K637" s="10" t="n">
        <v>0</v>
      </c>
      <c r="L637" s="10" t="n">
        <v>0</v>
      </c>
      <c r="M637" s="10" t="n">
        <v>0</v>
      </c>
      <c r="N637" s="10" t="n">
        <v>0</v>
      </c>
      <c r="P637" s="10" t="n">
        <v>52.5</v>
      </c>
      <c r="Q637" s="10">
        <f>A637&amp;"|"&amp;B637&amp;"|"&amp;C637&amp;"|"&amp;D637&amp;"|"&amp;E637&amp;"|"&amp;F637&amp;"|"&amp;G637&amp;"|"&amp;H637&amp;"|"&amp;I637&amp;"|"&amp;J637&amp;"|"&amp;K637&amp;"|"&amp;L637&amp;"|"&amp;M637&amp;"|"&amp;N637&amp;"|"&amp;O637&amp;"|"&amp;P637</f>
        <v/>
      </c>
      <c r="R637" s="10">
        <f>IF(COUNTIF($Q$2:$Q$1409,Q637)&gt;1,IF(COUNTIF($Q$2:Q637,Q637)=1,"Exact Duplicate - Keep First","Exact Duplicate - Remove"),"Unique")</f>
        <v/>
      </c>
    </row>
    <row r="638" ht="15" customHeight="1" s="11">
      <c r="A638" s="10" t="inlineStr">
        <is>
          <t>USR-100637</t>
        </is>
      </c>
      <c r="B638" s="14" t="n">
        <v>45746</v>
      </c>
      <c r="C638" s="10" t="inlineStr">
        <is>
          <t>Control</t>
        </is>
      </c>
      <c r="D638" s="10" t="inlineStr">
        <is>
          <t>West</t>
        </is>
      </c>
      <c r="E638" s="10" t="inlineStr">
        <is>
          <t>Mobile</t>
        </is>
      </c>
      <c r="F638" s="10" t="inlineStr">
        <is>
          <t>Paid Search</t>
        </is>
      </c>
      <c r="G638" s="10" t="inlineStr">
        <is>
          <t>Premium</t>
        </is>
      </c>
      <c r="H638" s="10" t="n">
        <v>1</v>
      </c>
      <c r="I638" s="10" t="n">
        <v>0</v>
      </c>
      <c r="J638" s="10" t="n">
        <v>0</v>
      </c>
      <c r="K638" s="10" t="n">
        <v>0</v>
      </c>
      <c r="L638" s="10" t="n">
        <v>0</v>
      </c>
      <c r="M638" s="10" t="n">
        <v>0</v>
      </c>
      <c r="N638" s="10" t="n">
        <v>0</v>
      </c>
      <c r="P638" s="10" t="n">
        <v>42.5</v>
      </c>
      <c r="Q638" s="10">
        <f>A638&amp;"|"&amp;B638&amp;"|"&amp;C638&amp;"|"&amp;D638&amp;"|"&amp;E638&amp;"|"&amp;F638&amp;"|"&amp;G638&amp;"|"&amp;H638&amp;"|"&amp;I638&amp;"|"&amp;J638&amp;"|"&amp;K638&amp;"|"&amp;L638&amp;"|"&amp;M638&amp;"|"&amp;N638&amp;"|"&amp;O638&amp;"|"&amp;P638</f>
        <v/>
      </c>
      <c r="R638" s="10">
        <f>IF(COUNTIF($Q$2:$Q$1409,Q638)&gt;1,IF(COUNTIF($Q$2:Q638,Q638)=1,"Exact Duplicate - Keep First","Exact Duplicate - Remove"),"Unique")</f>
        <v/>
      </c>
    </row>
    <row r="639" ht="15" customHeight="1" s="11">
      <c r="A639" s="10" t="inlineStr">
        <is>
          <t>USR-100638</t>
        </is>
      </c>
      <c r="B639" s="14" t="n">
        <v>45789</v>
      </c>
      <c r="C639" s="10" t="inlineStr">
        <is>
          <t>Control</t>
        </is>
      </c>
      <c r="D639" s="10" t="inlineStr">
        <is>
          <t>East</t>
        </is>
      </c>
      <c r="E639" s="10" t="inlineStr">
        <is>
          <t>Desktop</t>
        </is>
      </c>
      <c r="F639" s="10" t="inlineStr">
        <is>
          <t>Email</t>
        </is>
      </c>
      <c r="G639" s="10" t="inlineStr">
        <is>
          <t>Free</t>
        </is>
      </c>
      <c r="H639" s="10" t="n">
        <v>1</v>
      </c>
      <c r="I639" s="10" t="n">
        <v>1</v>
      </c>
      <c r="J639" s="10" t="n">
        <v>1</v>
      </c>
      <c r="K639" s="10" t="n">
        <v>0</v>
      </c>
      <c r="L639" s="10" t="n">
        <v>0</v>
      </c>
      <c r="M639" s="10" t="n">
        <v>0</v>
      </c>
      <c r="N639" s="10" t="n">
        <v>0</v>
      </c>
      <c r="P639" s="10" t="n">
        <v>65.3</v>
      </c>
      <c r="Q639" s="10">
        <f>A639&amp;"|"&amp;B639&amp;"|"&amp;C639&amp;"|"&amp;D639&amp;"|"&amp;E639&amp;"|"&amp;F639&amp;"|"&amp;G639&amp;"|"&amp;H639&amp;"|"&amp;I639&amp;"|"&amp;J639&amp;"|"&amp;K639&amp;"|"&amp;L639&amp;"|"&amp;M639&amp;"|"&amp;N639&amp;"|"&amp;O639&amp;"|"&amp;P639</f>
        <v/>
      </c>
      <c r="R639" s="10">
        <f>IF(COUNTIF($Q$2:$Q$1409,Q639)&gt;1,IF(COUNTIF($Q$2:Q639,Q639)=1,"Exact Duplicate - Keep First","Exact Duplicate - Remove"),"Unique")</f>
        <v/>
      </c>
    </row>
    <row r="640" ht="15" customHeight="1" s="11">
      <c r="A640" s="10" t="inlineStr">
        <is>
          <t>USR-100639</t>
        </is>
      </c>
      <c r="B640" s="14" t="n">
        <v>45787</v>
      </c>
      <c r="C640" s="10" t="inlineStr">
        <is>
          <t>Control</t>
        </is>
      </c>
      <c r="D640" s="10" t="inlineStr">
        <is>
          <t>West</t>
        </is>
      </c>
      <c r="E640" s="10" t="inlineStr">
        <is>
          <t>Mobile</t>
        </is>
      </c>
      <c r="F640" s="10" t="inlineStr">
        <is>
          <t>Paid Search</t>
        </is>
      </c>
      <c r="G640" s="10" t="inlineStr">
        <is>
          <t>Free</t>
        </is>
      </c>
      <c r="H640" s="10" t="n">
        <v>0</v>
      </c>
      <c r="I640" s="10" t="n">
        <v>0</v>
      </c>
      <c r="J640" s="10" t="n">
        <v>0</v>
      </c>
      <c r="K640" s="10" t="n">
        <v>0</v>
      </c>
      <c r="L640" s="10" t="n">
        <v>0</v>
      </c>
      <c r="M640" s="10" t="n">
        <v>0</v>
      </c>
      <c r="N640" s="10" t="n">
        <v>0</v>
      </c>
      <c r="P640" s="10" t="n">
        <v>37.6</v>
      </c>
      <c r="Q640" s="10">
        <f>A640&amp;"|"&amp;B640&amp;"|"&amp;C640&amp;"|"&amp;D640&amp;"|"&amp;E640&amp;"|"&amp;F640&amp;"|"&amp;G640&amp;"|"&amp;H640&amp;"|"&amp;I640&amp;"|"&amp;J640&amp;"|"&amp;K640&amp;"|"&amp;L640&amp;"|"&amp;M640&amp;"|"&amp;N640&amp;"|"&amp;O640&amp;"|"&amp;P640</f>
        <v/>
      </c>
      <c r="R640" s="10">
        <f>IF(COUNTIF($Q$2:$Q$1409,Q640)&gt;1,IF(COUNTIF($Q$2:Q640,Q640)=1,"Exact Duplicate - Keep First","Exact Duplicate - Remove"),"Unique")</f>
        <v/>
      </c>
    </row>
    <row r="641" ht="15" customHeight="1" s="11">
      <c r="A641" s="10" t="inlineStr">
        <is>
          <t>USR-100640</t>
        </is>
      </c>
      <c r="B641" s="14" t="n">
        <v>45756</v>
      </c>
      <c r="C641" s="10" t="inlineStr">
        <is>
          <t>Control</t>
        </is>
      </c>
      <c r="D641" s="10" t="inlineStr">
        <is>
          <t>East</t>
        </is>
      </c>
      <c r="E641" s="10" t="inlineStr">
        <is>
          <t>Mobile</t>
        </is>
      </c>
      <c r="F641" s="10" t="inlineStr">
        <is>
          <t>Social</t>
        </is>
      </c>
      <c r="G641" s="10" t="inlineStr">
        <is>
          <t>Basic</t>
        </is>
      </c>
      <c r="H641" s="10" t="n">
        <v>0</v>
      </c>
      <c r="I641" s="10" t="n">
        <v>0</v>
      </c>
      <c r="J641" s="10" t="n">
        <v>0</v>
      </c>
      <c r="K641" s="10" t="n">
        <v>0</v>
      </c>
      <c r="L641" s="10" t="n">
        <v>0</v>
      </c>
      <c r="M641" s="10" t="n">
        <v>0</v>
      </c>
      <c r="N641" s="10" t="n">
        <v>0</v>
      </c>
      <c r="P641" s="10" t="n">
        <v>57.8</v>
      </c>
      <c r="Q641" s="10">
        <f>A641&amp;"|"&amp;B641&amp;"|"&amp;C641&amp;"|"&amp;D641&amp;"|"&amp;E641&amp;"|"&amp;F641&amp;"|"&amp;G641&amp;"|"&amp;H641&amp;"|"&amp;I641&amp;"|"&amp;J641&amp;"|"&amp;K641&amp;"|"&amp;L641&amp;"|"&amp;M641&amp;"|"&amp;N641&amp;"|"&amp;O641&amp;"|"&amp;P641</f>
        <v/>
      </c>
      <c r="R641" s="10">
        <f>IF(COUNTIF($Q$2:$Q$1409,Q641)&gt;1,IF(COUNTIF($Q$2:Q641,Q641)=1,"Exact Duplicate - Keep First","Exact Duplicate - Remove"),"Unique")</f>
        <v/>
      </c>
    </row>
    <row r="642" ht="15" customHeight="1" s="11">
      <c r="A642" s="10" t="inlineStr">
        <is>
          <t>USR-100641</t>
        </is>
      </c>
      <c r="B642" s="14" t="n">
        <v>45803</v>
      </c>
      <c r="C642" s="10" t="inlineStr">
        <is>
          <t>Control</t>
        </is>
      </c>
      <c r="D642" s="10" t="inlineStr">
        <is>
          <t>North</t>
        </is>
      </c>
      <c r="E642" s="10" t="inlineStr">
        <is>
          <t>Mobile</t>
        </is>
      </c>
      <c r="F642" s="10" t="inlineStr">
        <is>
          <t>Social</t>
        </is>
      </c>
      <c r="G642" s="10" t="inlineStr">
        <is>
          <t>Free</t>
        </is>
      </c>
      <c r="H642" s="10" t="n">
        <v>1</v>
      </c>
      <c r="I642" s="10" t="n">
        <v>0</v>
      </c>
      <c r="J642" s="10" t="n">
        <v>0</v>
      </c>
      <c r="K642" s="10" t="n">
        <v>0</v>
      </c>
      <c r="L642" s="10" t="n">
        <v>0</v>
      </c>
      <c r="M642" s="10" t="n">
        <v>0</v>
      </c>
      <c r="N642" s="10" t="n">
        <v>0</v>
      </c>
      <c r="P642" s="10" t="n">
        <v>52.7</v>
      </c>
      <c r="Q642" s="10">
        <f>A642&amp;"|"&amp;B642&amp;"|"&amp;C642&amp;"|"&amp;D642&amp;"|"&amp;E642&amp;"|"&amp;F642&amp;"|"&amp;G642&amp;"|"&amp;H642&amp;"|"&amp;I642&amp;"|"&amp;J642&amp;"|"&amp;K642&amp;"|"&amp;L642&amp;"|"&amp;M642&amp;"|"&amp;N642&amp;"|"&amp;O642&amp;"|"&amp;P642</f>
        <v/>
      </c>
      <c r="R642" s="10">
        <f>IF(COUNTIF($Q$2:$Q$1409,Q642)&gt;1,IF(COUNTIF($Q$2:Q642,Q642)=1,"Exact Duplicate - Keep First","Exact Duplicate - Remove"),"Unique")</f>
        <v/>
      </c>
    </row>
    <row r="643" ht="15" customHeight="1" s="11">
      <c r="A643" s="10" t="inlineStr">
        <is>
          <t>USR-100642</t>
        </is>
      </c>
      <c r="B643" s="14" t="n">
        <v>45700</v>
      </c>
      <c r="C643" s="10" t="inlineStr">
        <is>
          <t>Control</t>
        </is>
      </c>
      <c r="D643" s="10" t="inlineStr">
        <is>
          <t>North</t>
        </is>
      </c>
      <c r="E643" s="10" t="inlineStr">
        <is>
          <t>Mobile</t>
        </is>
      </c>
      <c r="F643" s="10" t="inlineStr">
        <is>
          <t>Organic</t>
        </is>
      </c>
      <c r="G643" s="10" t="inlineStr">
        <is>
          <t>Free</t>
        </is>
      </c>
      <c r="H643" s="10" t="n">
        <v>1</v>
      </c>
      <c r="I643" s="10" t="n">
        <v>0</v>
      </c>
      <c r="J643" s="10" t="n">
        <v>0</v>
      </c>
      <c r="K643" s="10" t="n">
        <v>0</v>
      </c>
      <c r="L643" s="10" t="n">
        <v>0</v>
      </c>
      <c r="M643" s="10" t="n">
        <v>0</v>
      </c>
      <c r="N643" s="10" t="n">
        <v>0</v>
      </c>
      <c r="P643" s="10" t="n">
        <v>51.7</v>
      </c>
      <c r="Q643" s="10">
        <f>A643&amp;"|"&amp;B643&amp;"|"&amp;C643&amp;"|"&amp;D643&amp;"|"&amp;E643&amp;"|"&amp;F643&amp;"|"&amp;G643&amp;"|"&amp;H643&amp;"|"&amp;I643&amp;"|"&amp;J643&amp;"|"&amp;K643&amp;"|"&amp;L643&amp;"|"&amp;M643&amp;"|"&amp;N643&amp;"|"&amp;O643&amp;"|"&amp;P643</f>
        <v/>
      </c>
      <c r="R643" s="10">
        <f>IF(COUNTIF($Q$2:$Q$1409,Q643)&gt;1,IF(COUNTIF($Q$2:Q643,Q643)=1,"Exact Duplicate - Keep First","Exact Duplicate - Remove"),"Unique")</f>
        <v/>
      </c>
    </row>
    <row r="644" ht="15" customHeight="1" s="11">
      <c r="A644" s="10" t="inlineStr">
        <is>
          <t>USR-100643</t>
        </is>
      </c>
      <c r="B644" s="14" t="n">
        <v>45748</v>
      </c>
      <c r="C644" s="10" t="inlineStr">
        <is>
          <t>Control</t>
        </is>
      </c>
      <c r="D644" s="10" t="inlineStr">
        <is>
          <t>North</t>
        </is>
      </c>
      <c r="E644" s="10" t="inlineStr">
        <is>
          <t>Desktop</t>
        </is>
      </c>
      <c r="F644" s="10" t="inlineStr">
        <is>
          <t>Email</t>
        </is>
      </c>
      <c r="G644" s="10" t="inlineStr">
        <is>
          <t>Basic</t>
        </is>
      </c>
      <c r="H644" s="10" t="n">
        <v>0</v>
      </c>
      <c r="I644" s="10" t="n">
        <v>0</v>
      </c>
      <c r="J644" s="10" t="n">
        <v>0</v>
      </c>
      <c r="K644" s="10" t="n">
        <v>0</v>
      </c>
      <c r="L644" s="10" t="n">
        <v>0</v>
      </c>
      <c r="M644" s="10" t="n">
        <v>0</v>
      </c>
      <c r="N644" s="10" t="n">
        <v>0</v>
      </c>
      <c r="P644" s="10" t="n">
        <v>57</v>
      </c>
      <c r="Q644" s="10">
        <f>A644&amp;"|"&amp;B644&amp;"|"&amp;C644&amp;"|"&amp;D644&amp;"|"&amp;E644&amp;"|"&amp;F644&amp;"|"&amp;G644&amp;"|"&amp;H644&amp;"|"&amp;I644&amp;"|"&amp;J644&amp;"|"&amp;K644&amp;"|"&amp;L644&amp;"|"&amp;M644&amp;"|"&amp;N644&amp;"|"&amp;O644&amp;"|"&amp;P644</f>
        <v/>
      </c>
      <c r="R644" s="10">
        <f>IF(COUNTIF($Q$2:$Q$1409,Q644)&gt;1,IF(COUNTIF($Q$2:Q644,Q644)=1,"Exact Duplicate - Keep First","Exact Duplicate - Remove"),"Unique")</f>
        <v/>
      </c>
    </row>
    <row r="645" ht="15" customHeight="1" s="11">
      <c r="A645" s="10" t="inlineStr">
        <is>
          <t>USR-100644</t>
        </is>
      </c>
      <c r="B645" s="14" t="n">
        <v>45675</v>
      </c>
      <c r="C645" s="10" t="inlineStr">
        <is>
          <t>Control</t>
        </is>
      </c>
      <c r="D645" s="10" t="inlineStr">
        <is>
          <t>South</t>
        </is>
      </c>
      <c r="E645" s="10" t="inlineStr">
        <is>
          <t>Desktop</t>
        </is>
      </c>
      <c r="F645" s="10" t="inlineStr">
        <is>
          <t>Organic</t>
        </is>
      </c>
      <c r="G645" s="10" t="inlineStr">
        <is>
          <t>Basic</t>
        </is>
      </c>
      <c r="H645" s="10" t="n">
        <v>0</v>
      </c>
      <c r="I645" s="10" t="n">
        <v>0</v>
      </c>
      <c r="J645" s="10" t="n">
        <v>0</v>
      </c>
      <c r="K645" s="10" t="n">
        <v>0</v>
      </c>
      <c r="L645" s="10" t="n">
        <v>0</v>
      </c>
      <c r="M645" s="10" t="n">
        <v>0</v>
      </c>
      <c r="N645" s="10" t="n">
        <v>0</v>
      </c>
      <c r="P645" s="10" t="n">
        <v>39.5</v>
      </c>
      <c r="Q645" s="10">
        <f>A645&amp;"|"&amp;B645&amp;"|"&amp;C645&amp;"|"&amp;D645&amp;"|"&amp;E645&amp;"|"&amp;F645&amp;"|"&amp;G645&amp;"|"&amp;H645&amp;"|"&amp;I645&amp;"|"&amp;J645&amp;"|"&amp;K645&amp;"|"&amp;L645&amp;"|"&amp;M645&amp;"|"&amp;N645&amp;"|"&amp;O645&amp;"|"&amp;P645</f>
        <v/>
      </c>
      <c r="R645" s="10">
        <f>IF(COUNTIF($Q$2:$Q$1409,Q645)&gt;1,IF(COUNTIF($Q$2:Q645,Q645)=1,"Exact Duplicate - Keep First","Exact Duplicate - Remove"),"Unique")</f>
        <v/>
      </c>
    </row>
    <row r="646" ht="15" customHeight="1" s="11">
      <c r="A646" s="10" t="inlineStr">
        <is>
          <t>USR-100645</t>
        </is>
      </c>
      <c r="B646" s="14" t="n">
        <v>45753</v>
      </c>
      <c r="C646" s="10" t="inlineStr">
        <is>
          <t>Control</t>
        </is>
      </c>
      <c r="D646" s="10" t="inlineStr">
        <is>
          <t>East</t>
        </is>
      </c>
      <c r="E646" s="10" t="inlineStr">
        <is>
          <t>Tablet</t>
        </is>
      </c>
      <c r="F646" s="10" t="inlineStr">
        <is>
          <t>Organic</t>
        </is>
      </c>
      <c r="G646" s="10" t="inlineStr">
        <is>
          <t>Free</t>
        </is>
      </c>
      <c r="H646" s="10" t="n">
        <v>1</v>
      </c>
      <c r="I646" s="10" t="n">
        <v>0</v>
      </c>
      <c r="J646" s="10" t="n">
        <v>0</v>
      </c>
      <c r="K646" s="10" t="n">
        <v>0</v>
      </c>
      <c r="L646" s="10" t="n">
        <v>0</v>
      </c>
      <c r="M646" s="10" t="n">
        <v>0</v>
      </c>
      <c r="N646" s="10" t="n">
        <v>0</v>
      </c>
      <c r="P646" s="10" t="n">
        <v>76.5</v>
      </c>
      <c r="Q646" s="10">
        <f>A646&amp;"|"&amp;B646&amp;"|"&amp;C646&amp;"|"&amp;D646&amp;"|"&amp;E646&amp;"|"&amp;F646&amp;"|"&amp;G646&amp;"|"&amp;H646&amp;"|"&amp;I646&amp;"|"&amp;J646&amp;"|"&amp;K646&amp;"|"&amp;L646&amp;"|"&amp;M646&amp;"|"&amp;N646&amp;"|"&amp;O646&amp;"|"&amp;P646</f>
        <v/>
      </c>
      <c r="R646" s="10">
        <f>IF(COUNTIF($Q$2:$Q$1409,Q646)&gt;1,IF(COUNTIF($Q$2:Q646,Q646)=1,"Exact Duplicate - Keep First","Exact Duplicate - Remove"),"Unique")</f>
        <v/>
      </c>
    </row>
    <row r="647" ht="15" customHeight="1" s="11">
      <c r="A647" s="10" t="inlineStr">
        <is>
          <t>USR-100646</t>
        </is>
      </c>
      <c r="B647" s="14" t="n">
        <v>45764</v>
      </c>
      <c r="C647" s="10" t="inlineStr">
        <is>
          <t>Control</t>
        </is>
      </c>
      <c r="D647" s="10" t="inlineStr">
        <is>
          <t>East</t>
        </is>
      </c>
      <c r="E647" s="10" t="inlineStr">
        <is>
          <t>Mobile</t>
        </is>
      </c>
      <c r="F647" s="10" t="inlineStr">
        <is>
          <t>Organic</t>
        </is>
      </c>
      <c r="G647" s="10" t="inlineStr">
        <is>
          <t>Free</t>
        </is>
      </c>
      <c r="H647" s="10" t="n">
        <v>1</v>
      </c>
      <c r="I647" s="10" t="n">
        <v>0</v>
      </c>
      <c r="J647" s="10" t="n">
        <v>0</v>
      </c>
      <c r="K647" s="10" t="n">
        <v>0</v>
      </c>
      <c r="L647" s="10" t="n">
        <v>0</v>
      </c>
      <c r="M647" s="10" t="n">
        <v>0</v>
      </c>
      <c r="N647" s="10" t="n">
        <v>0</v>
      </c>
      <c r="P647" s="10" t="n">
        <v>32.4</v>
      </c>
      <c r="Q647" s="10">
        <f>A647&amp;"|"&amp;B647&amp;"|"&amp;C647&amp;"|"&amp;D647&amp;"|"&amp;E647&amp;"|"&amp;F647&amp;"|"&amp;G647&amp;"|"&amp;H647&amp;"|"&amp;I647&amp;"|"&amp;J647&amp;"|"&amp;K647&amp;"|"&amp;L647&amp;"|"&amp;M647&amp;"|"&amp;N647&amp;"|"&amp;O647&amp;"|"&amp;P647</f>
        <v/>
      </c>
      <c r="R647" s="10">
        <f>IF(COUNTIF($Q$2:$Q$1409,Q647)&gt;1,IF(COUNTIF($Q$2:Q647,Q647)=1,"Exact Duplicate - Keep First","Exact Duplicate - Remove"),"Unique")</f>
        <v/>
      </c>
    </row>
    <row r="648" ht="15" customHeight="1" s="11">
      <c r="A648" s="10" t="inlineStr">
        <is>
          <t>USR-100647</t>
        </is>
      </c>
      <c r="B648" s="14" t="n">
        <v>45695</v>
      </c>
      <c r="C648" s="10" t="inlineStr">
        <is>
          <t>Control</t>
        </is>
      </c>
      <c r="D648" s="10" t="inlineStr">
        <is>
          <t>North</t>
        </is>
      </c>
      <c r="E648" s="10" t="inlineStr">
        <is>
          <t>Desktop</t>
        </is>
      </c>
      <c r="F648" s="10" t="inlineStr">
        <is>
          <t>Paid Search</t>
        </is>
      </c>
      <c r="G648" s="10" t="inlineStr">
        <is>
          <t>Free</t>
        </is>
      </c>
      <c r="H648" s="10" t="n">
        <v>0</v>
      </c>
      <c r="I648" s="10" t="n">
        <v>0</v>
      </c>
      <c r="J648" s="10" t="n">
        <v>0</v>
      </c>
      <c r="K648" s="10" t="n">
        <v>0</v>
      </c>
      <c r="L648" s="10" t="n">
        <v>0</v>
      </c>
      <c r="M648" s="10" t="n">
        <v>0</v>
      </c>
      <c r="N648" s="10" t="n">
        <v>0</v>
      </c>
      <c r="P648" s="10" t="n">
        <v>58.6</v>
      </c>
      <c r="Q648" s="10">
        <f>A648&amp;"|"&amp;B648&amp;"|"&amp;C648&amp;"|"&amp;D648&amp;"|"&amp;E648&amp;"|"&amp;F648&amp;"|"&amp;G648&amp;"|"&amp;H648&amp;"|"&amp;I648&amp;"|"&amp;J648&amp;"|"&amp;K648&amp;"|"&amp;L648&amp;"|"&amp;M648&amp;"|"&amp;N648&amp;"|"&amp;O648&amp;"|"&amp;P648</f>
        <v/>
      </c>
      <c r="R648" s="10">
        <f>IF(COUNTIF($Q$2:$Q$1409,Q648)&gt;1,IF(COUNTIF($Q$2:Q648,Q648)=1,"Exact Duplicate - Keep First","Exact Duplicate - Remove"),"Unique")</f>
        <v/>
      </c>
    </row>
    <row r="649" ht="15" customHeight="1" s="11">
      <c r="A649" s="10" t="inlineStr">
        <is>
          <t>USR-100648</t>
        </is>
      </c>
      <c r="B649" s="14" t="n">
        <v>45720</v>
      </c>
      <c r="C649" s="10" t="inlineStr">
        <is>
          <t>Control</t>
        </is>
      </c>
      <c r="D649" s="10" t="inlineStr">
        <is>
          <t>East</t>
        </is>
      </c>
      <c r="E649" s="10" t="inlineStr">
        <is>
          <t>Mobile</t>
        </is>
      </c>
      <c r="F649" s="10" t="inlineStr">
        <is>
          <t>Organic</t>
        </is>
      </c>
      <c r="G649" s="10" t="inlineStr">
        <is>
          <t>Basic</t>
        </is>
      </c>
      <c r="H649" s="10" t="n">
        <v>1</v>
      </c>
      <c r="I649" s="10" t="n">
        <v>0</v>
      </c>
      <c r="J649" s="10" t="n">
        <v>0</v>
      </c>
      <c r="K649" s="10" t="n">
        <v>0</v>
      </c>
      <c r="L649" s="10" t="n">
        <v>0</v>
      </c>
      <c r="M649" s="10" t="n">
        <v>0</v>
      </c>
      <c r="N649" s="10" t="n">
        <v>0</v>
      </c>
      <c r="P649" s="10" t="n">
        <v>78.59999999999999</v>
      </c>
      <c r="Q649" s="10">
        <f>A649&amp;"|"&amp;B649&amp;"|"&amp;C649&amp;"|"&amp;D649&amp;"|"&amp;E649&amp;"|"&amp;F649&amp;"|"&amp;G649&amp;"|"&amp;H649&amp;"|"&amp;I649&amp;"|"&amp;J649&amp;"|"&amp;K649&amp;"|"&amp;L649&amp;"|"&amp;M649&amp;"|"&amp;N649&amp;"|"&amp;O649&amp;"|"&amp;P649</f>
        <v/>
      </c>
      <c r="R649" s="10">
        <f>IF(COUNTIF($Q$2:$Q$1409,Q649)&gt;1,IF(COUNTIF($Q$2:Q649,Q649)=1,"Exact Duplicate - Keep First","Exact Duplicate - Remove"),"Unique")</f>
        <v/>
      </c>
    </row>
    <row r="650" ht="15" customHeight="1" s="11">
      <c r="A650" s="10" t="inlineStr">
        <is>
          <t>USR-100649</t>
        </is>
      </c>
      <c r="B650" s="14" t="n">
        <v>45705</v>
      </c>
      <c r="C650" s="10" t="inlineStr">
        <is>
          <t>Control</t>
        </is>
      </c>
      <c r="D650" s="10" t="inlineStr">
        <is>
          <t>North</t>
        </is>
      </c>
      <c r="E650" s="10" t="inlineStr">
        <is>
          <t>Desktop</t>
        </is>
      </c>
      <c r="F650" s="10" t="inlineStr">
        <is>
          <t>Organic</t>
        </is>
      </c>
      <c r="G650" s="10" t="inlineStr">
        <is>
          <t>Premium</t>
        </is>
      </c>
      <c r="H650" s="10" t="n">
        <v>0</v>
      </c>
      <c r="I650" s="10" t="n">
        <v>0</v>
      </c>
      <c r="J650" s="10" t="n">
        <v>0</v>
      </c>
      <c r="K650" s="10" t="n">
        <v>0</v>
      </c>
      <c r="L650" s="10" t="n">
        <v>0</v>
      </c>
      <c r="M650" s="10" t="n">
        <v>0</v>
      </c>
      <c r="N650" s="10" t="n">
        <v>0</v>
      </c>
      <c r="P650" s="10" t="n">
        <v>54.5</v>
      </c>
      <c r="Q650" s="10">
        <f>A650&amp;"|"&amp;B650&amp;"|"&amp;C650&amp;"|"&amp;D650&amp;"|"&amp;E650&amp;"|"&amp;F650&amp;"|"&amp;G650&amp;"|"&amp;H650&amp;"|"&amp;I650&amp;"|"&amp;J650&amp;"|"&amp;K650&amp;"|"&amp;L650&amp;"|"&amp;M650&amp;"|"&amp;N650&amp;"|"&amp;O650&amp;"|"&amp;P650</f>
        <v/>
      </c>
      <c r="R650" s="10">
        <f>IF(COUNTIF($Q$2:$Q$1409,Q650)&gt;1,IF(COUNTIF($Q$2:Q650,Q650)=1,"Exact Duplicate - Keep First","Exact Duplicate - Remove"),"Unique")</f>
        <v/>
      </c>
    </row>
    <row r="651" ht="15" customHeight="1" s="11">
      <c r="A651" s="10" t="inlineStr">
        <is>
          <t>USR-100650</t>
        </is>
      </c>
      <c r="B651" s="14" t="n">
        <v>45783</v>
      </c>
      <c r="C651" s="10" t="inlineStr">
        <is>
          <t>Control</t>
        </is>
      </c>
      <c r="D651" s="10" t="inlineStr">
        <is>
          <t>South</t>
        </is>
      </c>
      <c r="E651" s="10" t="inlineStr">
        <is>
          <t>Mobile</t>
        </is>
      </c>
      <c r="F651" s="10" t="inlineStr">
        <is>
          <t>Referral</t>
        </is>
      </c>
      <c r="G651" s="10" t="inlineStr">
        <is>
          <t>Free</t>
        </is>
      </c>
      <c r="H651" s="10" t="n">
        <v>1</v>
      </c>
      <c r="I651" s="10" t="n">
        <v>0</v>
      </c>
      <c r="J651" s="10" t="n">
        <v>0</v>
      </c>
      <c r="K651" s="10" t="n">
        <v>0</v>
      </c>
      <c r="L651" s="10" t="n">
        <v>0</v>
      </c>
      <c r="M651" s="10" t="n">
        <v>0</v>
      </c>
      <c r="N651" s="10" t="n">
        <v>0</v>
      </c>
      <c r="P651" s="10" t="n">
        <v>57.6</v>
      </c>
      <c r="Q651" s="10">
        <f>A651&amp;"|"&amp;B651&amp;"|"&amp;C651&amp;"|"&amp;D651&amp;"|"&amp;E651&amp;"|"&amp;F651&amp;"|"&amp;G651&amp;"|"&amp;H651&amp;"|"&amp;I651&amp;"|"&amp;J651&amp;"|"&amp;K651&amp;"|"&amp;L651&amp;"|"&amp;M651&amp;"|"&amp;N651&amp;"|"&amp;O651&amp;"|"&amp;P651</f>
        <v/>
      </c>
      <c r="R651" s="10">
        <f>IF(COUNTIF($Q$2:$Q$1409,Q651)&gt;1,IF(COUNTIF($Q$2:Q651,Q651)=1,"Exact Duplicate - Keep First","Exact Duplicate - Remove"),"Unique")</f>
        <v/>
      </c>
    </row>
    <row r="652" ht="15" customHeight="1" s="11">
      <c r="A652" s="10" t="inlineStr">
        <is>
          <t>USR-100651</t>
        </is>
      </c>
      <c r="B652" s="14" t="n">
        <v>45741</v>
      </c>
      <c r="C652" s="10" t="inlineStr">
        <is>
          <t>Control</t>
        </is>
      </c>
      <c r="D652" s="10" t="inlineStr">
        <is>
          <t>South</t>
        </is>
      </c>
      <c r="E652" s="10" t="inlineStr">
        <is>
          <t>Mobile</t>
        </is>
      </c>
      <c r="F652" s="10" t="inlineStr">
        <is>
          <t>Referral</t>
        </is>
      </c>
      <c r="G652" s="10" t="inlineStr">
        <is>
          <t>Premium</t>
        </is>
      </c>
      <c r="H652" s="10" t="n">
        <v>0</v>
      </c>
      <c r="I652" s="10" t="n">
        <v>0</v>
      </c>
      <c r="J652" s="10" t="n">
        <v>0</v>
      </c>
      <c r="K652" s="10" t="n">
        <v>0</v>
      </c>
      <c r="L652" s="10" t="n">
        <v>0</v>
      </c>
      <c r="M652" s="10" t="n">
        <v>0</v>
      </c>
      <c r="N652" s="10" t="n">
        <v>0</v>
      </c>
      <c r="P652" s="10" t="n">
        <v>52.8</v>
      </c>
      <c r="Q652" s="10">
        <f>A652&amp;"|"&amp;B652&amp;"|"&amp;C652&amp;"|"&amp;D652&amp;"|"&amp;E652&amp;"|"&amp;F652&amp;"|"&amp;G652&amp;"|"&amp;H652&amp;"|"&amp;I652&amp;"|"&amp;J652&amp;"|"&amp;K652&amp;"|"&amp;L652&amp;"|"&amp;M652&amp;"|"&amp;N652&amp;"|"&amp;O652&amp;"|"&amp;P652</f>
        <v/>
      </c>
      <c r="R652" s="10">
        <f>IF(COUNTIF($Q$2:$Q$1409,Q652)&gt;1,IF(COUNTIF($Q$2:Q652,Q652)=1,"Exact Duplicate - Keep First","Exact Duplicate - Remove"),"Unique")</f>
        <v/>
      </c>
    </row>
    <row r="653" ht="15" customHeight="1" s="11">
      <c r="A653" s="10" t="inlineStr">
        <is>
          <t>USR-100652</t>
        </is>
      </c>
      <c r="B653" s="14" t="n">
        <v>45720</v>
      </c>
      <c r="C653" s="10" t="inlineStr">
        <is>
          <t>Control</t>
        </is>
      </c>
      <c r="D653" s="10" t="inlineStr">
        <is>
          <t>West</t>
        </is>
      </c>
      <c r="E653" s="10" t="inlineStr">
        <is>
          <t>Mobile</t>
        </is>
      </c>
      <c r="F653" s="10" t="inlineStr">
        <is>
          <t>Email</t>
        </is>
      </c>
      <c r="G653" s="10" t="inlineStr">
        <is>
          <t>Premium</t>
        </is>
      </c>
      <c r="H653" s="10" t="n">
        <v>1</v>
      </c>
      <c r="I653" s="10" t="n">
        <v>0</v>
      </c>
      <c r="J653" s="10" t="n">
        <v>0</v>
      </c>
      <c r="K653" s="10" t="n">
        <v>0</v>
      </c>
      <c r="L653" s="10" t="n">
        <v>0</v>
      </c>
      <c r="M653" s="10" t="n">
        <v>0</v>
      </c>
      <c r="N653" s="10" t="n">
        <v>0</v>
      </c>
      <c r="P653" s="10" t="n">
        <v>52.9</v>
      </c>
      <c r="Q653" s="10">
        <f>A653&amp;"|"&amp;B653&amp;"|"&amp;C653&amp;"|"&amp;D653&amp;"|"&amp;E653&amp;"|"&amp;F653&amp;"|"&amp;G653&amp;"|"&amp;H653&amp;"|"&amp;I653&amp;"|"&amp;J653&amp;"|"&amp;K653&amp;"|"&amp;L653&amp;"|"&amp;M653&amp;"|"&amp;N653&amp;"|"&amp;O653&amp;"|"&amp;P653</f>
        <v/>
      </c>
      <c r="R653" s="10">
        <f>IF(COUNTIF($Q$2:$Q$1409,Q653)&gt;1,IF(COUNTIF($Q$2:Q653,Q653)=1,"Exact Duplicate - Keep First","Exact Duplicate - Remove"),"Unique")</f>
        <v/>
      </c>
    </row>
    <row r="654" ht="15" customHeight="1" s="11">
      <c r="A654" s="10" t="inlineStr">
        <is>
          <t>USR-100653</t>
        </is>
      </c>
      <c r="B654" s="14" t="n">
        <v>45786</v>
      </c>
      <c r="C654" s="10" t="inlineStr">
        <is>
          <t>Control</t>
        </is>
      </c>
      <c r="D654" s="10" t="inlineStr">
        <is>
          <t>West</t>
        </is>
      </c>
      <c r="E654" s="10" t="inlineStr">
        <is>
          <t>Mobile</t>
        </is>
      </c>
      <c r="F654" s="10" t="inlineStr">
        <is>
          <t>Organic</t>
        </is>
      </c>
      <c r="G654" s="10" t="inlineStr">
        <is>
          <t>Free</t>
        </is>
      </c>
      <c r="H654" s="10" t="n">
        <v>1</v>
      </c>
      <c r="I654" s="10" t="n">
        <v>0</v>
      </c>
      <c r="J654" s="10" t="n">
        <v>0</v>
      </c>
      <c r="K654" s="10" t="n">
        <v>0</v>
      </c>
      <c r="L654" s="10" t="n">
        <v>0</v>
      </c>
      <c r="M654" s="10" t="n">
        <v>1</v>
      </c>
      <c r="N654" s="10" t="n">
        <v>0</v>
      </c>
      <c r="P654" s="10" t="n">
        <v>55.9</v>
      </c>
      <c r="Q654" s="10">
        <f>A654&amp;"|"&amp;B654&amp;"|"&amp;C654&amp;"|"&amp;D654&amp;"|"&amp;E654&amp;"|"&amp;F654&amp;"|"&amp;G654&amp;"|"&amp;H654&amp;"|"&amp;I654&amp;"|"&amp;J654&amp;"|"&amp;K654&amp;"|"&amp;L654&amp;"|"&amp;M654&amp;"|"&amp;N654&amp;"|"&amp;O654&amp;"|"&amp;P654</f>
        <v/>
      </c>
      <c r="R654" s="10">
        <f>IF(COUNTIF($Q$2:$Q$1409,Q654)&gt;1,IF(COUNTIF($Q$2:Q654,Q654)=1,"Exact Duplicate - Keep First","Exact Duplicate - Remove"),"Unique")</f>
        <v/>
      </c>
    </row>
    <row r="655" ht="15" customHeight="1" s="11">
      <c r="A655" s="10" t="inlineStr">
        <is>
          <t>USR-100654</t>
        </is>
      </c>
      <c r="B655" s="14" t="n">
        <v>45794</v>
      </c>
      <c r="C655" s="10" t="inlineStr">
        <is>
          <t>Control</t>
        </is>
      </c>
      <c r="D655" s="10" t="inlineStr">
        <is>
          <t>West</t>
        </is>
      </c>
      <c r="E655" s="10" t="inlineStr">
        <is>
          <t>Mobile</t>
        </is>
      </c>
      <c r="F655" s="10" t="inlineStr">
        <is>
          <t>Referral</t>
        </is>
      </c>
      <c r="G655" s="10" t="inlineStr">
        <is>
          <t>Premium</t>
        </is>
      </c>
      <c r="H655" s="10" t="n">
        <v>1</v>
      </c>
      <c r="I655" s="10" t="n">
        <v>0</v>
      </c>
      <c r="J655" s="10" t="n">
        <v>0</v>
      </c>
      <c r="K655" s="10" t="n">
        <v>0</v>
      </c>
      <c r="L655" s="10" t="n">
        <v>0</v>
      </c>
      <c r="M655" s="10" t="n">
        <v>0</v>
      </c>
      <c r="N655" s="10" t="n">
        <v>0</v>
      </c>
      <c r="P655" s="10" t="n">
        <v>74.2</v>
      </c>
      <c r="Q655" s="10">
        <f>A655&amp;"|"&amp;B655&amp;"|"&amp;C655&amp;"|"&amp;D655&amp;"|"&amp;E655&amp;"|"&amp;F655&amp;"|"&amp;G655&amp;"|"&amp;H655&amp;"|"&amp;I655&amp;"|"&amp;J655&amp;"|"&amp;K655&amp;"|"&amp;L655&amp;"|"&amp;M655&amp;"|"&amp;N655&amp;"|"&amp;O655&amp;"|"&amp;P655</f>
        <v/>
      </c>
      <c r="R655" s="10">
        <f>IF(COUNTIF($Q$2:$Q$1409,Q655)&gt;1,IF(COUNTIF($Q$2:Q655,Q655)=1,"Exact Duplicate - Keep First","Exact Duplicate - Remove"),"Unique")</f>
        <v/>
      </c>
    </row>
    <row r="656" ht="15" customHeight="1" s="11">
      <c r="A656" s="10" t="inlineStr">
        <is>
          <t>USR-100655</t>
        </is>
      </c>
      <c r="B656" s="14" t="n">
        <v>45669</v>
      </c>
      <c r="C656" s="10" t="inlineStr">
        <is>
          <t>Control</t>
        </is>
      </c>
      <c r="D656" s="10" t="inlineStr">
        <is>
          <t>West</t>
        </is>
      </c>
      <c r="E656" s="10" t="inlineStr">
        <is>
          <t>Mobile</t>
        </is>
      </c>
      <c r="F656" s="10" t="inlineStr">
        <is>
          <t>Organic</t>
        </is>
      </c>
      <c r="G656" s="10" t="inlineStr">
        <is>
          <t>Free</t>
        </is>
      </c>
      <c r="H656" s="10" t="n">
        <v>0</v>
      </c>
      <c r="I656" s="10" t="n">
        <v>0</v>
      </c>
      <c r="J656" s="10" t="n">
        <v>0</v>
      </c>
      <c r="K656" s="10" t="n">
        <v>0</v>
      </c>
      <c r="L656" s="10" t="n">
        <v>0</v>
      </c>
      <c r="M656" s="10" t="n">
        <v>0</v>
      </c>
      <c r="N656" s="10" t="n">
        <v>0</v>
      </c>
      <c r="P656" s="10" t="n">
        <v>46.3</v>
      </c>
      <c r="Q656" s="10">
        <f>A656&amp;"|"&amp;B656&amp;"|"&amp;C656&amp;"|"&amp;D656&amp;"|"&amp;E656&amp;"|"&amp;F656&amp;"|"&amp;G656&amp;"|"&amp;H656&amp;"|"&amp;I656&amp;"|"&amp;J656&amp;"|"&amp;K656&amp;"|"&amp;L656&amp;"|"&amp;M656&amp;"|"&amp;N656&amp;"|"&amp;O656&amp;"|"&amp;P656</f>
        <v/>
      </c>
      <c r="R656" s="10">
        <f>IF(COUNTIF($Q$2:$Q$1409,Q656)&gt;1,IF(COUNTIF($Q$2:Q656,Q656)=1,"Exact Duplicate - Keep First","Exact Duplicate - Remove"),"Unique")</f>
        <v/>
      </c>
    </row>
    <row r="657" ht="15" customHeight="1" s="11">
      <c r="A657" s="10" t="inlineStr">
        <is>
          <t>USR-100656</t>
        </is>
      </c>
      <c r="B657" s="14" t="n">
        <v>45728</v>
      </c>
      <c r="C657" s="10" t="inlineStr">
        <is>
          <t>Control</t>
        </is>
      </c>
      <c r="D657" s="10" t="inlineStr">
        <is>
          <t>West</t>
        </is>
      </c>
      <c r="E657" s="10" t="inlineStr">
        <is>
          <t>Mobile</t>
        </is>
      </c>
      <c r="F657" s="10" t="inlineStr">
        <is>
          <t>Organic</t>
        </is>
      </c>
      <c r="G657" s="10" t="inlineStr">
        <is>
          <t>Premium</t>
        </is>
      </c>
      <c r="H657" s="10" t="n">
        <v>1</v>
      </c>
      <c r="I657" s="10" t="n">
        <v>0</v>
      </c>
      <c r="J657" s="10" t="n">
        <v>0</v>
      </c>
      <c r="K657" s="10" t="n">
        <v>0</v>
      </c>
      <c r="L657" s="10" t="n">
        <v>0</v>
      </c>
      <c r="M657" s="10" t="n">
        <v>0</v>
      </c>
      <c r="N657" s="10" t="n">
        <v>0</v>
      </c>
      <c r="P657" s="10" t="n">
        <v>62</v>
      </c>
      <c r="Q657" s="10">
        <f>A657&amp;"|"&amp;B657&amp;"|"&amp;C657&amp;"|"&amp;D657&amp;"|"&amp;E657&amp;"|"&amp;F657&amp;"|"&amp;G657&amp;"|"&amp;H657&amp;"|"&amp;I657&amp;"|"&amp;J657&amp;"|"&amp;K657&amp;"|"&amp;L657&amp;"|"&amp;M657&amp;"|"&amp;N657&amp;"|"&amp;O657&amp;"|"&amp;P657</f>
        <v/>
      </c>
      <c r="R657" s="10">
        <f>IF(COUNTIF($Q$2:$Q$1409,Q657)&gt;1,IF(COUNTIF($Q$2:Q657,Q657)=1,"Exact Duplicate - Keep First","Exact Duplicate - Remove"),"Unique")</f>
        <v/>
      </c>
    </row>
    <row r="658" ht="15" customHeight="1" s="11">
      <c r="A658" s="10" t="inlineStr">
        <is>
          <t>USR-100657</t>
        </is>
      </c>
      <c r="B658" s="14" t="n">
        <v>45749</v>
      </c>
      <c r="C658" s="10" t="inlineStr">
        <is>
          <t>Control</t>
        </is>
      </c>
      <c r="D658" s="10" t="inlineStr">
        <is>
          <t>South</t>
        </is>
      </c>
      <c r="E658" s="10" t="inlineStr">
        <is>
          <t>Mobile</t>
        </is>
      </c>
      <c r="F658" s="10" t="inlineStr">
        <is>
          <t>Organic</t>
        </is>
      </c>
      <c r="G658" s="10" t="inlineStr">
        <is>
          <t>Basic</t>
        </is>
      </c>
      <c r="H658" s="10" t="n">
        <v>0</v>
      </c>
      <c r="I658" s="10" t="n">
        <v>0</v>
      </c>
      <c r="J658" s="10" t="n">
        <v>0</v>
      </c>
      <c r="K658" s="10" t="n">
        <v>0</v>
      </c>
      <c r="L658" s="10" t="n">
        <v>0</v>
      </c>
      <c r="M658" s="10" t="n">
        <v>0</v>
      </c>
      <c r="N658" s="10" t="n">
        <v>0</v>
      </c>
      <c r="P658" s="10" t="n">
        <v>55.6</v>
      </c>
      <c r="Q658" s="10">
        <f>A658&amp;"|"&amp;B658&amp;"|"&amp;C658&amp;"|"&amp;D658&amp;"|"&amp;E658&amp;"|"&amp;F658&amp;"|"&amp;G658&amp;"|"&amp;H658&amp;"|"&amp;I658&amp;"|"&amp;J658&amp;"|"&amp;K658&amp;"|"&amp;L658&amp;"|"&amp;M658&amp;"|"&amp;N658&amp;"|"&amp;O658&amp;"|"&amp;P658</f>
        <v/>
      </c>
      <c r="R658" s="10">
        <f>IF(COUNTIF($Q$2:$Q$1409,Q658)&gt;1,IF(COUNTIF($Q$2:Q658,Q658)=1,"Exact Duplicate - Keep First","Exact Duplicate - Remove"),"Unique")</f>
        <v/>
      </c>
    </row>
    <row r="659" ht="15" customHeight="1" s="11">
      <c r="A659" s="10" t="inlineStr">
        <is>
          <t>USR-100658</t>
        </is>
      </c>
      <c r="B659" s="14" t="n">
        <v>45670</v>
      </c>
      <c r="C659" s="10" t="inlineStr">
        <is>
          <t>Control</t>
        </is>
      </c>
      <c r="D659" s="10" t="inlineStr">
        <is>
          <t>South</t>
        </is>
      </c>
      <c r="E659" s="10" t="inlineStr">
        <is>
          <t>Mobile</t>
        </is>
      </c>
      <c r="F659" s="10" t="inlineStr">
        <is>
          <t>Organic</t>
        </is>
      </c>
      <c r="G659" s="10" t="inlineStr">
        <is>
          <t>Basic</t>
        </is>
      </c>
      <c r="H659" s="10" t="n">
        <v>1</v>
      </c>
      <c r="I659" s="10" t="n">
        <v>0</v>
      </c>
      <c r="J659" s="10" t="n">
        <v>0</v>
      </c>
      <c r="K659" s="10" t="n">
        <v>0</v>
      </c>
      <c r="L659" s="10" t="n">
        <v>0</v>
      </c>
      <c r="M659" s="10" t="n">
        <v>0</v>
      </c>
      <c r="N659" s="10" t="n">
        <v>0</v>
      </c>
      <c r="P659" s="10" t="n">
        <v>62.8</v>
      </c>
      <c r="Q659" s="10">
        <f>A659&amp;"|"&amp;B659&amp;"|"&amp;C659&amp;"|"&amp;D659&amp;"|"&amp;E659&amp;"|"&amp;F659&amp;"|"&amp;G659&amp;"|"&amp;H659&amp;"|"&amp;I659&amp;"|"&amp;J659&amp;"|"&amp;K659&amp;"|"&amp;L659&amp;"|"&amp;M659&amp;"|"&amp;N659&amp;"|"&amp;O659&amp;"|"&amp;P659</f>
        <v/>
      </c>
      <c r="R659" s="10">
        <f>IF(COUNTIF($Q$2:$Q$1409,Q659)&gt;1,IF(COUNTIF($Q$2:Q659,Q659)=1,"Exact Duplicate - Keep First","Exact Duplicate - Remove"),"Unique")</f>
        <v/>
      </c>
    </row>
    <row r="660" ht="15" customHeight="1" s="11">
      <c r="A660" s="10" t="inlineStr">
        <is>
          <t>USR-100659</t>
        </is>
      </c>
      <c r="B660" s="14" t="n">
        <v>45723</v>
      </c>
      <c r="C660" s="10" t="inlineStr">
        <is>
          <t>Control</t>
        </is>
      </c>
      <c r="D660" s="10" t="inlineStr">
        <is>
          <t>East</t>
        </is>
      </c>
      <c r="E660" s="10" t="inlineStr">
        <is>
          <t>Mobile</t>
        </is>
      </c>
      <c r="F660" s="10" t="inlineStr">
        <is>
          <t>Referral</t>
        </is>
      </c>
      <c r="G660" s="10" t="inlineStr">
        <is>
          <t>Free</t>
        </is>
      </c>
      <c r="H660" s="10" t="n">
        <v>0</v>
      </c>
      <c r="I660" s="10" t="n">
        <v>0</v>
      </c>
      <c r="J660" s="10" t="n">
        <v>0</v>
      </c>
      <c r="K660" s="10" t="n">
        <v>0</v>
      </c>
      <c r="L660" s="10" t="n">
        <v>0</v>
      </c>
      <c r="M660" s="10" t="n">
        <v>0</v>
      </c>
      <c r="N660" s="10" t="n">
        <v>0</v>
      </c>
      <c r="P660" s="10" t="n">
        <v>73.09999999999999</v>
      </c>
      <c r="Q660" s="10">
        <f>A660&amp;"|"&amp;B660&amp;"|"&amp;C660&amp;"|"&amp;D660&amp;"|"&amp;E660&amp;"|"&amp;F660&amp;"|"&amp;G660&amp;"|"&amp;H660&amp;"|"&amp;I660&amp;"|"&amp;J660&amp;"|"&amp;K660&amp;"|"&amp;L660&amp;"|"&amp;M660&amp;"|"&amp;N660&amp;"|"&amp;O660&amp;"|"&amp;P660</f>
        <v/>
      </c>
      <c r="R660" s="10">
        <f>IF(COUNTIF($Q$2:$Q$1409,Q660)&gt;1,IF(COUNTIF($Q$2:Q660,Q660)=1,"Exact Duplicate - Keep First","Exact Duplicate - Remove"),"Unique")</f>
        <v/>
      </c>
    </row>
    <row r="661" ht="15" customHeight="1" s="11">
      <c r="A661" s="10" t="inlineStr">
        <is>
          <t>USR-100660</t>
        </is>
      </c>
      <c r="B661" s="14" t="n">
        <v>45767</v>
      </c>
      <c r="C661" s="10" t="inlineStr">
        <is>
          <t>Control</t>
        </is>
      </c>
      <c r="D661" s="10" t="inlineStr">
        <is>
          <t>South</t>
        </is>
      </c>
      <c r="E661" s="10" t="inlineStr">
        <is>
          <t>Desktop</t>
        </is>
      </c>
      <c r="F661" s="10" t="inlineStr">
        <is>
          <t>Social</t>
        </is>
      </c>
      <c r="G661" s="10" t="inlineStr">
        <is>
          <t>Free</t>
        </is>
      </c>
      <c r="H661" s="10" t="n">
        <v>1</v>
      </c>
      <c r="I661" s="10" t="n">
        <v>1</v>
      </c>
      <c r="J661" s="10" t="n">
        <v>1</v>
      </c>
      <c r="K661" s="10" t="n">
        <v>1</v>
      </c>
      <c r="L661" s="10" t="n">
        <v>347.52</v>
      </c>
      <c r="M661" s="10" t="n">
        <v>0</v>
      </c>
      <c r="N661" s="10" t="n">
        <v>0</v>
      </c>
      <c r="O661" s="10" t="n">
        <v>2</v>
      </c>
      <c r="P661" s="10" t="n">
        <v>57.2</v>
      </c>
      <c r="Q661" s="10">
        <f>A661&amp;"|"&amp;B661&amp;"|"&amp;C661&amp;"|"&amp;D661&amp;"|"&amp;E661&amp;"|"&amp;F661&amp;"|"&amp;G661&amp;"|"&amp;H661&amp;"|"&amp;I661&amp;"|"&amp;J661&amp;"|"&amp;K661&amp;"|"&amp;L661&amp;"|"&amp;M661&amp;"|"&amp;N661&amp;"|"&amp;O661&amp;"|"&amp;P661</f>
        <v/>
      </c>
      <c r="R661" s="10">
        <f>IF(COUNTIF($Q$2:$Q$1409,Q661)&gt;1,IF(COUNTIF($Q$2:Q661,Q661)=1,"Exact Duplicate - Keep First","Exact Duplicate - Remove"),"Unique")</f>
        <v/>
      </c>
    </row>
    <row r="662" ht="15" customHeight="1" s="11">
      <c r="A662" s="10" t="inlineStr">
        <is>
          <t>USR-100661</t>
        </is>
      </c>
      <c r="B662" s="14" t="n">
        <v>45664</v>
      </c>
      <c r="C662" s="10" t="inlineStr">
        <is>
          <t>Control</t>
        </is>
      </c>
      <c r="D662" s="10" t="inlineStr">
        <is>
          <t>South</t>
        </is>
      </c>
      <c r="E662" s="10" t="inlineStr">
        <is>
          <t>Mobile</t>
        </is>
      </c>
      <c r="F662" s="10" t="inlineStr">
        <is>
          <t>Paid Search</t>
        </is>
      </c>
      <c r="G662" s="10" t="inlineStr">
        <is>
          <t>Free</t>
        </is>
      </c>
      <c r="H662" s="10" t="n">
        <v>1</v>
      </c>
      <c r="I662" s="10" t="n">
        <v>0</v>
      </c>
      <c r="J662" s="10" t="n">
        <v>0</v>
      </c>
      <c r="K662" s="10" t="n">
        <v>0</v>
      </c>
      <c r="L662" s="10" t="n">
        <v>0</v>
      </c>
      <c r="M662" s="10" t="n">
        <v>0</v>
      </c>
      <c r="N662" s="10" t="n">
        <v>0</v>
      </c>
      <c r="P662" s="10" t="n">
        <v>67.90000000000001</v>
      </c>
      <c r="Q662" s="10">
        <f>A662&amp;"|"&amp;B662&amp;"|"&amp;C662&amp;"|"&amp;D662&amp;"|"&amp;E662&amp;"|"&amp;F662&amp;"|"&amp;G662&amp;"|"&amp;H662&amp;"|"&amp;I662&amp;"|"&amp;J662&amp;"|"&amp;K662&amp;"|"&amp;L662&amp;"|"&amp;M662&amp;"|"&amp;N662&amp;"|"&amp;O662&amp;"|"&amp;P662</f>
        <v/>
      </c>
      <c r="R662" s="10">
        <f>IF(COUNTIF($Q$2:$Q$1409,Q662)&gt;1,IF(COUNTIF($Q$2:Q662,Q662)=1,"Exact Duplicate - Keep First","Exact Duplicate - Remove"),"Unique")</f>
        <v/>
      </c>
    </row>
    <row r="663" ht="15" customHeight="1" s="11">
      <c r="A663" s="10" t="inlineStr">
        <is>
          <t>USR-100662</t>
        </is>
      </c>
      <c r="B663" s="14" t="n">
        <v>45770</v>
      </c>
      <c r="C663" s="10" t="inlineStr">
        <is>
          <t>Control</t>
        </is>
      </c>
      <c r="D663" s="10" t="inlineStr">
        <is>
          <t>South</t>
        </is>
      </c>
      <c r="E663" s="10" t="inlineStr">
        <is>
          <t>Mobile</t>
        </is>
      </c>
      <c r="F663" s="10" t="inlineStr">
        <is>
          <t>Referral</t>
        </is>
      </c>
      <c r="G663" s="10" t="inlineStr">
        <is>
          <t>Free</t>
        </is>
      </c>
      <c r="H663" s="10" t="n">
        <v>0</v>
      </c>
      <c r="I663" s="10" t="n">
        <v>0</v>
      </c>
      <c r="J663" s="10" t="n">
        <v>0</v>
      </c>
      <c r="K663" s="10" t="n">
        <v>0</v>
      </c>
      <c r="L663" s="10" t="n">
        <v>0</v>
      </c>
      <c r="M663" s="10" t="n">
        <v>0</v>
      </c>
      <c r="N663" s="10" t="n">
        <v>0</v>
      </c>
      <c r="P663" s="10" t="n">
        <v>50.1</v>
      </c>
      <c r="Q663" s="10">
        <f>A663&amp;"|"&amp;B663&amp;"|"&amp;C663&amp;"|"&amp;D663&amp;"|"&amp;E663&amp;"|"&amp;F663&amp;"|"&amp;G663&amp;"|"&amp;H663&amp;"|"&amp;I663&amp;"|"&amp;J663&amp;"|"&amp;K663&amp;"|"&amp;L663&amp;"|"&amp;M663&amp;"|"&amp;N663&amp;"|"&amp;O663&amp;"|"&amp;P663</f>
        <v/>
      </c>
      <c r="R663" s="10">
        <f>IF(COUNTIF($Q$2:$Q$1409,Q663)&gt;1,IF(COUNTIF($Q$2:Q663,Q663)=1,"Exact Duplicate - Keep First","Exact Duplicate - Remove"),"Unique")</f>
        <v/>
      </c>
    </row>
    <row r="664" ht="15" customHeight="1" s="11">
      <c r="A664" s="10" t="inlineStr">
        <is>
          <t>USR-100663</t>
        </is>
      </c>
      <c r="B664" s="14" t="n">
        <v>45803</v>
      </c>
      <c r="C664" s="10" t="inlineStr">
        <is>
          <t>Control</t>
        </is>
      </c>
      <c r="D664" s="10" t="inlineStr">
        <is>
          <t>North</t>
        </is>
      </c>
      <c r="E664" s="10" t="inlineStr">
        <is>
          <t>Mobile</t>
        </is>
      </c>
      <c r="F664" s="10" t="inlineStr">
        <is>
          <t>Paid Search</t>
        </is>
      </c>
      <c r="G664" s="10" t="inlineStr">
        <is>
          <t>Basic</t>
        </is>
      </c>
      <c r="H664" s="10" t="n">
        <v>0</v>
      </c>
      <c r="I664" s="10" t="n">
        <v>0</v>
      </c>
      <c r="J664" s="10" t="n">
        <v>0</v>
      </c>
      <c r="K664" s="10" t="n">
        <v>0</v>
      </c>
      <c r="L664" s="10" t="n">
        <v>0</v>
      </c>
      <c r="M664" s="10" t="n">
        <v>0</v>
      </c>
      <c r="N664" s="10" t="n">
        <v>0</v>
      </c>
      <c r="P664" s="10" t="n">
        <v>67.8</v>
      </c>
      <c r="Q664" s="10">
        <f>A664&amp;"|"&amp;B664&amp;"|"&amp;C664&amp;"|"&amp;D664&amp;"|"&amp;E664&amp;"|"&amp;F664&amp;"|"&amp;G664&amp;"|"&amp;H664&amp;"|"&amp;I664&amp;"|"&amp;J664&amp;"|"&amp;K664&amp;"|"&amp;L664&amp;"|"&amp;M664&amp;"|"&amp;N664&amp;"|"&amp;O664&amp;"|"&amp;P664</f>
        <v/>
      </c>
      <c r="R664" s="10">
        <f>IF(COUNTIF($Q$2:$Q$1409,Q664)&gt;1,IF(COUNTIF($Q$2:Q664,Q664)=1,"Exact Duplicate - Keep First","Exact Duplicate - Remove"),"Unique")</f>
        <v/>
      </c>
    </row>
    <row r="665" ht="15" customHeight="1" s="11">
      <c r="A665" s="10" t="inlineStr">
        <is>
          <t>USR-100664</t>
        </is>
      </c>
      <c r="B665" s="14" t="n">
        <v>45733</v>
      </c>
      <c r="C665" s="10" t="inlineStr">
        <is>
          <t>Control</t>
        </is>
      </c>
      <c r="D665" s="10" t="inlineStr">
        <is>
          <t>North</t>
        </is>
      </c>
      <c r="E665" s="10" t="inlineStr">
        <is>
          <t>Desktop</t>
        </is>
      </c>
      <c r="F665" s="10" t="inlineStr">
        <is>
          <t>Social</t>
        </is>
      </c>
      <c r="G665" s="10" t="inlineStr">
        <is>
          <t>Basic</t>
        </is>
      </c>
      <c r="H665" s="10" t="n">
        <v>1</v>
      </c>
      <c r="I665" s="10" t="n">
        <v>1</v>
      </c>
      <c r="J665" s="10" t="n">
        <v>1</v>
      </c>
      <c r="K665" s="10" t="n">
        <v>0</v>
      </c>
      <c r="L665" s="10" t="n">
        <v>0</v>
      </c>
      <c r="M665" s="10" t="n">
        <v>0</v>
      </c>
      <c r="N665" s="10" t="n">
        <v>0</v>
      </c>
      <c r="P665" s="10" t="n">
        <v>60.8</v>
      </c>
      <c r="Q665" s="10">
        <f>A665&amp;"|"&amp;B665&amp;"|"&amp;C665&amp;"|"&amp;D665&amp;"|"&amp;E665&amp;"|"&amp;F665&amp;"|"&amp;G665&amp;"|"&amp;H665&amp;"|"&amp;I665&amp;"|"&amp;J665&amp;"|"&amp;K665&amp;"|"&amp;L665&amp;"|"&amp;M665&amp;"|"&amp;N665&amp;"|"&amp;O665&amp;"|"&amp;P665</f>
        <v/>
      </c>
      <c r="R665" s="10">
        <f>IF(COUNTIF($Q$2:$Q$1409,Q665)&gt;1,IF(COUNTIF($Q$2:Q665,Q665)=1,"Exact Duplicate - Keep First","Exact Duplicate - Remove"),"Unique")</f>
        <v/>
      </c>
    </row>
    <row r="666" ht="15" customHeight="1" s="11">
      <c r="A666" s="10" t="inlineStr">
        <is>
          <t>USR-100665</t>
        </is>
      </c>
      <c r="B666" s="14" t="n">
        <v>45794</v>
      </c>
      <c r="C666" s="10" t="inlineStr">
        <is>
          <t>Control</t>
        </is>
      </c>
      <c r="D666" s="10" t="inlineStr">
        <is>
          <t>North</t>
        </is>
      </c>
      <c r="E666" s="10" t="inlineStr">
        <is>
          <t>Desktop</t>
        </is>
      </c>
      <c r="F666" s="10" t="inlineStr">
        <is>
          <t>Paid Search</t>
        </is>
      </c>
      <c r="G666" s="10" t="inlineStr">
        <is>
          <t>Basic</t>
        </is>
      </c>
      <c r="H666" s="10" t="n">
        <v>1</v>
      </c>
      <c r="I666" s="10" t="n">
        <v>0</v>
      </c>
      <c r="J666" s="10" t="n">
        <v>0</v>
      </c>
      <c r="K666" s="10" t="n">
        <v>0</v>
      </c>
      <c r="L666" s="10" t="n">
        <v>0</v>
      </c>
      <c r="M666" s="10" t="n">
        <v>3</v>
      </c>
      <c r="N666" s="10" t="n">
        <v>0</v>
      </c>
      <c r="P666" s="10" t="n">
        <v>33.7</v>
      </c>
      <c r="Q666" s="10">
        <f>A666&amp;"|"&amp;B666&amp;"|"&amp;C666&amp;"|"&amp;D666&amp;"|"&amp;E666&amp;"|"&amp;F666&amp;"|"&amp;G666&amp;"|"&amp;H666&amp;"|"&amp;I666&amp;"|"&amp;J666&amp;"|"&amp;K666&amp;"|"&amp;L666&amp;"|"&amp;M666&amp;"|"&amp;N666&amp;"|"&amp;O666&amp;"|"&amp;P666</f>
        <v/>
      </c>
      <c r="R666" s="10">
        <f>IF(COUNTIF($Q$2:$Q$1409,Q666)&gt;1,IF(COUNTIF($Q$2:Q666,Q666)=1,"Exact Duplicate - Keep First","Exact Duplicate - Remove"),"Unique")</f>
        <v/>
      </c>
    </row>
    <row r="667" ht="15" customHeight="1" s="11">
      <c r="A667" s="10" t="inlineStr">
        <is>
          <t>USR-100666</t>
        </is>
      </c>
      <c r="B667" s="14" t="n">
        <v>45709</v>
      </c>
      <c r="C667" s="10" t="inlineStr">
        <is>
          <t>Control</t>
        </is>
      </c>
      <c r="D667" s="10" t="inlineStr">
        <is>
          <t>North</t>
        </is>
      </c>
      <c r="E667" s="10" t="inlineStr">
        <is>
          <t>Mobile</t>
        </is>
      </c>
      <c r="F667" s="10" t="inlineStr">
        <is>
          <t>Paid Search</t>
        </is>
      </c>
      <c r="G667" s="10" t="inlineStr">
        <is>
          <t>Basic</t>
        </is>
      </c>
      <c r="H667" s="10" t="n">
        <v>0</v>
      </c>
      <c r="I667" s="10" t="n">
        <v>0</v>
      </c>
      <c r="J667" s="10" t="n">
        <v>0</v>
      </c>
      <c r="K667" s="10" t="n">
        <v>0</v>
      </c>
      <c r="L667" s="10" t="n">
        <v>0</v>
      </c>
      <c r="M667" s="10" t="n">
        <v>0</v>
      </c>
      <c r="N667" s="10" t="n">
        <v>0</v>
      </c>
      <c r="P667" s="10" t="n">
        <v>45.2</v>
      </c>
      <c r="Q667" s="10">
        <f>A667&amp;"|"&amp;B667&amp;"|"&amp;C667&amp;"|"&amp;D667&amp;"|"&amp;E667&amp;"|"&amp;F667&amp;"|"&amp;G667&amp;"|"&amp;H667&amp;"|"&amp;I667&amp;"|"&amp;J667&amp;"|"&amp;K667&amp;"|"&amp;L667&amp;"|"&amp;M667&amp;"|"&amp;N667&amp;"|"&amp;O667&amp;"|"&amp;P667</f>
        <v/>
      </c>
      <c r="R667" s="10">
        <f>IF(COUNTIF($Q$2:$Q$1409,Q667)&gt;1,IF(COUNTIF($Q$2:Q667,Q667)=1,"Exact Duplicate - Keep First","Exact Duplicate - Remove"),"Unique")</f>
        <v/>
      </c>
    </row>
    <row r="668" ht="15" customHeight="1" s="11">
      <c r="A668" s="10" t="inlineStr">
        <is>
          <t>USR-100667</t>
        </is>
      </c>
      <c r="B668" s="14" t="n">
        <v>45713</v>
      </c>
      <c r="C668" s="10" t="inlineStr">
        <is>
          <t>Control</t>
        </is>
      </c>
      <c r="D668" s="10" t="inlineStr">
        <is>
          <t>East</t>
        </is>
      </c>
      <c r="E668" s="10" t="inlineStr">
        <is>
          <t>Desktop</t>
        </is>
      </c>
      <c r="F668" s="10" t="inlineStr">
        <is>
          <t>Paid Search</t>
        </is>
      </c>
      <c r="G668" s="10" t="inlineStr">
        <is>
          <t>Premium</t>
        </is>
      </c>
      <c r="H668" s="10" t="n">
        <v>0</v>
      </c>
      <c r="I668" s="10" t="n">
        <v>0</v>
      </c>
      <c r="J668" s="10" t="n">
        <v>0</v>
      </c>
      <c r="K668" s="10" t="n">
        <v>0</v>
      </c>
      <c r="L668" s="10" t="n">
        <v>0</v>
      </c>
      <c r="M668" s="10" t="n">
        <v>0</v>
      </c>
      <c r="N668" s="10" t="n">
        <v>0</v>
      </c>
      <c r="P668" s="10" t="n">
        <v>48.2</v>
      </c>
      <c r="Q668" s="10">
        <f>A668&amp;"|"&amp;B668&amp;"|"&amp;C668&amp;"|"&amp;D668&amp;"|"&amp;E668&amp;"|"&amp;F668&amp;"|"&amp;G668&amp;"|"&amp;H668&amp;"|"&amp;I668&amp;"|"&amp;J668&amp;"|"&amp;K668&amp;"|"&amp;L668&amp;"|"&amp;M668&amp;"|"&amp;N668&amp;"|"&amp;O668&amp;"|"&amp;P668</f>
        <v/>
      </c>
      <c r="R668" s="10">
        <f>IF(COUNTIF($Q$2:$Q$1409,Q668)&gt;1,IF(COUNTIF($Q$2:Q668,Q668)=1,"Exact Duplicate - Keep First","Exact Duplicate - Remove"),"Unique")</f>
        <v/>
      </c>
    </row>
    <row r="669" ht="15" customHeight="1" s="11">
      <c r="A669" s="10" t="inlineStr">
        <is>
          <t>USR-100668</t>
        </is>
      </c>
      <c r="B669" s="14" t="n">
        <v>45687</v>
      </c>
      <c r="C669" s="10" t="inlineStr">
        <is>
          <t>Control</t>
        </is>
      </c>
      <c r="D669" s="10" t="inlineStr">
        <is>
          <t>South</t>
        </is>
      </c>
      <c r="E669" s="10" t="inlineStr">
        <is>
          <t>Mobile</t>
        </is>
      </c>
      <c r="F669" s="10" t="inlineStr">
        <is>
          <t>Social</t>
        </is>
      </c>
      <c r="G669" s="10" t="inlineStr">
        <is>
          <t>Free</t>
        </is>
      </c>
      <c r="H669" s="10" t="n">
        <v>1</v>
      </c>
      <c r="I669" s="10" t="n">
        <v>1</v>
      </c>
      <c r="J669" s="10" t="n">
        <v>0</v>
      </c>
      <c r="K669" s="10" t="n">
        <v>0</v>
      </c>
      <c r="L669" s="10" t="n">
        <v>0</v>
      </c>
      <c r="M669" s="10" t="n">
        <v>1</v>
      </c>
      <c r="N669" s="10" t="n">
        <v>0</v>
      </c>
      <c r="P669" s="10" t="n">
        <v>44.8</v>
      </c>
      <c r="Q669" s="10">
        <f>A669&amp;"|"&amp;B669&amp;"|"&amp;C669&amp;"|"&amp;D669&amp;"|"&amp;E669&amp;"|"&amp;F669&amp;"|"&amp;G669&amp;"|"&amp;H669&amp;"|"&amp;I669&amp;"|"&amp;J669&amp;"|"&amp;K669&amp;"|"&amp;L669&amp;"|"&amp;M669&amp;"|"&amp;N669&amp;"|"&amp;O669&amp;"|"&amp;P669</f>
        <v/>
      </c>
      <c r="R669" s="10">
        <f>IF(COUNTIF($Q$2:$Q$1409,Q669)&gt;1,IF(COUNTIF($Q$2:Q669,Q669)=1,"Exact Duplicate - Keep First","Exact Duplicate - Remove"),"Unique")</f>
        <v/>
      </c>
    </row>
    <row r="670" ht="15" customHeight="1" s="11">
      <c r="A670" s="10" t="inlineStr">
        <is>
          <t>USR-100669</t>
        </is>
      </c>
      <c r="B670" s="14" t="n">
        <v>45705</v>
      </c>
      <c r="C670" s="10" t="inlineStr">
        <is>
          <t>Control</t>
        </is>
      </c>
      <c r="D670" s="10" t="inlineStr">
        <is>
          <t>North</t>
        </is>
      </c>
      <c r="E670" s="10" t="inlineStr">
        <is>
          <t>Tablet</t>
        </is>
      </c>
      <c r="F670" s="10" t="inlineStr">
        <is>
          <t>Social</t>
        </is>
      </c>
      <c r="G670" s="10" t="inlineStr">
        <is>
          <t>Basic</t>
        </is>
      </c>
      <c r="H670" s="10" t="n">
        <v>0</v>
      </c>
      <c r="I670" s="10" t="n">
        <v>0</v>
      </c>
      <c r="J670" s="10" t="n">
        <v>0</v>
      </c>
      <c r="K670" s="10" t="n">
        <v>0</v>
      </c>
      <c r="L670" s="10" t="n">
        <v>0</v>
      </c>
      <c r="M670" s="10" t="n">
        <v>0</v>
      </c>
      <c r="N670" s="10" t="n">
        <v>0</v>
      </c>
      <c r="P670" s="10" t="n">
        <v>52.1</v>
      </c>
      <c r="Q670" s="10">
        <f>A670&amp;"|"&amp;B670&amp;"|"&amp;C670&amp;"|"&amp;D670&amp;"|"&amp;E670&amp;"|"&amp;F670&amp;"|"&amp;G670&amp;"|"&amp;H670&amp;"|"&amp;I670&amp;"|"&amp;J670&amp;"|"&amp;K670&amp;"|"&amp;L670&amp;"|"&amp;M670&amp;"|"&amp;N670&amp;"|"&amp;O670&amp;"|"&amp;P670</f>
        <v/>
      </c>
      <c r="R670" s="10">
        <f>IF(COUNTIF($Q$2:$Q$1409,Q670)&gt;1,IF(COUNTIF($Q$2:Q670,Q670)=1,"Exact Duplicate - Keep First","Exact Duplicate - Remove"),"Unique")</f>
        <v/>
      </c>
    </row>
    <row r="671" ht="15" customHeight="1" s="11">
      <c r="A671" s="10" t="inlineStr">
        <is>
          <t>USR-100670</t>
        </is>
      </c>
      <c r="B671" s="14" t="n">
        <v>45794</v>
      </c>
      <c r="C671" s="10" t="inlineStr">
        <is>
          <t>Control</t>
        </is>
      </c>
      <c r="D671" s="10" t="inlineStr">
        <is>
          <t>North</t>
        </is>
      </c>
      <c r="E671" s="10" t="inlineStr">
        <is>
          <t>Desktop</t>
        </is>
      </c>
      <c r="F671" s="10" t="inlineStr">
        <is>
          <t>Paid Search</t>
        </is>
      </c>
      <c r="G671" s="10" t="inlineStr">
        <is>
          <t>Basic</t>
        </is>
      </c>
      <c r="H671" s="10" t="n">
        <v>1</v>
      </c>
      <c r="I671" s="10" t="n">
        <v>0</v>
      </c>
      <c r="J671" s="10" t="n">
        <v>0</v>
      </c>
      <c r="K671" s="10" t="n">
        <v>0</v>
      </c>
      <c r="L671" s="10" t="n">
        <v>0</v>
      </c>
      <c r="M671" s="10" t="n">
        <v>0</v>
      </c>
      <c r="N671" s="10" t="n">
        <v>0</v>
      </c>
      <c r="P671" s="10" t="n">
        <v>30.7</v>
      </c>
      <c r="Q671" s="10">
        <f>A671&amp;"|"&amp;B671&amp;"|"&amp;C671&amp;"|"&amp;D671&amp;"|"&amp;E671&amp;"|"&amp;F671&amp;"|"&amp;G671&amp;"|"&amp;H671&amp;"|"&amp;I671&amp;"|"&amp;J671&amp;"|"&amp;K671&amp;"|"&amp;L671&amp;"|"&amp;M671&amp;"|"&amp;N671&amp;"|"&amp;O671&amp;"|"&amp;P671</f>
        <v/>
      </c>
      <c r="R671" s="10">
        <f>IF(COUNTIF($Q$2:$Q$1409,Q671)&gt;1,IF(COUNTIF($Q$2:Q671,Q671)=1,"Exact Duplicate - Keep First","Exact Duplicate - Remove"),"Unique")</f>
        <v/>
      </c>
    </row>
    <row r="672" ht="15" customHeight="1" s="11">
      <c r="A672" s="10" t="inlineStr">
        <is>
          <t>USR-100671</t>
        </is>
      </c>
      <c r="B672" s="14" t="n">
        <v>45777</v>
      </c>
      <c r="C672" s="10" t="inlineStr">
        <is>
          <t>Control</t>
        </is>
      </c>
      <c r="D672" s="10" t="inlineStr">
        <is>
          <t>East</t>
        </is>
      </c>
      <c r="E672" s="10" t="inlineStr">
        <is>
          <t>Desktop</t>
        </is>
      </c>
      <c r="F672" s="10" t="inlineStr">
        <is>
          <t>Paid Search</t>
        </is>
      </c>
      <c r="G672" s="10" t="inlineStr">
        <is>
          <t>Free</t>
        </is>
      </c>
      <c r="H672" s="10" t="n">
        <v>1</v>
      </c>
      <c r="I672" s="10" t="n">
        <v>0</v>
      </c>
      <c r="J672" s="10" t="n">
        <v>0</v>
      </c>
      <c r="K672" s="10" t="n">
        <v>0</v>
      </c>
      <c r="L672" s="10" t="n">
        <v>0</v>
      </c>
      <c r="M672" s="10" t="n">
        <v>0</v>
      </c>
      <c r="N672" s="10" t="n">
        <v>0</v>
      </c>
      <c r="P672" s="10" t="n">
        <v>58.4</v>
      </c>
      <c r="Q672" s="10">
        <f>A672&amp;"|"&amp;B672&amp;"|"&amp;C672&amp;"|"&amp;D672&amp;"|"&amp;E672&amp;"|"&amp;F672&amp;"|"&amp;G672&amp;"|"&amp;H672&amp;"|"&amp;I672&amp;"|"&amp;J672&amp;"|"&amp;K672&amp;"|"&amp;L672&amp;"|"&amp;M672&amp;"|"&amp;N672&amp;"|"&amp;O672&amp;"|"&amp;P672</f>
        <v/>
      </c>
      <c r="R672" s="10">
        <f>IF(COUNTIF($Q$2:$Q$1409,Q672)&gt;1,IF(COUNTIF($Q$2:Q672,Q672)=1,"Exact Duplicate - Keep First","Exact Duplicate - Remove"),"Unique")</f>
        <v/>
      </c>
    </row>
    <row r="673" ht="15" customHeight="1" s="11">
      <c r="A673" s="10" t="inlineStr">
        <is>
          <t>USR-100672</t>
        </is>
      </c>
      <c r="B673" s="14" t="n">
        <v>45738</v>
      </c>
      <c r="C673" s="10" t="inlineStr">
        <is>
          <t>Control</t>
        </is>
      </c>
      <c r="D673" s="10" t="inlineStr">
        <is>
          <t>West</t>
        </is>
      </c>
      <c r="E673" s="10" t="inlineStr">
        <is>
          <t>Mobile</t>
        </is>
      </c>
      <c r="F673" s="10" t="inlineStr">
        <is>
          <t>Referral</t>
        </is>
      </c>
      <c r="G673" s="10" t="inlineStr">
        <is>
          <t>Free</t>
        </is>
      </c>
      <c r="H673" s="10" t="n">
        <v>1</v>
      </c>
      <c r="I673" s="10" t="n">
        <v>1</v>
      </c>
      <c r="J673" s="10" t="n">
        <v>0</v>
      </c>
      <c r="K673" s="10" t="n">
        <v>0</v>
      </c>
      <c r="L673" s="10" t="n">
        <v>0</v>
      </c>
      <c r="M673" s="10" t="n">
        <v>0</v>
      </c>
      <c r="N673" s="10" t="n">
        <v>0</v>
      </c>
      <c r="P673" s="10" t="n">
        <v>52.6</v>
      </c>
      <c r="Q673" s="10">
        <f>A673&amp;"|"&amp;B673&amp;"|"&amp;C673&amp;"|"&amp;D673&amp;"|"&amp;E673&amp;"|"&amp;F673&amp;"|"&amp;G673&amp;"|"&amp;H673&amp;"|"&amp;I673&amp;"|"&amp;J673&amp;"|"&amp;K673&amp;"|"&amp;L673&amp;"|"&amp;M673&amp;"|"&amp;N673&amp;"|"&amp;O673&amp;"|"&amp;P673</f>
        <v/>
      </c>
      <c r="R673" s="10">
        <f>IF(COUNTIF($Q$2:$Q$1409,Q673)&gt;1,IF(COUNTIF($Q$2:Q673,Q673)=1,"Exact Duplicate - Keep First","Exact Duplicate - Remove"),"Unique")</f>
        <v/>
      </c>
    </row>
    <row r="674" ht="15" customHeight="1" s="11">
      <c r="A674" s="10" t="inlineStr">
        <is>
          <t>USR-100673</t>
        </is>
      </c>
      <c r="B674" s="14" t="n">
        <v>45667</v>
      </c>
      <c r="C674" s="10" t="inlineStr">
        <is>
          <t>Control</t>
        </is>
      </c>
      <c r="D674" s="10" t="inlineStr">
        <is>
          <t>West</t>
        </is>
      </c>
      <c r="F674" s="10" t="inlineStr">
        <is>
          <t>Paid Search</t>
        </is>
      </c>
      <c r="G674" s="10" t="inlineStr">
        <is>
          <t>Free</t>
        </is>
      </c>
      <c r="H674" s="10" t="n">
        <v>1</v>
      </c>
      <c r="I674" s="10" t="n">
        <v>0</v>
      </c>
      <c r="J674" s="10" t="n">
        <v>0</v>
      </c>
      <c r="K674" s="10" t="n">
        <v>0</v>
      </c>
      <c r="L674" s="10" t="n">
        <v>0</v>
      </c>
      <c r="M674" s="10" t="n">
        <v>1</v>
      </c>
      <c r="N674" s="10" t="n">
        <v>0</v>
      </c>
      <c r="P674" s="10" t="n">
        <v>19.1</v>
      </c>
      <c r="Q674" s="10">
        <f>A674&amp;"|"&amp;B674&amp;"|"&amp;C674&amp;"|"&amp;D674&amp;"|"&amp;E674&amp;"|"&amp;F674&amp;"|"&amp;G674&amp;"|"&amp;H674&amp;"|"&amp;I674&amp;"|"&amp;J674&amp;"|"&amp;K674&amp;"|"&amp;L674&amp;"|"&amp;M674&amp;"|"&amp;N674&amp;"|"&amp;O674&amp;"|"&amp;P674</f>
        <v/>
      </c>
      <c r="R674" s="10">
        <f>IF(COUNTIF($Q$2:$Q$1409,Q674)&gt;1,IF(COUNTIF($Q$2:Q674,Q674)=1,"Exact Duplicate - Keep First","Exact Duplicate - Remove"),"Unique")</f>
        <v/>
      </c>
    </row>
    <row r="675" ht="15" customHeight="1" s="11">
      <c r="A675" s="10" t="inlineStr">
        <is>
          <t>USR-100674</t>
        </is>
      </c>
      <c r="B675" s="14" t="n">
        <v>45737</v>
      </c>
      <c r="C675" s="10" t="inlineStr">
        <is>
          <t>Control</t>
        </is>
      </c>
      <c r="D675" s="10" t="inlineStr">
        <is>
          <t>South</t>
        </is>
      </c>
      <c r="F675" s="10" t="inlineStr">
        <is>
          <t>Paid Search</t>
        </is>
      </c>
      <c r="G675" s="10" t="inlineStr">
        <is>
          <t>Free</t>
        </is>
      </c>
      <c r="H675" s="10" t="n">
        <v>1</v>
      </c>
      <c r="I675" s="10" t="n">
        <v>0</v>
      </c>
      <c r="J675" s="10" t="n">
        <v>0</v>
      </c>
      <c r="K675" s="10" t="n">
        <v>0</v>
      </c>
      <c r="L675" s="10" t="n">
        <v>0</v>
      </c>
      <c r="M675" s="10" t="n">
        <v>0</v>
      </c>
      <c r="N675" s="10" t="n">
        <v>0</v>
      </c>
      <c r="P675" s="10" t="n">
        <v>36.8</v>
      </c>
      <c r="Q675" s="10">
        <f>A675&amp;"|"&amp;B675&amp;"|"&amp;C675&amp;"|"&amp;D675&amp;"|"&amp;E675&amp;"|"&amp;F675&amp;"|"&amp;G675&amp;"|"&amp;H675&amp;"|"&amp;I675&amp;"|"&amp;J675&amp;"|"&amp;K675&amp;"|"&amp;L675&amp;"|"&amp;M675&amp;"|"&amp;N675&amp;"|"&amp;O675&amp;"|"&amp;P675</f>
        <v/>
      </c>
      <c r="R675" s="10">
        <f>IF(COUNTIF($Q$2:$Q$1409,Q675)&gt;1,IF(COUNTIF($Q$2:Q675,Q675)=1,"Exact Duplicate - Keep First","Exact Duplicate - Remove"),"Unique")</f>
        <v/>
      </c>
    </row>
    <row r="676" ht="15" customHeight="1" s="11">
      <c r="A676" s="10" t="inlineStr">
        <is>
          <t>USR-100675</t>
        </is>
      </c>
      <c r="B676" s="14" t="n">
        <v>45789</v>
      </c>
      <c r="C676" s="10" t="inlineStr">
        <is>
          <t>Control</t>
        </is>
      </c>
      <c r="D676" s="10" t="inlineStr">
        <is>
          <t>North</t>
        </is>
      </c>
      <c r="E676" s="10" t="inlineStr">
        <is>
          <t>Desktop</t>
        </is>
      </c>
      <c r="F676" s="10" t="inlineStr">
        <is>
          <t>Paid Search</t>
        </is>
      </c>
      <c r="G676" s="10" t="inlineStr">
        <is>
          <t>Basic</t>
        </is>
      </c>
      <c r="H676" s="10" t="n">
        <v>0</v>
      </c>
      <c r="I676" s="10" t="n">
        <v>0</v>
      </c>
      <c r="J676" s="10" t="n">
        <v>0</v>
      </c>
      <c r="K676" s="10" t="n">
        <v>0</v>
      </c>
      <c r="L676" s="10" t="n">
        <v>0</v>
      </c>
      <c r="M676" s="10" t="n">
        <v>0</v>
      </c>
      <c r="N676" s="10" t="n">
        <v>0</v>
      </c>
      <c r="P676" s="10" t="n">
        <v>68.5</v>
      </c>
      <c r="Q676" s="10">
        <f>A676&amp;"|"&amp;B676&amp;"|"&amp;C676&amp;"|"&amp;D676&amp;"|"&amp;E676&amp;"|"&amp;F676&amp;"|"&amp;G676&amp;"|"&amp;H676&amp;"|"&amp;I676&amp;"|"&amp;J676&amp;"|"&amp;K676&amp;"|"&amp;L676&amp;"|"&amp;M676&amp;"|"&amp;N676&amp;"|"&amp;O676&amp;"|"&amp;P676</f>
        <v/>
      </c>
      <c r="R676" s="10">
        <f>IF(COUNTIF($Q$2:$Q$1409,Q676)&gt;1,IF(COUNTIF($Q$2:Q676,Q676)=1,"Exact Duplicate - Keep First","Exact Duplicate - Remove"),"Unique")</f>
        <v/>
      </c>
    </row>
    <row r="677" ht="15" customHeight="1" s="11">
      <c r="A677" s="10" t="inlineStr">
        <is>
          <t>USR-100676</t>
        </is>
      </c>
      <c r="B677" s="14" t="n">
        <v>45801</v>
      </c>
      <c r="C677" s="10" t="inlineStr">
        <is>
          <t>Control</t>
        </is>
      </c>
      <c r="D677" s="10" t="inlineStr">
        <is>
          <t>West</t>
        </is>
      </c>
      <c r="E677" s="10" t="inlineStr">
        <is>
          <t>Mobile</t>
        </is>
      </c>
      <c r="F677" s="10" t="inlineStr">
        <is>
          <t>Paid Search</t>
        </is>
      </c>
      <c r="G677" s="10" t="inlineStr">
        <is>
          <t>Free</t>
        </is>
      </c>
      <c r="H677" s="10" t="n">
        <v>1</v>
      </c>
      <c r="I677" s="10" t="n">
        <v>1</v>
      </c>
      <c r="J677" s="10" t="n">
        <v>1</v>
      </c>
      <c r="K677" s="10" t="n">
        <v>0</v>
      </c>
      <c r="L677" s="10" t="n">
        <v>0</v>
      </c>
      <c r="M677" s="10" t="n">
        <v>0</v>
      </c>
      <c r="N677" s="10" t="n">
        <v>0</v>
      </c>
      <c r="P677" s="10" t="n">
        <v>40.1</v>
      </c>
      <c r="Q677" s="10">
        <f>A677&amp;"|"&amp;B677&amp;"|"&amp;C677&amp;"|"&amp;D677&amp;"|"&amp;E677&amp;"|"&amp;F677&amp;"|"&amp;G677&amp;"|"&amp;H677&amp;"|"&amp;I677&amp;"|"&amp;J677&amp;"|"&amp;K677&amp;"|"&amp;L677&amp;"|"&amp;M677&amp;"|"&amp;N677&amp;"|"&amp;O677&amp;"|"&amp;P677</f>
        <v/>
      </c>
      <c r="R677" s="10">
        <f>IF(COUNTIF($Q$2:$Q$1409,Q677)&gt;1,IF(COUNTIF($Q$2:Q677,Q677)=1,"Exact Duplicate - Keep First","Exact Duplicate - Remove"),"Unique")</f>
        <v/>
      </c>
    </row>
    <row r="678" ht="15" customHeight="1" s="11">
      <c r="A678" s="10" t="inlineStr">
        <is>
          <t>USR-100677</t>
        </is>
      </c>
      <c r="B678" s="14" t="n">
        <v>45780</v>
      </c>
      <c r="C678" s="10" t="inlineStr">
        <is>
          <t>Control</t>
        </is>
      </c>
      <c r="D678" s="10" t="inlineStr">
        <is>
          <t>West</t>
        </is>
      </c>
      <c r="E678" s="10" t="inlineStr">
        <is>
          <t>Tablet</t>
        </is>
      </c>
      <c r="F678" s="10" t="inlineStr">
        <is>
          <t>Organic</t>
        </is>
      </c>
      <c r="G678" s="10" t="inlineStr">
        <is>
          <t>Free</t>
        </is>
      </c>
      <c r="H678" s="10" t="n">
        <v>1</v>
      </c>
      <c r="I678" s="10" t="n">
        <v>0</v>
      </c>
      <c r="J678" s="10" t="n">
        <v>0</v>
      </c>
      <c r="K678" s="10" t="n">
        <v>0</v>
      </c>
      <c r="L678" s="10" t="n">
        <v>0</v>
      </c>
      <c r="M678" s="10" t="n">
        <v>0</v>
      </c>
      <c r="N678" s="10" t="n">
        <v>0</v>
      </c>
      <c r="P678" s="10" t="n">
        <v>47.5</v>
      </c>
      <c r="Q678" s="10">
        <f>A678&amp;"|"&amp;B678&amp;"|"&amp;C678&amp;"|"&amp;D678&amp;"|"&amp;E678&amp;"|"&amp;F678&amp;"|"&amp;G678&amp;"|"&amp;H678&amp;"|"&amp;I678&amp;"|"&amp;J678&amp;"|"&amp;K678&amp;"|"&amp;L678&amp;"|"&amp;M678&amp;"|"&amp;N678&amp;"|"&amp;O678&amp;"|"&amp;P678</f>
        <v/>
      </c>
      <c r="R678" s="10">
        <f>IF(COUNTIF($Q$2:$Q$1409,Q678)&gt;1,IF(COUNTIF($Q$2:Q678,Q678)=1,"Exact Duplicate - Keep First","Exact Duplicate - Remove"),"Unique")</f>
        <v/>
      </c>
    </row>
    <row r="679" ht="15" customHeight="1" s="11">
      <c r="A679" s="10" t="inlineStr">
        <is>
          <t>USR-100678</t>
        </is>
      </c>
      <c r="B679" s="14" t="n">
        <v>45671</v>
      </c>
      <c r="C679" s="10" t="inlineStr">
        <is>
          <t>Control</t>
        </is>
      </c>
      <c r="D679" s="10" t="inlineStr">
        <is>
          <t>South</t>
        </is>
      </c>
      <c r="E679" s="10" t="inlineStr">
        <is>
          <t>Mobile</t>
        </is>
      </c>
      <c r="F679" s="10" t="inlineStr">
        <is>
          <t>Organic</t>
        </is>
      </c>
      <c r="G679" s="10" t="inlineStr">
        <is>
          <t>Basic</t>
        </is>
      </c>
      <c r="H679" s="10" t="n">
        <v>1</v>
      </c>
      <c r="I679" s="10" t="n">
        <v>0</v>
      </c>
      <c r="J679" s="10" t="n">
        <v>0</v>
      </c>
      <c r="K679" s="10" t="n">
        <v>0</v>
      </c>
      <c r="L679" s="10" t="n">
        <v>0</v>
      </c>
      <c r="M679" s="10" t="n">
        <v>0</v>
      </c>
      <c r="N679" s="10" t="n">
        <v>0</v>
      </c>
      <c r="P679" s="10" t="n">
        <v>77.09999999999999</v>
      </c>
      <c r="Q679" s="10">
        <f>A679&amp;"|"&amp;B679&amp;"|"&amp;C679&amp;"|"&amp;D679&amp;"|"&amp;E679&amp;"|"&amp;F679&amp;"|"&amp;G679&amp;"|"&amp;H679&amp;"|"&amp;I679&amp;"|"&amp;J679&amp;"|"&amp;K679&amp;"|"&amp;L679&amp;"|"&amp;M679&amp;"|"&amp;N679&amp;"|"&amp;O679&amp;"|"&amp;P679</f>
        <v/>
      </c>
      <c r="R679" s="10">
        <f>IF(COUNTIF($Q$2:$Q$1409,Q679)&gt;1,IF(COUNTIF($Q$2:Q679,Q679)=1,"Exact Duplicate - Keep First","Exact Duplicate - Remove"),"Unique")</f>
        <v/>
      </c>
    </row>
    <row r="680" ht="15" customHeight="1" s="11">
      <c r="A680" s="10" t="inlineStr">
        <is>
          <t>USR-100679</t>
        </is>
      </c>
      <c r="B680" s="14" t="n">
        <v>45743</v>
      </c>
      <c r="C680" s="10" t="inlineStr">
        <is>
          <t>Control</t>
        </is>
      </c>
      <c r="D680" s="10" t="inlineStr">
        <is>
          <t>West</t>
        </is>
      </c>
      <c r="E680" s="10" t="inlineStr">
        <is>
          <t>Mobile</t>
        </is>
      </c>
      <c r="F680" s="10" t="inlineStr">
        <is>
          <t>Social</t>
        </is>
      </c>
      <c r="G680" s="10" t="inlineStr">
        <is>
          <t>Basic</t>
        </is>
      </c>
      <c r="H680" s="10" t="n">
        <v>1</v>
      </c>
      <c r="I680" s="10" t="n">
        <v>0</v>
      </c>
      <c r="J680" s="10" t="n">
        <v>0</v>
      </c>
      <c r="K680" s="10" t="n">
        <v>0</v>
      </c>
      <c r="L680" s="10" t="n">
        <v>0</v>
      </c>
      <c r="M680" s="10" t="n">
        <v>0</v>
      </c>
      <c r="N680" s="10" t="n">
        <v>0</v>
      </c>
      <c r="P680" s="10" t="n">
        <v>75.90000000000001</v>
      </c>
      <c r="Q680" s="10">
        <f>A680&amp;"|"&amp;B680&amp;"|"&amp;C680&amp;"|"&amp;D680&amp;"|"&amp;E680&amp;"|"&amp;F680&amp;"|"&amp;G680&amp;"|"&amp;H680&amp;"|"&amp;I680&amp;"|"&amp;J680&amp;"|"&amp;K680&amp;"|"&amp;L680&amp;"|"&amp;M680&amp;"|"&amp;N680&amp;"|"&amp;O680&amp;"|"&amp;P680</f>
        <v/>
      </c>
      <c r="R680" s="10">
        <f>IF(COUNTIF($Q$2:$Q$1409,Q680)&gt;1,IF(COUNTIF($Q$2:Q680,Q680)=1,"Exact Duplicate - Keep First","Exact Duplicate - Remove"),"Unique")</f>
        <v/>
      </c>
    </row>
    <row r="681" ht="15" customHeight="1" s="11">
      <c r="A681" s="10" t="inlineStr">
        <is>
          <t>USR-100680</t>
        </is>
      </c>
      <c r="B681" s="14" t="n">
        <v>45716</v>
      </c>
      <c r="C681" s="10" t="inlineStr">
        <is>
          <t>Control</t>
        </is>
      </c>
      <c r="D681" s="10" t="inlineStr">
        <is>
          <t>North</t>
        </is>
      </c>
      <c r="E681" s="10" t="inlineStr">
        <is>
          <t>Desktop</t>
        </is>
      </c>
      <c r="F681" s="10" t="inlineStr">
        <is>
          <t>Referral</t>
        </is>
      </c>
      <c r="G681" s="10" t="inlineStr">
        <is>
          <t>Premium</t>
        </is>
      </c>
      <c r="H681" s="10" t="n">
        <v>0</v>
      </c>
      <c r="I681" s="10" t="n">
        <v>0</v>
      </c>
      <c r="J681" s="10" t="n">
        <v>0</v>
      </c>
      <c r="K681" s="10" t="n">
        <v>0</v>
      </c>
      <c r="L681" s="10" t="n">
        <v>0</v>
      </c>
      <c r="M681" s="10" t="n">
        <v>1</v>
      </c>
      <c r="N681" s="10" t="n">
        <v>0</v>
      </c>
      <c r="P681" s="10" t="n">
        <v>52</v>
      </c>
      <c r="Q681" s="10">
        <f>A681&amp;"|"&amp;B681&amp;"|"&amp;C681&amp;"|"&amp;D681&amp;"|"&amp;E681&amp;"|"&amp;F681&amp;"|"&amp;G681&amp;"|"&amp;H681&amp;"|"&amp;I681&amp;"|"&amp;J681&amp;"|"&amp;K681&amp;"|"&amp;L681&amp;"|"&amp;M681&amp;"|"&amp;N681&amp;"|"&amp;O681&amp;"|"&amp;P681</f>
        <v/>
      </c>
      <c r="R681" s="10">
        <f>IF(COUNTIF($Q$2:$Q$1409,Q681)&gt;1,IF(COUNTIF($Q$2:Q681,Q681)=1,"Exact Duplicate - Keep First","Exact Duplicate - Remove"),"Unique")</f>
        <v/>
      </c>
    </row>
    <row r="682" ht="15" customHeight="1" s="11">
      <c r="A682" s="10" t="inlineStr">
        <is>
          <t>USR-100681</t>
        </is>
      </c>
      <c r="B682" s="14" t="n">
        <v>45789</v>
      </c>
      <c r="C682" s="10" t="inlineStr">
        <is>
          <t>Control</t>
        </is>
      </c>
      <c r="D682" s="10" t="inlineStr">
        <is>
          <t>West</t>
        </is>
      </c>
      <c r="E682" s="10" t="inlineStr">
        <is>
          <t>Desktop</t>
        </is>
      </c>
      <c r="F682" s="10" t="inlineStr">
        <is>
          <t>Referral</t>
        </is>
      </c>
      <c r="G682" s="10" t="inlineStr">
        <is>
          <t>Premium</t>
        </is>
      </c>
      <c r="H682" s="10" t="n">
        <v>1</v>
      </c>
      <c r="I682" s="10" t="n">
        <v>1</v>
      </c>
      <c r="J682" s="10" t="n">
        <v>1</v>
      </c>
      <c r="K682" s="10" t="n">
        <v>0</v>
      </c>
      <c r="L682" s="10" t="n">
        <v>0</v>
      </c>
      <c r="M682" s="10" t="n">
        <v>0</v>
      </c>
      <c r="N682" s="10" t="n">
        <v>0</v>
      </c>
      <c r="P682" s="10" t="n">
        <v>64.90000000000001</v>
      </c>
      <c r="Q682" s="10">
        <f>A682&amp;"|"&amp;B682&amp;"|"&amp;C682&amp;"|"&amp;D682&amp;"|"&amp;E682&amp;"|"&amp;F682&amp;"|"&amp;G682&amp;"|"&amp;H682&amp;"|"&amp;I682&amp;"|"&amp;J682&amp;"|"&amp;K682&amp;"|"&amp;L682&amp;"|"&amp;M682&amp;"|"&amp;N682&amp;"|"&amp;O682&amp;"|"&amp;P682</f>
        <v/>
      </c>
      <c r="R682" s="10">
        <f>IF(COUNTIF($Q$2:$Q$1409,Q682)&gt;1,IF(COUNTIF($Q$2:Q682,Q682)=1,"Exact Duplicate - Keep First","Exact Duplicate - Remove"),"Unique")</f>
        <v/>
      </c>
    </row>
    <row r="683" ht="15" customHeight="1" s="11">
      <c r="A683" s="10" t="inlineStr">
        <is>
          <t>USR-100682</t>
        </is>
      </c>
      <c r="B683" s="14" t="n">
        <v>45730</v>
      </c>
      <c r="C683" s="10" t="inlineStr">
        <is>
          <t>Control</t>
        </is>
      </c>
      <c r="D683" s="10" t="inlineStr">
        <is>
          <t>North</t>
        </is>
      </c>
      <c r="E683" s="10" t="inlineStr">
        <is>
          <t>Mobile</t>
        </is>
      </c>
      <c r="F683" s="10" t="inlineStr">
        <is>
          <t>Organic</t>
        </is>
      </c>
      <c r="G683" s="10" t="inlineStr">
        <is>
          <t>Free</t>
        </is>
      </c>
      <c r="H683" s="10" t="n">
        <v>1</v>
      </c>
      <c r="I683" s="10" t="n">
        <v>0</v>
      </c>
      <c r="J683" s="10" t="n">
        <v>0</v>
      </c>
      <c r="K683" s="10" t="n">
        <v>0</v>
      </c>
      <c r="L683" s="10" t="n">
        <v>0</v>
      </c>
      <c r="M683" s="10" t="n">
        <v>0</v>
      </c>
      <c r="N683" s="10" t="n">
        <v>0</v>
      </c>
      <c r="P683" s="10" t="n">
        <v>48.2</v>
      </c>
      <c r="Q683" s="10">
        <f>A683&amp;"|"&amp;B683&amp;"|"&amp;C683&amp;"|"&amp;D683&amp;"|"&amp;E683&amp;"|"&amp;F683&amp;"|"&amp;G683&amp;"|"&amp;H683&amp;"|"&amp;I683&amp;"|"&amp;J683&amp;"|"&amp;K683&amp;"|"&amp;L683&amp;"|"&amp;M683&amp;"|"&amp;N683&amp;"|"&amp;O683&amp;"|"&amp;P683</f>
        <v/>
      </c>
      <c r="R683" s="10">
        <f>IF(COUNTIF($Q$2:$Q$1409,Q683)&gt;1,IF(COUNTIF($Q$2:Q683,Q683)=1,"Exact Duplicate - Keep First","Exact Duplicate - Remove"),"Unique")</f>
        <v/>
      </c>
    </row>
    <row r="684" ht="15" customHeight="1" s="11">
      <c r="A684" s="10" t="inlineStr">
        <is>
          <t>USR-100683</t>
        </is>
      </c>
      <c r="B684" s="14" t="n">
        <v>45797</v>
      </c>
      <c r="C684" s="10" t="inlineStr">
        <is>
          <t>Control</t>
        </is>
      </c>
      <c r="D684" s="10" t="inlineStr">
        <is>
          <t>East</t>
        </is>
      </c>
      <c r="E684" s="10" t="inlineStr">
        <is>
          <t>Mobile</t>
        </is>
      </c>
      <c r="F684" s="10" t="inlineStr">
        <is>
          <t>Organic</t>
        </is>
      </c>
      <c r="G684" s="10" t="inlineStr">
        <is>
          <t>Basic</t>
        </is>
      </c>
      <c r="H684" s="10" t="n">
        <v>0</v>
      </c>
      <c r="I684" s="10" t="n">
        <v>0</v>
      </c>
      <c r="J684" s="10" t="n">
        <v>0</v>
      </c>
      <c r="K684" s="10" t="n">
        <v>0</v>
      </c>
      <c r="L684" s="10" t="n">
        <v>0</v>
      </c>
      <c r="M684" s="10" t="n">
        <v>0</v>
      </c>
      <c r="N684" s="10" t="n">
        <v>0</v>
      </c>
      <c r="P684" s="10" t="n">
        <v>42.1</v>
      </c>
      <c r="Q684" s="10">
        <f>A684&amp;"|"&amp;B684&amp;"|"&amp;C684&amp;"|"&amp;D684&amp;"|"&amp;E684&amp;"|"&amp;F684&amp;"|"&amp;G684&amp;"|"&amp;H684&amp;"|"&amp;I684&amp;"|"&amp;J684&amp;"|"&amp;K684&amp;"|"&amp;L684&amp;"|"&amp;M684&amp;"|"&amp;N684&amp;"|"&amp;O684&amp;"|"&amp;P684</f>
        <v/>
      </c>
      <c r="R684" s="10">
        <f>IF(COUNTIF($Q$2:$Q$1409,Q684)&gt;1,IF(COUNTIF($Q$2:Q684,Q684)=1,"Exact Duplicate - Keep First","Exact Duplicate - Remove"),"Unique")</f>
        <v/>
      </c>
    </row>
    <row r="685" ht="15" customHeight="1" s="11">
      <c r="A685" s="10" t="inlineStr">
        <is>
          <t>USR-100684</t>
        </is>
      </c>
      <c r="B685" s="14" t="n">
        <v>45712</v>
      </c>
      <c r="C685" s="10" t="inlineStr">
        <is>
          <t>Control</t>
        </is>
      </c>
      <c r="D685" s="10" t="inlineStr">
        <is>
          <t>South</t>
        </is>
      </c>
      <c r="E685" s="10" t="inlineStr">
        <is>
          <t>Desktop</t>
        </is>
      </c>
      <c r="F685" s="10" t="inlineStr">
        <is>
          <t>Referral</t>
        </is>
      </c>
      <c r="G685" s="10" t="inlineStr">
        <is>
          <t>Free</t>
        </is>
      </c>
      <c r="H685" s="10" t="n">
        <v>0</v>
      </c>
      <c r="I685" s="10" t="n">
        <v>0</v>
      </c>
      <c r="J685" s="10" t="n">
        <v>0</v>
      </c>
      <c r="K685" s="10" t="n">
        <v>0</v>
      </c>
      <c r="L685" s="10" t="n">
        <v>0</v>
      </c>
      <c r="M685" s="10" t="n">
        <v>0</v>
      </c>
      <c r="N685" s="10" t="n">
        <v>0</v>
      </c>
      <c r="P685" s="10" t="n">
        <v>27.6</v>
      </c>
      <c r="Q685" s="10">
        <f>A685&amp;"|"&amp;B685&amp;"|"&amp;C685&amp;"|"&amp;D685&amp;"|"&amp;E685&amp;"|"&amp;F685&amp;"|"&amp;G685&amp;"|"&amp;H685&amp;"|"&amp;I685&amp;"|"&amp;J685&amp;"|"&amp;K685&amp;"|"&amp;L685&amp;"|"&amp;M685&amp;"|"&amp;N685&amp;"|"&amp;O685&amp;"|"&amp;P685</f>
        <v/>
      </c>
      <c r="R685" s="10">
        <f>IF(COUNTIF($Q$2:$Q$1409,Q685)&gt;1,IF(COUNTIF($Q$2:Q685,Q685)=1,"Exact Duplicate - Keep First","Exact Duplicate - Remove"),"Unique")</f>
        <v/>
      </c>
    </row>
    <row r="686" ht="15" customHeight="1" s="11">
      <c r="A686" s="10" t="inlineStr">
        <is>
          <t>USR-100685</t>
        </is>
      </c>
      <c r="B686" s="14" t="n">
        <v>45701</v>
      </c>
      <c r="C686" s="10" t="inlineStr">
        <is>
          <t>Control</t>
        </is>
      </c>
      <c r="D686" s="10" t="inlineStr">
        <is>
          <t>West</t>
        </is>
      </c>
      <c r="E686" s="10" t="inlineStr">
        <is>
          <t>Mobile</t>
        </is>
      </c>
      <c r="F686" s="10" t="inlineStr">
        <is>
          <t>Organic</t>
        </is>
      </c>
      <c r="G686" s="10" t="inlineStr">
        <is>
          <t>Premium</t>
        </is>
      </c>
      <c r="H686" s="10" t="n">
        <v>1</v>
      </c>
      <c r="I686" s="10" t="n">
        <v>0</v>
      </c>
      <c r="J686" s="10" t="n">
        <v>0</v>
      </c>
      <c r="K686" s="10" t="n">
        <v>0</v>
      </c>
      <c r="L686" s="10" t="n">
        <v>0</v>
      </c>
      <c r="M686" s="10" t="n">
        <v>1</v>
      </c>
      <c r="N686" s="10" t="n">
        <v>0</v>
      </c>
      <c r="P686" s="10" t="n">
        <v>68.5</v>
      </c>
      <c r="Q686" s="10">
        <f>A686&amp;"|"&amp;B686&amp;"|"&amp;C686&amp;"|"&amp;D686&amp;"|"&amp;E686&amp;"|"&amp;F686&amp;"|"&amp;G686&amp;"|"&amp;H686&amp;"|"&amp;I686&amp;"|"&amp;J686&amp;"|"&amp;K686&amp;"|"&amp;L686&amp;"|"&amp;M686&amp;"|"&amp;N686&amp;"|"&amp;O686&amp;"|"&amp;P686</f>
        <v/>
      </c>
      <c r="R686" s="10">
        <f>IF(COUNTIF($Q$2:$Q$1409,Q686)&gt;1,IF(COUNTIF($Q$2:Q686,Q686)=1,"Exact Duplicate - Keep First","Exact Duplicate - Remove"),"Unique")</f>
        <v/>
      </c>
    </row>
    <row r="687" ht="15" customHeight="1" s="11">
      <c r="A687" s="10" t="inlineStr">
        <is>
          <t>USR-100686</t>
        </is>
      </c>
      <c r="B687" s="14" t="n">
        <v>45694</v>
      </c>
      <c r="C687" s="10" t="inlineStr">
        <is>
          <t>Control</t>
        </is>
      </c>
      <c r="D687" s="10" t="inlineStr">
        <is>
          <t>South</t>
        </is>
      </c>
      <c r="E687" s="10" t="inlineStr">
        <is>
          <t>Desktop</t>
        </is>
      </c>
      <c r="F687" s="10" t="inlineStr">
        <is>
          <t>Organic</t>
        </is>
      </c>
      <c r="G687" s="10" t="inlineStr">
        <is>
          <t>Free</t>
        </is>
      </c>
      <c r="H687" s="10" t="n">
        <v>1</v>
      </c>
      <c r="I687" s="10" t="n">
        <v>1</v>
      </c>
      <c r="J687" s="10" t="n">
        <v>1</v>
      </c>
      <c r="K687" s="10" t="n">
        <v>0</v>
      </c>
      <c r="L687" s="10" t="n">
        <v>0</v>
      </c>
      <c r="M687" s="10" t="n">
        <v>0</v>
      </c>
      <c r="N687" s="10" t="n">
        <v>0</v>
      </c>
      <c r="P687" s="10" t="n">
        <v>59.2</v>
      </c>
      <c r="Q687" s="10">
        <f>A687&amp;"|"&amp;B687&amp;"|"&amp;C687&amp;"|"&amp;D687&amp;"|"&amp;E687&amp;"|"&amp;F687&amp;"|"&amp;G687&amp;"|"&amp;H687&amp;"|"&amp;I687&amp;"|"&amp;J687&amp;"|"&amp;K687&amp;"|"&amp;L687&amp;"|"&amp;M687&amp;"|"&amp;N687&amp;"|"&amp;O687&amp;"|"&amp;P687</f>
        <v/>
      </c>
      <c r="R687" s="10">
        <f>IF(COUNTIF($Q$2:$Q$1409,Q687)&gt;1,IF(COUNTIF($Q$2:Q687,Q687)=1,"Exact Duplicate - Keep First","Exact Duplicate - Remove"),"Unique")</f>
        <v/>
      </c>
    </row>
    <row r="688" ht="15" customHeight="1" s="11">
      <c r="A688" s="10" t="inlineStr">
        <is>
          <t>USR-100687</t>
        </is>
      </c>
      <c r="B688" s="14" t="n">
        <v>45718</v>
      </c>
      <c r="C688" s="10" t="inlineStr">
        <is>
          <t>Control</t>
        </is>
      </c>
      <c r="D688" s="10" t="inlineStr">
        <is>
          <t>North</t>
        </is>
      </c>
      <c r="E688" s="10" t="inlineStr">
        <is>
          <t>Mobile</t>
        </is>
      </c>
      <c r="F688" s="10" t="inlineStr">
        <is>
          <t>Social</t>
        </is>
      </c>
      <c r="G688" s="10" t="inlineStr">
        <is>
          <t>Basic</t>
        </is>
      </c>
      <c r="H688" s="10" t="n">
        <v>1</v>
      </c>
      <c r="I688" s="10" t="n">
        <v>0</v>
      </c>
      <c r="J688" s="10" t="n">
        <v>0</v>
      </c>
      <c r="K688" s="10" t="n">
        <v>0</v>
      </c>
      <c r="L688" s="10" t="n">
        <v>0</v>
      </c>
      <c r="M688" s="10" t="n">
        <v>0</v>
      </c>
      <c r="N688" s="10" t="n">
        <v>0</v>
      </c>
      <c r="P688" s="10" t="n">
        <v>63.3</v>
      </c>
      <c r="Q688" s="10">
        <f>A688&amp;"|"&amp;B688&amp;"|"&amp;C688&amp;"|"&amp;D688&amp;"|"&amp;E688&amp;"|"&amp;F688&amp;"|"&amp;G688&amp;"|"&amp;H688&amp;"|"&amp;I688&amp;"|"&amp;J688&amp;"|"&amp;K688&amp;"|"&amp;L688&amp;"|"&amp;M688&amp;"|"&amp;N688&amp;"|"&amp;O688&amp;"|"&amp;P688</f>
        <v/>
      </c>
      <c r="R688" s="10">
        <f>IF(COUNTIF($Q$2:$Q$1409,Q688)&gt;1,IF(COUNTIF($Q$2:Q688,Q688)=1,"Exact Duplicate - Keep First","Exact Duplicate - Remove"),"Unique")</f>
        <v/>
      </c>
    </row>
    <row r="689" ht="15" customHeight="1" s="11">
      <c r="A689" s="10" t="inlineStr">
        <is>
          <t>USR-100688</t>
        </is>
      </c>
      <c r="B689" s="14" t="n">
        <v>45775</v>
      </c>
      <c r="C689" s="10" t="inlineStr">
        <is>
          <t>Control</t>
        </is>
      </c>
      <c r="D689" s="10" t="inlineStr">
        <is>
          <t>East</t>
        </is>
      </c>
      <c r="E689" s="10" t="inlineStr">
        <is>
          <t>Desktop</t>
        </is>
      </c>
      <c r="F689" s="10" t="inlineStr">
        <is>
          <t>Paid Search</t>
        </is>
      </c>
      <c r="G689" s="10" t="inlineStr">
        <is>
          <t>Free</t>
        </is>
      </c>
      <c r="H689" s="10" t="n">
        <v>0</v>
      </c>
      <c r="I689" s="10" t="n">
        <v>0</v>
      </c>
      <c r="J689" s="10" t="n">
        <v>0</v>
      </c>
      <c r="K689" s="10" t="n">
        <v>0</v>
      </c>
      <c r="L689" s="10" t="n">
        <v>0</v>
      </c>
      <c r="M689" s="10" t="n">
        <v>0</v>
      </c>
      <c r="N689" s="10" t="n">
        <v>0</v>
      </c>
      <c r="P689" s="10" t="n">
        <v>55</v>
      </c>
      <c r="Q689" s="10">
        <f>A689&amp;"|"&amp;B689&amp;"|"&amp;C689&amp;"|"&amp;D689&amp;"|"&amp;E689&amp;"|"&amp;F689&amp;"|"&amp;G689&amp;"|"&amp;H689&amp;"|"&amp;I689&amp;"|"&amp;J689&amp;"|"&amp;K689&amp;"|"&amp;L689&amp;"|"&amp;M689&amp;"|"&amp;N689&amp;"|"&amp;O689&amp;"|"&amp;P689</f>
        <v/>
      </c>
      <c r="R689" s="10">
        <f>IF(COUNTIF($Q$2:$Q$1409,Q689)&gt;1,IF(COUNTIF($Q$2:Q689,Q689)=1,"Exact Duplicate - Keep First","Exact Duplicate - Remove"),"Unique")</f>
        <v/>
      </c>
    </row>
    <row r="690" ht="15" customHeight="1" s="11">
      <c r="A690" s="10" t="inlineStr">
        <is>
          <t>USR-100689</t>
        </is>
      </c>
      <c r="B690" s="14" t="n">
        <v>45804</v>
      </c>
      <c r="C690" s="10" t="inlineStr">
        <is>
          <t>Control</t>
        </is>
      </c>
      <c r="D690" s="10" t="inlineStr">
        <is>
          <t>North</t>
        </is>
      </c>
      <c r="E690" s="10" t="inlineStr">
        <is>
          <t>Desktop</t>
        </is>
      </c>
      <c r="G690" s="10" t="inlineStr">
        <is>
          <t>Premium</t>
        </is>
      </c>
      <c r="H690" s="10" t="n">
        <v>1</v>
      </c>
      <c r="I690" s="10" t="n">
        <v>0</v>
      </c>
      <c r="J690" s="10" t="n">
        <v>0</v>
      </c>
      <c r="K690" s="10" t="n">
        <v>0</v>
      </c>
      <c r="L690" s="10" t="n">
        <v>0</v>
      </c>
      <c r="M690" s="10" t="n">
        <v>0</v>
      </c>
      <c r="N690" s="10" t="n">
        <v>0</v>
      </c>
      <c r="P690" s="10" t="n">
        <v>64.8</v>
      </c>
      <c r="Q690" s="10">
        <f>A690&amp;"|"&amp;B690&amp;"|"&amp;C690&amp;"|"&amp;D690&amp;"|"&amp;E690&amp;"|"&amp;F690&amp;"|"&amp;G690&amp;"|"&amp;H690&amp;"|"&amp;I690&amp;"|"&amp;J690&amp;"|"&amp;K690&amp;"|"&amp;L690&amp;"|"&amp;M690&amp;"|"&amp;N690&amp;"|"&amp;O690&amp;"|"&amp;P690</f>
        <v/>
      </c>
      <c r="R690" s="10">
        <f>IF(COUNTIF($Q$2:$Q$1409,Q690)&gt;1,IF(COUNTIF($Q$2:Q690,Q690)=1,"Exact Duplicate - Keep First","Exact Duplicate - Remove"),"Unique")</f>
        <v/>
      </c>
    </row>
    <row r="691" ht="15" customHeight="1" s="11">
      <c r="A691" s="10" t="inlineStr">
        <is>
          <t>USR-100690</t>
        </is>
      </c>
      <c r="B691" s="14" t="n">
        <v>45754</v>
      </c>
      <c r="C691" s="10" t="inlineStr">
        <is>
          <t>Control</t>
        </is>
      </c>
      <c r="D691" s="10" t="inlineStr">
        <is>
          <t>South</t>
        </is>
      </c>
      <c r="E691" s="10" t="inlineStr">
        <is>
          <t>Desktop</t>
        </is>
      </c>
      <c r="F691" s="10" t="inlineStr">
        <is>
          <t>Organic</t>
        </is>
      </c>
      <c r="G691" s="10" t="inlineStr">
        <is>
          <t>Basic</t>
        </is>
      </c>
      <c r="H691" s="10" t="n">
        <v>0</v>
      </c>
      <c r="I691" s="10" t="n">
        <v>0</v>
      </c>
      <c r="J691" s="10" t="n">
        <v>0</v>
      </c>
      <c r="K691" s="10" t="n">
        <v>0</v>
      </c>
      <c r="L691" s="10" t="n">
        <v>0</v>
      </c>
      <c r="M691" s="10" t="n">
        <v>2</v>
      </c>
      <c r="N691" s="10" t="n">
        <v>0</v>
      </c>
      <c r="P691" s="10" t="n">
        <v>41.8</v>
      </c>
      <c r="Q691" s="10">
        <f>A691&amp;"|"&amp;B691&amp;"|"&amp;C691&amp;"|"&amp;D691&amp;"|"&amp;E691&amp;"|"&amp;F691&amp;"|"&amp;G691&amp;"|"&amp;H691&amp;"|"&amp;I691&amp;"|"&amp;J691&amp;"|"&amp;K691&amp;"|"&amp;L691&amp;"|"&amp;M691&amp;"|"&amp;N691&amp;"|"&amp;O691&amp;"|"&amp;P691</f>
        <v/>
      </c>
      <c r="R691" s="10">
        <f>IF(COUNTIF($Q$2:$Q$1409,Q691)&gt;1,IF(COUNTIF($Q$2:Q691,Q691)=1,"Exact Duplicate - Keep First","Exact Duplicate - Remove"),"Unique")</f>
        <v/>
      </c>
    </row>
    <row r="692" ht="15" customHeight="1" s="11">
      <c r="A692" s="10" t="inlineStr">
        <is>
          <t>USR-100691</t>
        </is>
      </c>
      <c r="B692" s="14" t="n">
        <v>45761</v>
      </c>
      <c r="C692" s="10" t="inlineStr">
        <is>
          <t>Treatment</t>
        </is>
      </c>
      <c r="D692" s="10" t="inlineStr">
        <is>
          <t>East</t>
        </is>
      </c>
      <c r="E692" s="10" t="inlineStr">
        <is>
          <t>Desktop</t>
        </is>
      </c>
      <c r="F692" s="10" t="inlineStr">
        <is>
          <t>Social</t>
        </is>
      </c>
      <c r="G692" s="10" t="inlineStr">
        <is>
          <t>Basic</t>
        </is>
      </c>
      <c r="H692" s="10" t="n">
        <v>1</v>
      </c>
      <c r="I692" s="10" t="n">
        <v>0</v>
      </c>
      <c r="J692" s="10" t="n">
        <v>0</v>
      </c>
      <c r="K692" s="10" t="n">
        <v>0</v>
      </c>
      <c r="L692" s="10" t="n">
        <v>0</v>
      </c>
      <c r="M692" s="10" t="n">
        <v>0</v>
      </c>
      <c r="N692" s="10" t="n">
        <v>0</v>
      </c>
      <c r="P692" s="10" t="n">
        <v>73.2</v>
      </c>
      <c r="Q692" s="10">
        <f>A692&amp;"|"&amp;B692&amp;"|"&amp;C692&amp;"|"&amp;D692&amp;"|"&amp;E692&amp;"|"&amp;F692&amp;"|"&amp;G692&amp;"|"&amp;H692&amp;"|"&amp;I692&amp;"|"&amp;J692&amp;"|"&amp;K692&amp;"|"&amp;L692&amp;"|"&amp;M692&amp;"|"&amp;N692&amp;"|"&amp;O692&amp;"|"&amp;P692</f>
        <v/>
      </c>
      <c r="R692" s="10">
        <f>IF(COUNTIF($Q$2:$Q$1409,Q692)&gt;1,IF(COUNTIF($Q$2:Q692,Q692)=1,"Exact Duplicate - Keep First","Exact Duplicate - Remove"),"Unique")</f>
        <v/>
      </c>
    </row>
    <row r="693" ht="15" customHeight="1" s="11">
      <c r="A693" s="10" t="inlineStr">
        <is>
          <t>USR-100692</t>
        </is>
      </c>
      <c r="B693" s="14" t="n">
        <v>45786</v>
      </c>
      <c r="C693" s="10" t="inlineStr">
        <is>
          <t>Treatment</t>
        </is>
      </c>
      <c r="D693" s="10" t="inlineStr">
        <is>
          <t>East</t>
        </is>
      </c>
      <c r="E693" s="10" t="inlineStr">
        <is>
          <t>Desktop</t>
        </is>
      </c>
      <c r="F693" s="10" t="inlineStr">
        <is>
          <t>Organic</t>
        </is>
      </c>
      <c r="G693" s="10" t="inlineStr">
        <is>
          <t>Basic</t>
        </is>
      </c>
      <c r="H693" s="10" t="n">
        <v>1</v>
      </c>
      <c r="I693" s="10" t="n">
        <v>1</v>
      </c>
      <c r="J693" s="10" t="n">
        <v>1</v>
      </c>
      <c r="K693" s="10" t="n">
        <v>0</v>
      </c>
      <c r="L693" s="10" t="n">
        <v>0</v>
      </c>
      <c r="M693" s="10" t="n">
        <v>3</v>
      </c>
      <c r="N693" s="10" t="n">
        <v>0</v>
      </c>
      <c r="P693" s="10" t="n">
        <v>55.7</v>
      </c>
      <c r="Q693" s="10">
        <f>A693&amp;"|"&amp;B693&amp;"|"&amp;C693&amp;"|"&amp;D693&amp;"|"&amp;E693&amp;"|"&amp;F693&amp;"|"&amp;G693&amp;"|"&amp;H693&amp;"|"&amp;I693&amp;"|"&amp;J693&amp;"|"&amp;K693&amp;"|"&amp;L693&amp;"|"&amp;M693&amp;"|"&amp;N693&amp;"|"&amp;O693&amp;"|"&amp;P693</f>
        <v/>
      </c>
      <c r="R693" s="10">
        <f>IF(COUNTIF($Q$2:$Q$1409,Q693)&gt;1,IF(COUNTIF($Q$2:Q693,Q693)=1,"Exact Duplicate - Keep First","Exact Duplicate - Remove"),"Unique")</f>
        <v/>
      </c>
    </row>
    <row r="694" ht="15" customHeight="1" s="11">
      <c r="A694" s="10" t="inlineStr">
        <is>
          <t>USR-100693</t>
        </is>
      </c>
      <c r="B694" s="14" t="n">
        <v>45737</v>
      </c>
      <c r="C694" s="10" t="inlineStr">
        <is>
          <t>Treatment</t>
        </is>
      </c>
      <c r="D694" s="10" t="inlineStr">
        <is>
          <t>North</t>
        </is>
      </c>
      <c r="E694" s="10" t="inlineStr">
        <is>
          <t>Mobile</t>
        </is>
      </c>
      <c r="F694" s="10" t="inlineStr">
        <is>
          <t>Organic</t>
        </is>
      </c>
      <c r="G694" s="10" t="inlineStr">
        <is>
          <t>Free</t>
        </is>
      </c>
      <c r="H694" s="10" t="n">
        <v>1</v>
      </c>
      <c r="I694" s="10" t="n">
        <v>1</v>
      </c>
      <c r="J694" s="10" t="n">
        <v>1</v>
      </c>
      <c r="K694" s="10" t="n">
        <v>0</v>
      </c>
      <c r="L694" s="10" t="n">
        <v>0</v>
      </c>
      <c r="M694" s="10" t="n">
        <v>0</v>
      </c>
      <c r="N694" s="10" t="n">
        <v>0</v>
      </c>
      <c r="P694" s="10" t="n">
        <v>82.8</v>
      </c>
      <c r="Q694" s="10">
        <f>A694&amp;"|"&amp;B694&amp;"|"&amp;C694&amp;"|"&amp;D694&amp;"|"&amp;E694&amp;"|"&amp;F694&amp;"|"&amp;G694&amp;"|"&amp;H694&amp;"|"&amp;I694&amp;"|"&amp;J694&amp;"|"&amp;K694&amp;"|"&amp;L694&amp;"|"&amp;M694&amp;"|"&amp;N694&amp;"|"&amp;O694&amp;"|"&amp;P694</f>
        <v/>
      </c>
      <c r="R694" s="10">
        <f>IF(COUNTIF($Q$2:$Q$1409,Q694)&gt;1,IF(COUNTIF($Q$2:Q694,Q694)=1,"Exact Duplicate - Keep First","Exact Duplicate - Remove"),"Unique")</f>
        <v/>
      </c>
    </row>
    <row r="695" ht="15" customHeight="1" s="11">
      <c r="A695" s="10" t="inlineStr">
        <is>
          <t>USR-100694</t>
        </is>
      </c>
      <c r="B695" s="14" t="n">
        <v>45743</v>
      </c>
      <c r="C695" s="10" t="inlineStr">
        <is>
          <t>Treatment</t>
        </is>
      </c>
      <c r="D695" s="10" t="inlineStr">
        <is>
          <t>North</t>
        </is>
      </c>
      <c r="E695" s="10" t="inlineStr">
        <is>
          <t>Desktop</t>
        </is>
      </c>
      <c r="F695" s="10" t="inlineStr">
        <is>
          <t>Social</t>
        </is>
      </c>
      <c r="G695" s="10" t="inlineStr">
        <is>
          <t>Free</t>
        </is>
      </c>
      <c r="H695" s="10" t="n">
        <v>1</v>
      </c>
      <c r="I695" s="10" t="n">
        <v>0</v>
      </c>
      <c r="J695" s="10" t="n">
        <v>0</v>
      </c>
      <c r="K695" s="10" t="n">
        <v>0</v>
      </c>
      <c r="L695" s="10" t="n">
        <v>0</v>
      </c>
      <c r="M695" s="10" t="n">
        <v>0</v>
      </c>
      <c r="N695" s="10" t="n">
        <v>0</v>
      </c>
      <c r="Q695" s="10">
        <f>A695&amp;"|"&amp;B695&amp;"|"&amp;C695&amp;"|"&amp;D695&amp;"|"&amp;E695&amp;"|"&amp;F695&amp;"|"&amp;G695&amp;"|"&amp;H695&amp;"|"&amp;I695&amp;"|"&amp;J695&amp;"|"&amp;K695&amp;"|"&amp;L695&amp;"|"&amp;M695&amp;"|"&amp;N695&amp;"|"&amp;O695&amp;"|"&amp;P695</f>
        <v/>
      </c>
      <c r="R695" s="10">
        <f>IF(COUNTIF($Q$2:$Q$1409,Q695)&gt;1,IF(COUNTIF($Q$2:Q695,Q695)=1,"Exact Duplicate - Keep First","Exact Duplicate - Remove"),"Unique")</f>
        <v/>
      </c>
    </row>
    <row r="696" ht="15" customHeight="1" s="11">
      <c r="A696" s="10" t="inlineStr">
        <is>
          <t>USR-100695</t>
        </is>
      </c>
      <c r="B696" s="14" t="n">
        <v>45678</v>
      </c>
      <c r="C696" s="10" t="inlineStr">
        <is>
          <t>Treatment</t>
        </is>
      </c>
      <c r="D696" s="10" t="inlineStr">
        <is>
          <t>South</t>
        </is>
      </c>
      <c r="E696" s="10" t="inlineStr">
        <is>
          <t>Mobile</t>
        </is>
      </c>
      <c r="F696" s="10" t="inlineStr">
        <is>
          <t>Paid Search</t>
        </is>
      </c>
      <c r="G696" s="10" t="inlineStr">
        <is>
          <t>Free</t>
        </is>
      </c>
      <c r="H696" s="10" t="n">
        <v>0</v>
      </c>
      <c r="I696" s="10" t="n">
        <v>0</v>
      </c>
      <c r="J696" s="10" t="n">
        <v>0</v>
      </c>
      <c r="K696" s="10" t="n">
        <v>0</v>
      </c>
      <c r="L696" s="10" t="n">
        <v>0</v>
      </c>
      <c r="M696" s="10" t="n">
        <v>0</v>
      </c>
      <c r="N696" s="10" t="n">
        <v>0</v>
      </c>
      <c r="P696" s="10" t="n">
        <v>34.4</v>
      </c>
      <c r="Q696" s="10">
        <f>A696&amp;"|"&amp;B696&amp;"|"&amp;C696&amp;"|"&amp;D696&amp;"|"&amp;E696&amp;"|"&amp;F696&amp;"|"&amp;G696&amp;"|"&amp;H696&amp;"|"&amp;I696&amp;"|"&amp;J696&amp;"|"&amp;K696&amp;"|"&amp;L696&amp;"|"&amp;M696&amp;"|"&amp;N696&amp;"|"&amp;O696&amp;"|"&amp;P696</f>
        <v/>
      </c>
      <c r="R696" s="10">
        <f>IF(COUNTIF($Q$2:$Q$1409,Q696)&gt;1,IF(COUNTIF($Q$2:Q696,Q696)=1,"Exact Duplicate - Keep First","Exact Duplicate - Remove"),"Unique")</f>
        <v/>
      </c>
    </row>
    <row r="697" ht="15" customHeight="1" s="11">
      <c r="A697" s="10" t="inlineStr">
        <is>
          <t>USR-100696</t>
        </is>
      </c>
      <c r="B697" s="14" t="n">
        <v>45735</v>
      </c>
      <c r="C697" s="10" t="inlineStr">
        <is>
          <t>Treatment</t>
        </is>
      </c>
      <c r="D697" s="10" t="inlineStr">
        <is>
          <t>East</t>
        </is>
      </c>
      <c r="E697" s="10" t="inlineStr">
        <is>
          <t>Desktop</t>
        </is>
      </c>
      <c r="F697" s="10" t="inlineStr">
        <is>
          <t>Email</t>
        </is>
      </c>
      <c r="G697" s="10" t="inlineStr">
        <is>
          <t>Free</t>
        </is>
      </c>
      <c r="H697" s="10" t="n">
        <v>1</v>
      </c>
      <c r="I697" s="10" t="n">
        <v>0</v>
      </c>
      <c r="J697" s="10" t="n">
        <v>0</v>
      </c>
      <c r="K697" s="10" t="n">
        <v>0</v>
      </c>
      <c r="L697" s="10" t="n">
        <v>0</v>
      </c>
      <c r="M697" s="10" t="n">
        <v>0</v>
      </c>
      <c r="N697" s="10" t="n">
        <v>0</v>
      </c>
      <c r="P697" s="10" t="n">
        <v>45.2</v>
      </c>
      <c r="Q697" s="10">
        <f>A697&amp;"|"&amp;B697&amp;"|"&amp;C697&amp;"|"&amp;D697&amp;"|"&amp;E697&amp;"|"&amp;F697&amp;"|"&amp;G697&amp;"|"&amp;H697&amp;"|"&amp;I697&amp;"|"&amp;J697&amp;"|"&amp;K697&amp;"|"&amp;L697&amp;"|"&amp;M697&amp;"|"&amp;N697&amp;"|"&amp;O697&amp;"|"&amp;P697</f>
        <v/>
      </c>
      <c r="R697" s="10">
        <f>IF(COUNTIF($Q$2:$Q$1409,Q697)&gt;1,IF(COUNTIF($Q$2:Q697,Q697)=1,"Exact Duplicate - Keep First","Exact Duplicate - Remove"),"Unique")</f>
        <v/>
      </c>
    </row>
    <row r="698" ht="15" customHeight="1" s="11">
      <c r="A698" s="10" t="inlineStr">
        <is>
          <t>USR-100697</t>
        </is>
      </c>
      <c r="B698" s="14" t="n">
        <v>45804</v>
      </c>
      <c r="C698" s="10" t="inlineStr">
        <is>
          <t>Treatment</t>
        </is>
      </c>
      <c r="D698" s="10" t="inlineStr">
        <is>
          <t>North</t>
        </is>
      </c>
      <c r="E698" s="10" t="inlineStr">
        <is>
          <t>Mobile</t>
        </is>
      </c>
      <c r="F698" s="10" t="inlineStr">
        <is>
          <t>Organic</t>
        </is>
      </c>
      <c r="G698" s="10" t="inlineStr">
        <is>
          <t>Basic</t>
        </is>
      </c>
      <c r="H698" s="10" t="n">
        <v>1</v>
      </c>
      <c r="I698" s="10" t="n">
        <v>0</v>
      </c>
      <c r="J698" s="10" t="n">
        <v>0</v>
      </c>
      <c r="K698" s="10" t="n">
        <v>0</v>
      </c>
      <c r="L698" s="10" t="n">
        <v>0</v>
      </c>
      <c r="M698" s="10" t="n">
        <v>0</v>
      </c>
      <c r="N698" s="10" t="n">
        <v>0</v>
      </c>
      <c r="P698" s="10" t="n">
        <v>71.59999999999999</v>
      </c>
      <c r="Q698" s="10">
        <f>A698&amp;"|"&amp;B698&amp;"|"&amp;C698&amp;"|"&amp;D698&amp;"|"&amp;E698&amp;"|"&amp;F698&amp;"|"&amp;G698&amp;"|"&amp;H698&amp;"|"&amp;I698&amp;"|"&amp;J698&amp;"|"&amp;K698&amp;"|"&amp;L698&amp;"|"&amp;M698&amp;"|"&amp;N698&amp;"|"&amp;O698&amp;"|"&amp;P698</f>
        <v/>
      </c>
      <c r="R698" s="10">
        <f>IF(COUNTIF($Q$2:$Q$1409,Q698)&gt;1,IF(COUNTIF($Q$2:Q698,Q698)=1,"Exact Duplicate - Keep First","Exact Duplicate - Remove"),"Unique")</f>
        <v/>
      </c>
    </row>
    <row r="699" ht="15" customHeight="1" s="11">
      <c r="A699" s="10" t="inlineStr">
        <is>
          <t>USR-100698</t>
        </is>
      </c>
      <c r="B699" s="14" t="n">
        <v>45658</v>
      </c>
      <c r="C699" s="10" t="inlineStr">
        <is>
          <t>Treatment</t>
        </is>
      </c>
      <c r="D699" s="10" t="inlineStr">
        <is>
          <t>North</t>
        </is>
      </c>
      <c r="E699" s="10" t="inlineStr">
        <is>
          <t>Mobile</t>
        </is>
      </c>
      <c r="F699" s="10" t="inlineStr">
        <is>
          <t>Social</t>
        </is>
      </c>
      <c r="G699" s="10" t="inlineStr">
        <is>
          <t>Free</t>
        </is>
      </c>
      <c r="H699" s="10" t="n">
        <v>1</v>
      </c>
      <c r="I699" s="10" t="n">
        <v>1</v>
      </c>
      <c r="J699" s="10" t="n">
        <v>1</v>
      </c>
      <c r="K699" s="10" t="n">
        <v>0</v>
      </c>
      <c r="L699" s="10" t="n">
        <v>0</v>
      </c>
      <c r="M699" s="10" t="n">
        <v>0</v>
      </c>
      <c r="N699" s="10" t="n">
        <v>0</v>
      </c>
      <c r="P699" s="10" t="n">
        <v>69.09999999999999</v>
      </c>
      <c r="Q699" s="10">
        <f>A699&amp;"|"&amp;B699&amp;"|"&amp;C699&amp;"|"&amp;D699&amp;"|"&amp;E699&amp;"|"&amp;F699&amp;"|"&amp;G699&amp;"|"&amp;H699&amp;"|"&amp;I699&amp;"|"&amp;J699&amp;"|"&amp;K699&amp;"|"&amp;L699&amp;"|"&amp;M699&amp;"|"&amp;N699&amp;"|"&amp;O699&amp;"|"&amp;P699</f>
        <v/>
      </c>
      <c r="R699" s="10">
        <f>IF(COUNTIF($Q$2:$Q$1409,Q699)&gt;1,IF(COUNTIF($Q$2:Q699,Q699)=1,"Exact Duplicate - Keep First","Exact Duplicate - Remove"),"Unique")</f>
        <v/>
      </c>
    </row>
    <row r="700" ht="15" customHeight="1" s="11">
      <c r="A700" s="10" t="inlineStr">
        <is>
          <t>USR-100699</t>
        </is>
      </c>
      <c r="B700" s="14" t="n">
        <v>45745</v>
      </c>
      <c r="C700" s="10" t="inlineStr">
        <is>
          <t>Treatment</t>
        </is>
      </c>
      <c r="D700" s="10" t="inlineStr">
        <is>
          <t>West</t>
        </is>
      </c>
      <c r="E700" s="10" t="inlineStr">
        <is>
          <t>Desktop</t>
        </is>
      </c>
      <c r="F700" s="10" t="inlineStr">
        <is>
          <t>Paid Search</t>
        </is>
      </c>
      <c r="G700" s="10" t="inlineStr">
        <is>
          <t>Premium</t>
        </is>
      </c>
      <c r="H700" s="10" t="n">
        <v>1</v>
      </c>
      <c r="I700" s="10" t="n">
        <v>0</v>
      </c>
      <c r="J700" s="10" t="n">
        <v>0</v>
      </c>
      <c r="K700" s="10" t="n">
        <v>0</v>
      </c>
      <c r="L700" s="10" t="n">
        <v>0</v>
      </c>
      <c r="M700" s="10" t="n">
        <v>1</v>
      </c>
      <c r="N700" s="10" t="n">
        <v>0</v>
      </c>
      <c r="P700" s="10" t="n">
        <v>37.7</v>
      </c>
      <c r="Q700" s="10">
        <f>A700&amp;"|"&amp;B700&amp;"|"&amp;C700&amp;"|"&amp;D700&amp;"|"&amp;E700&amp;"|"&amp;F700&amp;"|"&amp;G700&amp;"|"&amp;H700&amp;"|"&amp;I700&amp;"|"&amp;J700&amp;"|"&amp;K700&amp;"|"&amp;L700&amp;"|"&amp;M700&amp;"|"&amp;N700&amp;"|"&amp;O700&amp;"|"&amp;P700</f>
        <v/>
      </c>
      <c r="R700" s="10">
        <f>IF(COUNTIF($Q$2:$Q$1409,Q700)&gt;1,IF(COUNTIF($Q$2:Q700,Q700)=1,"Exact Duplicate - Keep First","Exact Duplicate - Remove"),"Unique")</f>
        <v/>
      </c>
    </row>
    <row r="701" ht="15" customHeight="1" s="11">
      <c r="A701" s="10" t="inlineStr">
        <is>
          <t>USR-100700</t>
        </is>
      </c>
      <c r="B701" s="14" t="n">
        <v>45733</v>
      </c>
      <c r="C701" s="10" t="inlineStr">
        <is>
          <t>Treatment</t>
        </is>
      </c>
      <c r="D701" s="10" t="inlineStr">
        <is>
          <t>West</t>
        </is>
      </c>
      <c r="E701" s="10" t="inlineStr">
        <is>
          <t>Desktop</t>
        </is>
      </c>
      <c r="F701" s="10" t="inlineStr">
        <is>
          <t>Organic</t>
        </is>
      </c>
      <c r="G701" s="10" t="inlineStr">
        <is>
          <t>Basic</t>
        </is>
      </c>
      <c r="H701" s="10" t="n">
        <v>1</v>
      </c>
      <c r="I701" s="10" t="n">
        <v>0</v>
      </c>
      <c r="J701" s="10" t="n">
        <v>0</v>
      </c>
      <c r="K701" s="10" t="n">
        <v>0</v>
      </c>
      <c r="L701" s="10" t="n">
        <v>0</v>
      </c>
      <c r="M701" s="10" t="n">
        <v>1</v>
      </c>
      <c r="N701" s="10" t="n">
        <v>0</v>
      </c>
      <c r="P701" s="10" t="n">
        <v>60.8</v>
      </c>
      <c r="Q701" s="10">
        <f>A701&amp;"|"&amp;B701&amp;"|"&amp;C701&amp;"|"&amp;D701&amp;"|"&amp;E701&amp;"|"&amp;F701&amp;"|"&amp;G701&amp;"|"&amp;H701&amp;"|"&amp;I701&amp;"|"&amp;J701&amp;"|"&amp;K701&amp;"|"&amp;L701&amp;"|"&amp;M701&amp;"|"&amp;N701&amp;"|"&amp;O701&amp;"|"&amp;P701</f>
        <v/>
      </c>
      <c r="R701" s="10">
        <f>IF(COUNTIF($Q$2:$Q$1409,Q701)&gt;1,IF(COUNTIF($Q$2:Q701,Q701)=1,"Exact Duplicate - Keep First","Exact Duplicate - Remove"),"Unique")</f>
        <v/>
      </c>
    </row>
    <row r="702" ht="15" customHeight="1" s="11">
      <c r="A702" s="10" t="inlineStr">
        <is>
          <t>USR-100701</t>
        </is>
      </c>
      <c r="B702" s="14" t="n">
        <v>45782</v>
      </c>
      <c r="C702" s="10" t="inlineStr">
        <is>
          <t>Treatment</t>
        </is>
      </c>
      <c r="D702" s="10" t="inlineStr">
        <is>
          <t>North</t>
        </is>
      </c>
      <c r="E702" s="10" t="inlineStr">
        <is>
          <t>Mobile</t>
        </is>
      </c>
      <c r="F702" s="10" t="inlineStr">
        <is>
          <t>Organic</t>
        </is>
      </c>
      <c r="G702" s="10" t="inlineStr">
        <is>
          <t>Free</t>
        </is>
      </c>
      <c r="H702" s="10" t="n">
        <v>1</v>
      </c>
      <c r="I702" s="10" t="n">
        <v>1</v>
      </c>
      <c r="J702" s="10" t="n">
        <v>1</v>
      </c>
      <c r="K702" s="10" t="n">
        <v>1</v>
      </c>
      <c r="L702" s="10" t="n">
        <v>444.13</v>
      </c>
      <c r="M702" s="10" t="n">
        <v>0</v>
      </c>
      <c r="N702" s="10" t="n">
        <v>0</v>
      </c>
      <c r="O702" s="10" t="n">
        <v>10</v>
      </c>
      <c r="P702" s="10" t="n">
        <v>80.7</v>
      </c>
      <c r="Q702" s="10">
        <f>A702&amp;"|"&amp;B702&amp;"|"&amp;C702&amp;"|"&amp;D702&amp;"|"&amp;E702&amp;"|"&amp;F702&amp;"|"&amp;G702&amp;"|"&amp;H702&amp;"|"&amp;I702&amp;"|"&amp;J702&amp;"|"&amp;K702&amp;"|"&amp;L702&amp;"|"&amp;M702&amp;"|"&amp;N702&amp;"|"&amp;O702&amp;"|"&amp;P702</f>
        <v/>
      </c>
      <c r="R702" s="10">
        <f>IF(COUNTIF($Q$2:$Q$1409,Q702)&gt;1,IF(COUNTIF($Q$2:Q702,Q702)=1,"Exact Duplicate - Keep First","Exact Duplicate - Remove"),"Unique")</f>
        <v/>
      </c>
    </row>
    <row r="703" ht="15" customHeight="1" s="11">
      <c r="A703" s="10" t="inlineStr">
        <is>
          <t>USR-100702</t>
        </is>
      </c>
      <c r="B703" s="14" t="n">
        <v>45781</v>
      </c>
      <c r="C703" s="10" t="inlineStr">
        <is>
          <t>Treatment</t>
        </is>
      </c>
      <c r="D703" s="10" t="inlineStr">
        <is>
          <t>South</t>
        </is>
      </c>
      <c r="E703" s="10" t="inlineStr">
        <is>
          <t>Mobile</t>
        </is>
      </c>
      <c r="F703" s="10" t="inlineStr">
        <is>
          <t>Social</t>
        </is>
      </c>
      <c r="G703" s="10" t="inlineStr">
        <is>
          <t>Free</t>
        </is>
      </c>
      <c r="H703" s="10" t="n">
        <v>1</v>
      </c>
      <c r="I703" s="10" t="n">
        <v>0</v>
      </c>
      <c r="J703" s="10" t="n">
        <v>0</v>
      </c>
      <c r="K703" s="10" t="n">
        <v>0</v>
      </c>
      <c r="L703" s="10" t="n">
        <v>0</v>
      </c>
      <c r="M703" s="10" t="n">
        <v>0</v>
      </c>
      <c r="N703" s="10" t="n">
        <v>0</v>
      </c>
      <c r="P703" s="10" t="n">
        <v>69.2</v>
      </c>
      <c r="Q703" s="10">
        <f>A703&amp;"|"&amp;B703&amp;"|"&amp;C703&amp;"|"&amp;D703&amp;"|"&amp;E703&amp;"|"&amp;F703&amp;"|"&amp;G703&amp;"|"&amp;H703&amp;"|"&amp;I703&amp;"|"&amp;J703&amp;"|"&amp;K703&amp;"|"&amp;L703&amp;"|"&amp;M703&amp;"|"&amp;N703&amp;"|"&amp;O703&amp;"|"&amp;P703</f>
        <v/>
      </c>
      <c r="R703" s="10">
        <f>IF(COUNTIF($Q$2:$Q$1409,Q703)&gt;1,IF(COUNTIF($Q$2:Q703,Q703)=1,"Exact Duplicate - Keep First","Exact Duplicate - Remove"),"Unique")</f>
        <v/>
      </c>
    </row>
    <row r="704" ht="15" customHeight="1" s="11">
      <c r="A704" s="10" t="inlineStr">
        <is>
          <t>USR-100703</t>
        </is>
      </c>
      <c r="B704" s="14" t="n">
        <v>45741</v>
      </c>
      <c r="C704" s="10" t="inlineStr">
        <is>
          <t>Treatment</t>
        </is>
      </c>
      <c r="D704" s="10" t="inlineStr">
        <is>
          <t>North</t>
        </is>
      </c>
      <c r="E704" s="10" t="inlineStr">
        <is>
          <t>Mobile</t>
        </is>
      </c>
      <c r="F704" s="10" t="inlineStr">
        <is>
          <t>Social</t>
        </is>
      </c>
      <c r="G704" s="10" t="inlineStr">
        <is>
          <t>Premium</t>
        </is>
      </c>
      <c r="H704" s="10" t="n">
        <v>0</v>
      </c>
      <c r="I704" s="10" t="n">
        <v>0</v>
      </c>
      <c r="J704" s="10" t="n">
        <v>0</v>
      </c>
      <c r="K704" s="10" t="n">
        <v>0</v>
      </c>
      <c r="L704" s="10" t="n">
        <v>0</v>
      </c>
      <c r="M704" s="10" t="n">
        <v>3</v>
      </c>
      <c r="N704" s="10" t="n">
        <v>0</v>
      </c>
      <c r="P704" s="10" t="n">
        <v>55</v>
      </c>
      <c r="Q704" s="10">
        <f>A704&amp;"|"&amp;B704&amp;"|"&amp;C704&amp;"|"&amp;D704&amp;"|"&amp;E704&amp;"|"&amp;F704&amp;"|"&amp;G704&amp;"|"&amp;H704&amp;"|"&amp;I704&amp;"|"&amp;J704&amp;"|"&amp;K704&amp;"|"&amp;L704&amp;"|"&amp;M704&amp;"|"&amp;N704&amp;"|"&amp;O704&amp;"|"&amp;P704</f>
        <v/>
      </c>
      <c r="R704" s="10">
        <f>IF(COUNTIF($Q$2:$Q$1409,Q704)&gt;1,IF(COUNTIF($Q$2:Q704,Q704)=1,"Exact Duplicate - Keep First","Exact Duplicate - Remove"),"Unique")</f>
        <v/>
      </c>
    </row>
    <row r="705" ht="15" customHeight="1" s="11">
      <c r="A705" s="10" t="inlineStr">
        <is>
          <t>USR-100704</t>
        </is>
      </c>
      <c r="B705" s="14" t="n">
        <v>45764</v>
      </c>
      <c r="C705" s="10" t="inlineStr">
        <is>
          <t>Treatment</t>
        </is>
      </c>
      <c r="D705" s="10" t="inlineStr">
        <is>
          <t>West</t>
        </is>
      </c>
      <c r="E705" s="10" t="inlineStr">
        <is>
          <t>Mobile</t>
        </is>
      </c>
      <c r="F705" s="10" t="inlineStr">
        <is>
          <t>Email</t>
        </is>
      </c>
      <c r="G705" s="10" t="inlineStr">
        <is>
          <t>Free</t>
        </is>
      </c>
      <c r="H705" s="10" t="n">
        <v>0</v>
      </c>
      <c r="I705" s="10" t="n">
        <v>0</v>
      </c>
      <c r="J705" s="10" t="n">
        <v>0</v>
      </c>
      <c r="K705" s="10" t="n">
        <v>0</v>
      </c>
      <c r="L705" s="10" t="n">
        <v>0</v>
      </c>
      <c r="M705" s="10" t="n">
        <v>1</v>
      </c>
      <c r="N705" s="10" t="n">
        <v>0</v>
      </c>
      <c r="P705" s="10" t="n">
        <v>73.59999999999999</v>
      </c>
      <c r="Q705" s="10">
        <f>A705&amp;"|"&amp;B705&amp;"|"&amp;C705&amp;"|"&amp;D705&amp;"|"&amp;E705&amp;"|"&amp;F705&amp;"|"&amp;G705&amp;"|"&amp;H705&amp;"|"&amp;I705&amp;"|"&amp;J705&amp;"|"&amp;K705&amp;"|"&amp;L705&amp;"|"&amp;M705&amp;"|"&amp;N705&amp;"|"&amp;O705&amp;"|"&amp;P705</f>
        <v/>
      </c>
      <c r="R705" s="10">
        <f>IF(COUNTIF($Q$2:$Q$1409,Q705)&gt;1,IF(COUNTIF($Q$2:Q705,Q705)=1,"Exact Duplicate - Keep First","Exact Duplicate - Remove"),"Unique")</f>
        <v/>
      </c>
    </row>
    <row r="706" ht="15" customHeight="1" s="11">
      <c r="A706" s="10" t="inlineStr">
        <is>
          <t>USR-100705</t>
        </is>
      </c>
      <c r="B706" s="14" t="n">
        <v>45800</v>
      </c>
      <c r="C706" s="10" t="inlineStr">
        <is>
          <t>Treatment</t>
        </is>
      </c>
      <c r="D706" s="10" t="inlineStr">
        <is>
          <t>South</t>
        </is>
      </c>
      <c r="E706" s="10" t="inlineStr">
        <is>
          <t>Mobile</t>
        </is>
      </c>
      <c r="F706" s="10" t="inlineStr">
        <is>
          <t>Referral</t>
        </is>
      </c>
      <c r="G706" s="10" t="inlineStr">
        <is>
          <t>Basic</t>
        </is>
      </c>
      <c r="H706" s="10" t="n">
        <v>1</v>
      </c>
      <c r="I706" s="10" t="n">
        <v>1</v>
      </c>
      <c r="J706" s="10" t="n">
        <v>1</v>
      </c>
      <c r="K706" s="10" t="n">
        <v>0</v>
      </c>
      <c r="L706" s="10" t="n">
        <v>0</v>
      </c>
      <c r="M706" s="10" t="n">
        <v>1</v>
      </c>
      <c r="N706" s="10" t="n">
        <v>0</v>
      </c>
      <c r="P706" s="10" t="n">
        <v>47.3</v>
      </c>
      <c r="Q706" s="10">
        <f>A706&amp;"|"&amp;B706&amp;"|"&amp;C706&amp;"|"&amp;D706&amp;"|"&amp;E706&amp;"|"&amp;F706&amp;"|"&amp;G706&amp;"|"&amp;H706&amp;"|"&amp;I706&amp;"|"&amp;J706&amp;"|"&amp;K706&amp;"|"&amp;L706&amp;"|"&amp;M706&amp;"|"&amp;N706&amp;"|"&amp;O706&amp;"|"&amp;P706</f>
        <v/>
      </c>
      <c r="R706" s="10">
        <f>IF(COUNTIF($Q$2:$Q$1409,Q706)&gt;1,IF(COUNTIF($Q$2:Q706,Q706)=1,"Exact Duplicate - Keep First","Exact Duplicate - Remove"),"Unique")</f>
        <v/>
      </c>
    </row>
    <row r="707" ht="15" customHeight="1" s="11">
      <c r="A707" s="10" t="inlineStr">
        <is>
          <t>USR-100706</t>
        </is>
      </c>
      <c r="B707" s="14" t="n">
        <v>45670</v>
      </c>
      <c r="C707" s="10" t="inlineStr">
        <is>
          <t>Treatment</t>
        </is>
      </c>
      <c r="D707" s="10" t="inlineStr">
        <is>
          <t>North</t>
        </is>
      </c>
      <c r="E707" s="10" t="inlineStr">
        <is>
          <t>Mobile</t>
        </is>
      </c>
      <c r="F707" s="10" t="inlineStr">
        <is>
          <t>Organic</t>
        </is>
      </c>
      <c r="G707" s="10" t="inlineStr">
        <is>
          <t>Basic</t>
        </is>
      </c>
      <c r="H707" s="10" t="n">
        <v>0</v>
      </c>
      <c r="I707" s="10" t="n">
        <v>0</v>
      </c>
      <c r="J707" s="10" t="n">
        <v>0</v>
      </c>
      <c r="K707" s="10" t="n">
        <v>0</v>
      </c>
      <c r="L707" s="10" t="n">
        <v>0</v>
      </c>
      <c r="M707" s="10" t="n">
        <v>0</v>
      </c>
      <c r="N707" s="10" t="n">
        <v>0</v>
      </c>
      <c r="P707" s="10" t="n">
        <v>43.6</v>
      </c>
      <c r="Q707" s="10">
        <f>A707&amp;"|"&amp;B707&amp;"|"&amp;C707&amp;"|"&amp;D707&amp;"|"&amp;E707&amp;"|"&amp;F707&amp;"|"&amp;G707&amp;"|"&amp;H707&amp;"|"&amp;I707&amp;"|"&amp;J707&amp;"|"&amp;K707&amp;"|"&amp;L707&amp;"|"&amp;M707&amp;"|"&amp;N707&amp;"|"&amp;O707&amp;"|"&amp;P707</f>
        <v/>
      </c>
      <c r="R707" s="10">
        <f>IF(COUNTIF($Q$2:$Q$1409,Q707)&gt;1,IF(COUNTIF($Q$2:Q707,Q707)=1,"Exact Duplicate - Keep First","Exact Duplicate - Remove"),"Unique")</f>
        <v/>
      </c>
    </row>
    <row r="708" ht="15" customHeight="1" s="11">
      <c r="A708" s="10" t="inlineStr">
        <is>
          <t>USR-100707</t>
        </is>
      </c>
      <c r="B708" s="14" t="n">
        <v>45686</v>
      </c>
      <c r="C708" s="10" t="inlineStr">
        <is>
          <t>Treatment</t>
        </is>
      </c>
      <c r="D708" s="10" t="inlineStr">
        <is>
          <t>North</t>
        </is>
      </c>
      <c r="E708" s="10" t="inlineStr">
        <is>
          <t>Desktop</t>
        </is>
      </c>
      <c r="F708" s="10" t="inlineStr">
        <is>
          <t>Organic</t>
        </is>
      </c>
      <c r="G708" s="10" t="inlineStr">
        <is>
          <t>Basic</t>
        </is>
      </c>
      <c r="H708" s="10" t="n">
        <v>1</v>
      </c>
      <c r="I708" s="10" t="n">
        <v>0</v>
      </c>
      <c r="J708" s="10" t="n">
        <v>0</v>
      </c>
      <c r="K708" s="10" t="n">
        <v>0</v>
      </c>
      <c r="L708" s="10" t="n">
        <v>0</v>
      </c>
      <c r="M708" s="10" t="n">
        <v>0</v>
      </c>
      <c r="N708" s="10" t="n">
        <v>0</v>
      </c>
      <c r="Q708" s="10">
        <f>A708&amp;"|"&amp;B708&amp;"|"&amp;C708&amp;"|"&amp;D708&amp;"|"&amp;E708&amp;"|"&amp;F708&amp;"|"&amp;G708&amp;"|"&amp;H708&amp;"|"&amp;I708&amp;"|"&amp;J708&amp;"|"&amp;K708&amp;"|"&amp;L708&amp;"|"&amp;M708&amp;"|"&amp;N708&amp;"|"&amp;O708&amp;"|"&amp;P708</f>
        <v/>
      </c>
      <c r="R708" s="10">
        <f>IF(COUNTIF($Q$2:$Q$1409,Q708)&gt;1,IF(COUNTIF($Q$2:Q708,Q708)=1,"Exact Duplicate - Keep First","Exact Duplicate - Remove"),"Unique")</f>
        <v/>
      </c>
    </row>
    <row r="709" ht="15" customHeight="1" s="11">
      <c r="A709" s="10" t="inlineStr">
        <is>
          <t>USR-100708</t>
        </is>
      </c>
      <c r="B709" s="14" t="n">
        <v>45788</v>
      </c>
      <c r="C709" s="10" t="inlineStr">
        <is>
          <t>Treatment</t>
        </is>
      </c>
      <c r="D709" s="10" t="inlineStr">
        <is>
          <t>South</t>
        </is>
      </c>
      <c r="E709" s="10" t="inlineStr">
        <is>
          <t>Mobile</t>
        </is>
      </c>
      <c r="F709" s="10" t="inlineStr">
        <is>
          <t>Email</t>
        </is>
      </c>
      <c r="G709" s="10" t="inlineStr">
        <is>
          <t>Free</t>
        </is>
      </c>
      <c r="H709" s="10" t="n">
        <v>0</v>
      </c>
      <c r="I709" s="10" t="n">
        <v>0</v>
      </c>
      <c r="J709" s="10" t="n">
        <v>0</v>
      </c>
      <c r="K709" s="10" t="n">
        <v>0</v>
      </c>
      <c r="L709" s="10" t="n">
        <v>0</v>
      </c>
      <c r="M709" s="10" t="n">
        <v>0</v>
      </c>
      <c r="N709" s="10" t="n">
        <v>0</v>
      </c>
      <c r="P709" s="10" t="n">
        <v>55.2</v>
      </c>
      <c r="Q709" s="10">
        <f>A709&amp;"|"&amp;B709&amp;"|"&amp;C709&amp;"|"&amp;D709&amp;"|"&amp;E709&amp;"|"&amp;F709&amp;"|"&amp;G709&amp;"|"&amp;H709&amp;"|"&amp;I709&amp;"|"&amp;J709&amp;"|"&amp;K709&amp;"|"&amp;L709&amp;"|"&amp;M709&amp;"|"&amp;N709&amp;"|"&amp;O709&amp;"|"&amp;P709</f>
        <v/>
      </c>
      <c r="R709" s="10">
        <f>IF(COUNTIF($Q$2:$Q$1409,Q709)&gt;1,IF(COUNTIF($Q$2:Q709,Q709)=1,"Exact Duplicate - Keep First","Exact Duplicate - Remove"),"Unique")</f>
        <v/>
      </c>
    </row>
    <row r="710" ht="15" customHeight="1" s="11">
      <c r="A710" s="10" t="inlineStr">
        <is>
          <t>USR-100709</t>
        </is>
      </c>
      <c r="B710" s="14" t="n">
        <v>45769</v>
      </c>
      <c r="C710" s="10" t="inlineStr">
        <is>
          <t>Treatment</t>
        </is>
      </c>
      <c r="D710" s="10" t="inlineStr">
        <is>
          <t>South</t>
        </is>
      </c>
      <c r="E710" s="10" t="inlineStr">
        <is>
          <t>Mobile</t>
        </is>
      </c>
      <c r="F710" s="10" t="inlineStr">
        <is>
          <t>Organic</t>
        </is>
      </c>
      <c r="G710" s="10" t="inlineStr">
        <is>
          <t>Basic</t>
        </is>
      </c>
      <c r="H710" s="10" t="n">
        <v>1</v>
      </c>
      <c r="I710" s="10" t="n">
        <v>0</v>
      </c>
      <c r="J710" s="10" t="n">
        <v>0</v>
      </c>
      <c r="K710" s="10" t="n">
        <v>0</v>
      </c>
      <c r="L710" s="10" t="n">
        <v>0</v>
      </c>
      <c r="M710" s="10" t="n">
        <v>0</v>
      </c>
      <c r="N710" s="10" t="n">
        <v>0</v>
      </c>
      <c r="P710" s="10" t="n">
        <v>49.4</v>
      </c>
      <c r="Q710" s="10">
        <f>A710&amp;"|"&amp;B710&amp;"|"&amp;C710&amp;"|"&amp;D710&amp;"|"&amp;E710&amp;"|"&amp;F710&amp;"|"&amp;G710&amp;"|"&amp;H710&amp;"|"&amp;I710&amp;"|"&amp;J710&amp;"|"&amp;K710&amp;"|"&amp;L710&amp;"|"&amp;M710&amp;"|"&amp;N710&amp;"|"&amp;O710&amp;"|"&amp;P710</f>
        <v/>
      </c>
      <c r="R710" s="10">
        <f>IF(COUNTIF($Q$2:$Q$1409,Q710)&gt;1,IF(COUNTIF($Q$2:Q710,Q710)=1,"Exact Duplicate - Keep First","Exact Duplicate - Remove"),"Unique")</f>
        <v/>
      </c>
    </row>
    <row r="711" ht="15" customHeight="1" s="11">
      <c r="A711" s="10" t="inlineStr">
        <is>
          <t>USR-100710</t>
        </is>
      </c>
      <c r="B711" s="14" t="n">
        <v>45719</v>
      </c>
      <c r="C711" s="10" t="inlineStr">
        <is>
          <t>Treatment</t>
        </is>
      </c>
      <c r="D711" s="10" t="inlineStr">
        <is>
          <t>South</t>
        </is>
      </c>
      <c r="E711" s="10" t="inlineStr">
        <is>
          <t>Mobile</t>
        </is>
      </c>
      <c r="F711" s="10" t="inlineStr">
        <is>
          <t>Social</t>
        </is>
      </c>
      <c r="G711" s="10" t="inlineStr">
        <is>
          <t>Free</t>
        </is>
      </c>
      <c r="H711" s="10" t="n">
        <v>1</v>
      </c>
      <c r="I711" s="10" t="n">
        <v>1</v>
      </c>
      <c r="J711" s="10" t="n">
        <v>1</v>
      </c>
      <c r="K711" s="10" t="n">
        <v>0</v>
      </c>
      <c r="L711" s="10" t="n">
        <v>0</v>
      </c>
      <c r="M711" s="10" t="n">
        <v>1</v>
      </c>
      <c r="N711" s="10" t="n">
        <v>0</v>
      </c>
      <c r="P711" s="10" t="n">
        <v>60.1</v>
      </c>
      <c r="Q711" s="10">
        <f>A711&amp;"|"&amp;B711&amp;"|"&amp;C711&amp;"|"&amp;D711&amp;"|"&amp;E711&amp;"|"&amp;F711&amp;"|"&amp;G711&amp;"|"&amp;H711&amp;"|"&amp;I711&amp;"|"&amp;J711&amp;"|"&amp;K711&amp;"|"&amp;L711&amp;"|"&amp;M711&amp;"|"&amp;N711&amp;"|"&amp;O711&amp;"|"&amp;P711</f>
        <v/>
      </c>
      <c r="R711" s="10">
        <f>IF(COUNTIF($Q$2:$Q$1409,Q711)&gt;1,IF(COUNTIF($Q$2:Q711,Q711)=1,"Exact Duplicate - Keep First","Exact Duplicate - Remove"),"Unique")</f>
        <v/>
      </c>
    </row>
    <row r="712" ht="15" customHeight="1" s="11">
      <c r="A712" s="10" t="inlineStr">
        <is>
          <t>USR-100711</t>
        </is>
      </c>
      <c r="B712" s="14" t="n">
        <v>45734</v>
      </c>
      <c r="C712" s="10" t="inlineStr">
        <is>
          <t>Treatment</t>
        </is>
      </c>
      <c r="D712" s="10" t="inlineStr">
        <is>
          <t>North</t>
        </is>
      </c>
      <c r="E712" s="10" t="inlineStr">
        <is>
          <t>Mobile</t>
        </is>
      </c>
      <c r="F712" s="10" t="inlineStr">
        <is>
          <t>Referral</t>
        </is>
      </c>
      <c r="G712" s="10" t="inlineStr">
        <is>
          <t>Free</t>
        </is>
      </c>
      <c r="H712" s="10" t="n">
        <v>1</v>
      </c>
      <c r="I712" s="10" t="n">
        <v>0</v>
      </c>
      <c r="J712" s="10" t="n">
        <v>0</v>
      </c>
      <c r="K712" s="10" t="n">
        <v>0</v>
      </c>
      <c r="L712" s="10" t="n">
        <v>0</v>
      </c>
      <c r="M712" s="10" t="n">
        <v>0</v>
      </c>
      <c r="N712" s="10" t="n">
        <v>0</v>
      </c>
      <c r="P712" s="10" t="n">
        <v>55.9</v>
      </c>
      <c r="Q712" s="10">
        <f>A712&amp;"|"&amp;B712&amp;"|"&amp;C712&amp;"|"&amp;D712&amp;"|"&amp;E712&amp;"|"&amp;F712&amp;"|"&amp;G712&amp;"|"&amp;H712&amp;"|"&amp;I712&amp;"|"&amp;J712&amp;"|"&amp;K712&amp;"|"&amp;L712&amp;"|"&amp;M712&amp;"|"&amp;N712&amp;"|"&amp;O712&amp;"|"&amp;P712</f>
        <v/>
      </c>
      <c r="R712" s="10">
        <f>IF(COUNTIF($Q$2:$Q$1409,Q712)&gt;1,IF(COUNTIF($Q$2:Q712,Q712)=1,"Exact Duplicate - Keep First","Exact Duplicate - Remove"),"Unique")</f>
        <v/>
      </c>
    </row>
    <row r="713" ht="15" customHeight="1" s="11">
      <c r="A713" s="10" t="inlineStr">
        <is>
          <t>USR-100712</t>
        </is>
      </c>
      <c r="B713" s="14" t="n">
        <v>45752</v>
      </c>
      <c r="C713" s="10" t="inlineStr">
        <is>
          <t>Treatment</t>
        </is>
      </c>
      <c r="D713" s="10" t="inlineStr">
        <is>
          <t>North</t>
        </is>
      </c>
      <c r="E713" s="10" t="inlineStr">
        <is>
          <t>Mobile</t>
        </is>
      </c>
      <c r="F713" s="10" t="inlineStr">
        <is>
          <t>Organic</t>
        </is>
      </c>
      <c r="G713" s="10" t="inlineStr">
        <is>
          <t>Basic</t>
        </is>
      </c>
      <c r="H713" s="10" t="n">
        <v>1</v>
      </c>
      <c r="I713" s="10" t="n">
        <v>0</v>
      </c>
      <c r="J713" s="10" t="n">
        <v>0</v>
      </c>
      <c r="K713" s="10" t="n">
        <v>0</v>
      </c>
      <c r="L713" s="10" t="n">
        <v>0</v>
      </c>
      <c r="M713" s="10" t="n">
        <v>0</v>
      </c>
      <c r="N713" s="10" t="n">
        <v>0</v>
      </c>
      <c r="P713" s="10" t="n">
        <v>51.5</v>
      </c>
      <c r="Q713" s="10">
        <f>A713&amp;"|"&amp;B713&amp;"|"&amp;C713&amp;"|"&amp;D713&amp;"|"&amp;E713&amp;"|"&amp;F713&amp;"|"&amp;G713&amp;"|"&amp;H713&amp;"|"&amp;I713&amp;"|"&amp;J713&amp;"|"&amp;K713&amp;"|"&amp;L713&amp;"|"&amp;M713&amp;"|"&amp;N713&amp;"|"&amp;O713&amp;"|"&amp;P713</f>
        <v/>
      </c>
      <c r="R713" s="10">
        <f>IF(COUNTIF($Q$2:$Q$1409,Q713)&gt;1,IF(COUNTIF($Q$2:Q713,Q713)=1,"Exact Duplicate - Keep First","Exact Duplicate - Remove"),"Unique")</f>
        <v/>
      </c>
    </row>
    <row r="714" ht="15" customHeight="1" s="11">
      <c r="A714" s="10" t="inlineStr">
        <is>
          <t>USR-100713</t>
        </is>
      </c>
      <c r="B714" s="14" t="n">
        <v>45763</v>
      </c>
      <c r="C714" s="10" t="inlineStr">
        <is>
          <t>Treatment</t>
        </is>
      </c>
      <c r="D714" s="10" t="inlineStr">
        <is>
          <t>East</t>
        </is>
      </c>
      <c r="E714" s="10" t="inlineStr">
        <is>
          <t>Mobile</t>
        </is>
      </c>
      <c r="F714" s="10" t="inlineStr">
        <is>
          <t>Organic</t>
        </is>
      </c>
      <c r="G714" s="10" t="inlineStr">
        <is>
          <t>Free</t>
        </is>
      </c>
      <c r="H714" s="10" t="n">
        <v>1</v>
      </c>
      <c r="I714" s="10" t="n">
        <v>1</v>
      </c>
      <c r="J714" s="10" t="n">
        <v>1</v>
      </c>
      <c r="K714" s="10" t="n">
        <v>1</v>
      </c>
      <c r="L714" s="10" t="n">
        <v>516.67</v>
      </c>
      <c r="M714" s="10" t="n">
        <v>0</v>
      </c>
      <c r="N714" s="10" t="n">
        <v>0</v>
      </c>
      <c r="O714" s="10" t="n">
        <v>11</v>
      </c>
      <c r="P714" s="10" t="n">
        <v>57.9</v>
      </c>
      <c r="Q714" s="10">
        <f>A714&amp;"|"&amp;B714&amp;"|"&amp;C714&amp;"|"&amp;D714&amp;"|"&amp;E714&amp;"|"&amp;F714&amp;"|"&amp;G714&amp;"|"&amp;H714&amp;"|"&amp;I714&amp;"|"&amp;J714&amp;"|"&amp;K714&amp;"|"&amp;L714&amp;"|"&amp;M714&amp;"|"&amp;N714&amp;"|"&amp;O714&amp;"|"&amp;P714</f>
        <v/>
      </c>
      <c r="R714" s="10">
        <f>IF(COUNTIF($Q$2:$Q$1409,Q714)&gt;1,IF(COUNTIF($Q$2:Q714,Q714)=1,"Exact Duplicate - Keep First","Exact Duplicate - Remove"),"Unique")</f>
        <v/>
      </c>
    </row>
    <row r="715" ht="15" customHeight="1" s="11">
      <c r="A715" s="10" t="inlineStr">
        <is>
          <t>USR-100714</t>
        </is>
      </c>
      <c r="B715" s="14" t="n">
        <v>45767</v>
      </c>
      <c r="C715" s="10" t="inlineStr">
        <is>
          <t>Treatment</t>
        </is>
      </c>
      <c r="D715" s="10" t="inlineStr">
        <is>
          <t>South</t>
        </is>
      </c>
      <c r="E715" s="10" t="inlineStr">
        <is>
          <t>Mobile</t>
        </is>
      </c>
      <c r="F715" s="10" t="inlineStr">
        <is>
          <t>Referral</t>
        </is>
      </c>
      <c r="G715" s="10" t="inlineStr">
        <is>
          <t>Free</t>
        </is>
      </c>
      <c r="H715" s="10" t="n">
        <v>1</v>
      </c>
      <c r="I715" s="10" t="n">
        <v>1</v>
      </c>
      <c r="J715" s="10" t="n">
        <v>1</v>
      </c>
      <c r="K715" s="10" t="n">
        <v>1</v>
      </c>
      <c r="L715" s="10" t="n">
        <v>277.18</v>
      </c>
      <c r="M715" s="10" t="n">
        <v>2</v>
      </c>
      <c r="N715" s="10" t="n">
        <v>0</v>
      </c>
      <c r="O715" s="10" t="n">
        <v>8</v>
      </c>
      <c r="P715" s="10" t="n">
        <v>59.2</v>
      </c>
      <c r="Q715" s="10">
        <f>A715&amp;"|"&amp;B715&amp;"|"&amp;C715&amp;"|"&amp;D715&amp;"|"&amp;E715&amp;"|"&amp;F715&amp;"|"&amp;G715&amp;"|"&amp;H715&amp;"|"&amp;I715&amp;"|"&amp;J715&amp;"|"&amp;K715&amp;"|"&amp;L715&amp;"|"&amp;M715&amp;"|"&amp;N715&amp;"|"&amp;O715&amp;"|"&amp;P715</f>
        <v/>
      </c>
      <c r="R715" s="10">
        <f>IF(COUNTIF($Q$2:$Q$1409,Q715)&gt;1,IF(COUNTIF($Q$2:Q715,Q715)=1,"Exact Duplicate - Keep First","Exact Duplicate - Remove"),"Unique")</f>
        <v/>
      </c>
    </row>
    <row r="716" ht="15" customHeight="1" s="11">
      <c r="A716" s="10" t="inlineStr">
        <is>
          <t>USR-100715</t>
        </is>
      </c>
      <c r="B716" s="14" t="n">
        <v>45703</v>
      </c>
      <c r="C716" s="10" t="inlineStr">
        <is>
          <t>Treatment</t>
        </is>
      </c>
      <c r="D716" s="10" t="inlineStr">
        <is>
          <t>South</t>
        </is>
      </c>
      <c r="E716" s="10" t="inlineStr">
        <is>
          <t>Mobile</t>
        </is>
      </c>
      <c r="F716" s="10" t="inlineStr">
        <is>
          <t>Organic</t>
        </is>
      </c>
      <c r="G716" s="10" t="inlineStr">
        <is>
          <t>Free</t>
        </is>
      </c>
      <c r="H716" s="10" t="n">
        <v>0</v>
      </c>
      <c r="I716" s="10" t="n">
        <v>0</v>
      </c>
      <c r="J716" s="10" t="n">
        <v>0</v>
      </c>
      <c r="K716" s="10" t="n">
        <v>0</v>
      </c>
      <c r="L716" s="10" t="n">
        <v>0</v>
      </c>
      <c r="M716" s="10" t="n">
        <v>0</v>
      </c>
      <c r="N716" s="10" t="n">
        <v>0</v>
      </c>
      <c r="P716" s="10" t="n">
        <v>64.2</v>
      </c>
      <c r="Q716" s="10">
        <f>A716&amp;"|"&amp;B716&amp;"|"&amp;C716&amp;"|"&amp;D716&amp;"|"&amp;E716&amp;"|"&amp;F716&amp;"|"&amp;G716&amp;"|"&amp;H716&amp;"|"&amp;I716&amp;"|"&amp;J716&amp;"|"&amp;K716&amp;"|"&amp;L716&amp;"|"&amp;M716&amp;"|"&amp;N716&amp;"|"&amp;O716&amp;"|"&amp;P716</f>
        <v/>
      </c>
      <c r="R716" s="10">
        <f>IF(COUNTIF($Q$2:$Q$1409,Q716)&gt;1,IF(COUNTIF($Q$2:Q716,Q716)=1,"Exact Duplicate - Keep First","Exact Duplicate - Remove"),"Unique")</f>
        <v/>
      </c>
    </row>
    <row r="717" ht="15" customHeight="1" s="11">
      <c r="A717" s="10" t="inlineStr">
        <is>
          <t>USR-100716</t>
        </is>
      </c>
      <c r="B717" s="14" t="n">
        <v>45678</v>
      </c>
      <c r="C717" s="10" t="inlineStr">
        <is>
          <t>Treatment</t>
        </is>
      </c>
      <c r="D717" s="10" t="inlineStr">
        <is>
          <t>South</t>
        </is>
      </c>
      <c r="E717" s="10" t="inlineStr">
        <is>
          <t>Mobile</t>
        </is>
      </c>
      <c r="F717" s="10" t="inlineStr">
        <is>
          <t>Organic</t>
        </is>
      </c>
      <c r="G717" s="10" t="inlineStr">
        <is>
          <t>Free</t>
        </is>
      </c>
      <c r="H717" s="10" t="n">
        <v>1</v>
      </c>
      <c r="I717" s="10" t="n">
        <v>0</v>
      </c>
      <c r="J717" s="10" t="n">
        <v>0</v>
      </c>
      <c r="K717" s="10" t="n">
        <v>0</v>
      </c>
      <c r="L717" s="10" t="n">
        <v>0</v>
      </c>
      <c r="M717" s="10" t="n">
        <v>0</v>
      </c>
      <c r="N717" s="10" t="n">
        <v>0</v>
      </c>
      <c r="P717" s="10" t="n">
        <v>68.8</v>
      </c>
      <c r="Q717" s="10">
        <f>A717&amp;"|"&amp;B717&amp;"|"&amp;C717&amp;"|"&amp;D717&amp;"|"&amp;E717&amp;"|"&amp;F717&amp;"|"&amp;G717&amp;"|"&amp;H717&amp;"|"&amp;I717&amp;"|"&amp;J717&amp;"|"&amp;K717&amp;"|"&amp;L717&amp;"|"&amp;M717&amp;"|"&amp;N717&amp;"|"&amp;O717&amp;"|"&amp;P717</f>
        <v/>
      </c>
      <c r="R717" s="10">
        <f>IF(COUNTIF($Q$2:$Q$1409,Q717)&gt;1,IF(COUNTIF($Q$2:Q717,Q717)=1,"Exact Duplicate - Keep First","Exact Duplicate - Remove"),"Unique")</f>
        <v/>
      </c>
    </row>
    <row r="718" ht="15" customHeight="1" s="11">
      <c r="A718" s="10" t="inlineStr">
        <is>
          <t>USR-100717</t>
        </is>
      </c>
      <c r="B718" s="14" t="n">
        <v>45800</v>
      </c>
      <c r="C718" s="10" t="inlineStr">
        <is>
          <t>Treatment</t>
        </is>
      </c>
      <c r="D718" s="10" t="inlineStr">
        <is>
          <t>North</t>
        </is>
      </c>
      <c r="E718" s="10" t="inlineStr">
        <is>
          <t>Mobile</t>
        </is>
      </c>
      <c r="F718" s="10" t="inlineStr">
        <is>
          <t>Paid Search</t>
        </is>
      </c>
      <c r="G718" s="10" t="inlineStr">
        <is>
          <t>Premium</t>
        </is>
      </c>
      <c r="H718" s="10" t="n">
        <v>1</v>
      </c>
      <c r="I718" s="10" t="n">
        <v>1</v>
      </c>
      <c r="J718" s="10" t="n">
        <v>1</v>
      </c>
      <c r="K718" s="10" t="n">
        <v>0</v>
      </c>
      <c r="L718" s="10" t="n">
        <v>0</v>
      </c>
      <c r="M718" s="10" t="n">
        <v>0</v>
      </c>
      <c r="N718" s="10" t="n">
        <v>0</v>
      </c>
      <c r="P718" s="10" t="n">
        <v>77.90000000000001</v>
      </c>
      <c r="Q718" s="10">
        <f>A718&amp;"|"&amp;B718&amp;"|"&amp;C718&amp;"|"&amp;D718&amp;"|"&amp;E718&amp;"|"&amp;F718&amp;"|"&amp;G718&amp;"|"&amp;H718&amp;"|"&amp;I718&amp;"|"&amp;J718&amp;"|"&amp;K718&amp;"|"&amp;L718&amp;"|"&amp;M718&amp;"|"&amp;N718&amp;"|"&amp;O718&amp;"|"&amp;P718</f>
        <v/>
      </c>
      <c r="R718" s="10">
        <f>IF(COUNTIF($Q$2:$Q$1409,Q718)&gt;1,IF(COUNTIF($Q$2:Q718,Q718)=1,"Exact Duplicate - Keep First","Exact Duplicate - Remove"),"Unique")</f>
        <v/>
      </c>
    </row>
    <row r="719" ht="15" customHeight="1" s="11">
      <c r="A719" s="10" t="inlineStr">
        <is>
          <t>USR-100718</t>
        </is>
      </c>
      <c r="B719" s="14" t="n">
        <v>45679</v>
      </c>
      <c r="C719" s="10" t="inlineStr">
        <is>
          <t>Treatment</t>
        </is>
      </c>
      <c r="D719" s="10" t="inlineStr">
        <is>
          <t>West</t>
        </is>
      </c>
      <c r="E719" s="10" t="inlineStr">
        <is>
          <t>Mobile</t>
        </is>
      </c>
      <c r="F719" s="10" t="inlineStr">
        <is>
          <t>Paid Search</t>
        </is>
      </c>
      <c r="G719" s="10" t="inlineStr">
        <is>
          <t>Basic</t>
        </is>
      </c>
      <c r="H719" s="10" t="n">
        <v>0</v>
      </c>
      <c r="I719" s="10" t="n">
        <v>0</v>
      </c>
      <c r="J719" s="10" t="n">
        <v>0</v>
      </c>
      <c r="K719" s="10" t="n">
        <v>0</v>
      </c>
      <c r="L719" s="10" t="n">
        <v>0</v>
      </c>
      <c r="M719" s="10" t="n">
        <v>0</v>
      </c>
      <c r="N719" s="10" t="n">
        <v>0</v>
      </c>
      <c r="P719" s="10" t="n">
        <v>92.09999999999999</v>
      </c>
      <c r="Q719" s="10">
        <f>A719&amp;"|"&amp;B719&amp;"|"&amp;C719&amp;"|"&amp;D719&amp;"|"&amp;E719&amp;"|"&amp;F719&amp;"|"&amp;G719&amp;"|"&amp;H719&amp;"|"&amp;I719&amp;"|"&amp;J719&amp;"|"&amp;K719&amp;"|"&amp;L719&amp;"|"&amp;M719&amp;"|"&amp;N719&amp;"|"&amp;O719&amp;"|"&amp;P719</f>
        <v/>
      </c>
      <c r="R719" s="10">
        <f>IF(COUNTIF($Q$2:$Q$1409,Q719)&gt;1,IF(COUNTIF($Q$2:Q719,Q719)=1,"Exact Duplicate - Keep First","Exact Duplicate - Remove"),"Unique")</f>
        <v/>
      </c>
    </row>
    <row r="720" ht="15" customHeight="1" s="11">
      <c r="A720" s="10" t="inlineStr">
        <is>
          <t>USR-100719</t>
        </is>
      </c>
      <c r="B720" s="14" t="n">
        <v>45771</v>
      </c>
      <c r="C720" s="10" t="inlineStr">
        <is>
          <t>Treatment</t>
        </is>
      </c>
      <c r="D720" s="10" t="inlineStr">
        <is>
          <t>West</t>
        </is>
      </c>
      <c r="E720" s="10" t="inlineStr">
        <is>
          <t>Mobile</t>
        </is>
      </c>
      <c r="F720" s="10" t="inlineStr">
        <is>
          <t>Paid Search</t>
        </is>
      </c>
      <c r="G720" s="10" t="inlineStr">
        <is>
          <t>Premium</t>
        </is>
      </c>
      <c r="H720" s="10" t="n">
        <v>0</v>
      </c>
      <c r="I720" s="10" t="n">
        <v>0</v>
      </c>
      <c r="J720" s="10" t="n">
        <v>0</v>
      </c>
      <c r="K720" s="10" t="n">
        <v>0</v>
      </c>
      <c r="L720" s="10" t="n">
        <v>0</v>
      </c>
      <c r="M720" s="10" t="n">
        <v>0</v>
      </c>
      <c r="N720" s="10" t="n">
        <v>0</v>
      </c>
      <c r="P720" s="10" t="n">
        <v>63.6</v>
      </c>
      <c r="Q720" s="10">
        <f>A720&amp;"|"&amp;B720&amp;"|"&amp;C720&amp;"|"&amp;D720&amp;"|"&amp;E720&amp;"|"&amp;F720&amp;"|"&amp;G720&amp;"|"&amp;H720&amp;"|"&amp;I720&amp;"|"&amp;J720&amp;"|"&amp;K720&amp;"|"&amp;L720&amp;"|"&amp;M720&amp;"|"&amp;N720&amp;"|"&amp;O720&amp;"|"&amp;P720</f>
        <v/>
      </c>
      <c r="R720" s="10">
        <f>IF(COUNTIF($Q$2:$Q$1409,Q720)&gt;1,IF(COUNTIF($Q$2:Q720,Q720)=1,"Exact Duplicate - Keep First","Exact Duplicate - Remove"),"Unique")</f>
        <v/>
      </c>
    </row>
    <row r="721" ht="15" customHeight="1" s="11">
      <c r="A721" s="10" t="inlineStr">
        <is>
          <t>USR-100720</t>
        </is>
      </c>
      <c r="B721" s="14" t="n">
        <v>45674</v>
      </c>
      <c r="C721" s="10" t="inlineStr">
        <is>
          <t>Treatment</t>
        </is>
      </c>
      <c r="D721" s="10" t="inlineStr">
        <is>
          <t>West</t>
        </is>
      </c>
      <c r="E721" s="10" t="inlineStr">
        <is>
          <t>Desktop</t>
        </is>
      </c>
      <c r="F721" s="10" t="inlineStr">
        <is>
          <t>Email</t>
        </is>
      </c>
      <c r="G721" s="10" t="inlineStr">
        <is>
          <t>Free</t>
        </is>
      </c>
      <c r="H721" s="10" t="n">
        <v>0</v>
      </c>
      <c r="I721" s="10" t="n">
        <v>0</v>
      </c>
      <c r="J721" s="10" t="n">
        <v>0</v>
      </c>
      <c r="K721" s="10" t="n">
        <v>0</v>
      </c>
      <c r="L721" s="10" t="n">
        <v>0</v>
      </c>
      <c r="M721" s="10" t="n">
        <v>2</v>
      </c>
      <c r="N721" s="10" t="n">
        <v>0</v>
      </c>
      <c r="P721" s="10" t="n">
        <v>61.6</v>
      </c>
      <c r="Q721" s="10">
        <f>A721&amp;"|"&amp;B721&amp;"|"&amp;C721&amp;"|"&amp;D721&amp;"|"&amp;E721&amp;"|"&amp;F721&amp;"|"&amp;G721&amp;"|"&amp;H721&amp;"|"&amp;I721&amp;"|"&amp;J721&amp;"|"&amp;K721&amp;"|"&amp;L721&amp;"|"&amp;M721&amp;"|"&amp;N721&amp;"|"&amp;O721&amp;"|"&amp;P721</f>
        <v/>
      </c>
      <c r="R721" s="10">
        <f>IF(COUNTIF($Q$2:$Q$1409,Q721)&gt;1,IF(COUNTIF($Q$2:Q721,Q721)=1,"Exact Duplicate - Keep First","Exact Duplicate - Remove"),"Unique")</f>
        <v/>
      </c>
    </row>
    <row r="722" ht="15" customHeight="1" s="11">
      <c r="A722" s="10" t="inlineStr">
        <is>
          <t>USR-100721</t>
        </is>
      </c>
      <c r="B722" s="14" t="n">
        <v>45679</v>
      </c>
      <c r="C722" s="10" t="inlineStr">
        <is>
          <t>Treatment</t>
        </is>
      </c>
      <c r="D722" s="10" t="inlineStr">
        <is>
          <t>East</t>
        </is>
      </c>
      <c r="E722" s="10" t="inlineStr">
        <is>
          <t>Mobile</t>
        </is>
      </c>
      <c r="F722" s="10" t="inlineStr">
        <is>
          <t>Referral</t>
        </is>
      </c>
      <c r="G722" s="10" t="inlineStr">
        <is>
          <t>Basic</t>
        </is>
      </c>
      <c r="H722" s="10" t="n">
        <v>1</v>
      </c>
      <c r="I722" s="10" t="n">
        <v>1</v>
      </c>
      <c r="J722" s="10" t="n">
        <v>0</v>
      </c>
      <c r="K722" s="10" t="n">
        <v>0</v>
      </c>
      <c r="L722" s="10" t="n">
        <v>0</v>
      </c>
      <c r="M722" s="10" t="n">
        <v>0</v>
      </c>
      <c r="N722" s="10" t="n">
        <v>0</v>
      </c>
      <c r="P722" s="10" t="n">
        <v>82.3</v>
      </c>
      <c r="Q722" s="10">
        <f>A722&amp;"|"&amp;B722&amp;"|"&amp;C722&amp;"|"&amp;D722&amp;"|"&amp;E722&amp;"|"&amp;F722&amp;"|"&amp;G722&amp;"|"&amp;H722&amp;"|"&amp;I722&amp;"|"&amp;J722&amp;"|"&amp;K722&amp;"|"&amp;L722&amp;"|"&amp;M722&amp;"|"&amp;N722&amp;"|"&amp;O722&amp;"|"&amp;P722</f>
        <v/>
      </c>
      <c r="R722" s="10">
        <f>IF(COUNTIF($Q$2:$Q$1409,Q722)&gt;1,IF(COUNTIF($Q$2:Q722,Q722)=1,"Exact Duplicate - Keep First","Exact Duplicate - Remove"),"Unique")</f>
        <v/>
      </c>
    </row>
    <row r="723" ht="15" customHeight="1" s="11">
      <c r="A723" s="10" t="inlineStr">
        <is>
          <t>USR-100722</t>
        </is>
      </c>
      <c r="B723" s="14" t="n">
        <v>45781</v>
      </c>
      <c r="C723" s="10" t="inlineStr">
        <is>
          <t>Treatment</t>
        </is>
      </c>
      <c r="D723" s="10" t="inlineStr">
        <is>
          <t>East</t>
        </is>
      </c>
      <c r="E723" s="10" t="inlineStr">
        <is>
          <t>Desktop</t>
        </is>
      </c>
      <c r="F723" s="10" t="inlineStr">
        <is>
          <t>Paid Search</t>
        </is>
      </c>
      <c r="G723" s="10" t="inlineStr">
        <is>
          <t>Free</t>
        </is>
      </c>
      <c r="H723" s="10" t="n">
        <v>1</v>
      </c>
      <c r="I723" s="10" t="n">
        <v>0</v>
      </c>
      <c r="J723" s="10" t="n">
        <v>0</v>
      </c>
      <c r="K723" s="10" t="n">
        <v>0</v>
      </c>
      <c r="L723" s="10" t="n">
        <v>0</v>
      </c>
      <c r="M723" s="10" t="n">
        <v>0</v>
      </c>
      <c r="N723" s="10" t="n">
        <v>0</v>
      </c>
      <c r="P723" s="10" t="n">
        <v>79.3</v>
      </c>
      <c r="Q723" s="10">
        <f>A723&amp;"|"&amp;B723&amp;"|"&amp;C723&amp;"|"&amp;D723&amp;"|"&amp;E723&amp;"|"&amp;F723&amp;"|"&amp;G723&amp;"|"&amp;H723&amp;"|"&amp;I723&amp;"|"&amp;J723&amp;"|"&amp;K723&amp;"|"&amp;L723&amp;"|"&amp;M723&amp;"|"&amp;N723&amp;"|"&amp;O723&amp;"|"&amp;P723</f>
        <v/>
      </c>
      <c r="R723" s="10">
        <f>IF(COUNTIF($Q$2:$Q$1409,Q723)&gt;1,IF(COUNTIF($Q$2:Q723,Q723)=1,"Exact Duplicate - Keep First","Exact Duplicate - Remove"),"Unique")</f>
        <v/>
      </c>
    </row>
    <row r="724" ht="15" customHeight="1" s="11">
      <c r="A724" s="10" t="inlineStr">
        <is>
          <t>USR-100723</t>
        </is>
      </c>
      <c r="B724" s="14" t="n">
        <v>45729</v>
      </c>
      <c r="C724" s="10" t="inlineStr">
        <is>
          <t>Treatment</t>
        </is>
      </c>
      <c r="D724" s="10" t="inlineStr">
        <is>
          <t>South</t>
        </is>
      </c>
      <c r="E724" s="10" t="inlineStr">
        <is>
          <t>Mobile</t>
        </is>
      </c>
      <c r="G724" s="10" t="inlineStr">
        <is>
          <t>Free</t>
        </is>
      </c>
      <c r="H724" s="10" t="n">
        <v>0</v>
      </c>
      <c r="I724" s="10" t="n">
        <v>0</v>
      </c>
      <c r="J724" s="10" t="n">
        <v>0</v>
      </c>
      <c r="K724" s="10" t="n">
        <v>0</v>
      </c>
      <c r="L724" s="10" t="n">
        <v>0</v>
      </c>
      <c r="M724" s="10" t="n">
        <v>0</v>
      </c>
      <c r="N724" s="10" t="n">
        <v>0</v>
      </c>
      <c r="P724" s="10" t="n">
        <v>57.7</v>
      </c>
      <c r="Q724" s="10">
        <f>A724&amp;"|"&amp;B724&amp;"|"&amp;C724&amp;"|"&amp;D724&amp;"|"&amp;E724&amp;"|"&amp;F724&amp;"|"&amp;G724&amp;"|"&amp;H724&amp;"|"&amp;I724&amp;"|"&amp;J724&amp;"|"&amp;K724&amp;"|"&amp;L724&amp;"|"&amp;M724&amp;"|"&amp;N724&amp;"|"&amp;O724&amp;"|"&amp;P724</f>
        <v/>
      </c>
      <c r="R724" s="10">
        <f>IF(COUNTIF($Q$2:$Q$1409,Q724)&gt;1,IF(COUNTIF($Q$2:Q724,Q724)=1,"Exact Duplicate - Keep First","Exact Duplicate - Remove"),"Unique")</f>
        <v/>
      </c>
    </row>
    <row r="725" ht="15" customHeight="1" s="11">
      <c r="A725" s="10" t="inlineStr">
        <is>
          <t>USR-100724</t>
        </is>
      </c>
      <c r="B725" s="14" t="n">
        <v>45659</v>
      </c>
      <c r="C725" s="10" t="inlineStr">
        <is>
          <t>Treatment</t>
        </is>
      </c>
      <c r="D725" s="10" t="inlineStr">
        <is>
          <t>North</t>
        </is>
      </c>
      <c r="E725" s="10" t="inlineStr">
        <is>
          <t>Mobile</t>
        </is>
      </c>
      <c r="F725" s="10" t="inlineStr">
        <is>
          <t>Organic</t>
        </is>
      </c>
      <c r="G725" s="10" t="inlineStr">
        <is>
          <t>Basic</t>
        </is>
      </c>
      <c r="H725" s="10" t="n">
        <v>1</v>
      </c>
      <c r="I725" s="10" t="n">
        <v>0</v>
      </c>
      <c r="J725" s="10" t="n">
        <v>0</v>
      </c>
      <c r="K725" s="10" t="n">
        <v>0</v>
      </c>
      <c r="L725" s="10" t="n">
        <v>0</v>
      </c>
      <c r="M725" s="10" t="n">
        <v>0</v>
      </c>
      <c r="N725" s="10" t="n">
        <v>0</v>
      </c>
      <c r="P725" s="10" t="n">
        <v>63.1</v>
      </c>
      <c r="Q725" s="10">
        <f>A725&amp;"|"&amp;B725&amp;"|"&amp;C725&amp;"|"&amp;D725&amp;"|"&amp;E725&amp;"|"&amp;F725&amp;"|"&amp;G725&amp;"|"&amp;H725&amp;"|"&amp;I725&amp;"|"&amp;J725&amp;"|"&amp;K725&amp;"|"&amp;L725&amp;"|"&amp;M725&amp;"|"&amp;N725&amp;"|"&amp;O725&amp;"|"&amp;P725</f>
        <v/>
      </c>
      <c r="R725" s="10">
        <f>IF(COUNTIF($Q$2:$Q$1409,Q725)&gt;1,IF(COUNTIF($Q$2:Q725,Q725)=1,"Exact Duplicate - Keep First","Exact Duplicate - Remove"),"Unique")</f>
        <v/>
      </c>
    </row>
    <row r="726" ht="15" customHeight="1" s="11">
      <c r="A726" s="10" t="inlineStr">
        <is>
          <t>USR-100725</t>
        </is>
      </c>
      <c r="B726" s="14" t="n">
        <v>45670</v>
      </c>
      <c r="C726" s="10" t="inlineStr">
        <is>
          <t>Treatment</t>
        </is>
      </c>
      <c r="D726" s="10" t="inlineStr">
        <is>
          <t>East</t>
        </is>
      </c>
      <c r="E726" s="10" t="inlineStr">
        <is>
          <t>Mobile</t>
        </is>
      </c>
      <c r="F726" s="10" t="inlineStr">
        <is>
          <t>Paid Search</t>
        </is>
      </c>
      <c r="G726" s="10" t="inlineStr">
        <is>
          <t>Basic</t>
        </is>
      </c>
      <c r="H726" s="10" t="n">
        <v>0</v>
      </c>
      <c r="I726" s="10" t="n">
        <v>0</v>
      </c>
      <c r="J726" s="10" t="n">
        <v>0</v>
      </c>
      <c r="K726" s="10" t="n">
        <v>0</v>
      </c>
      <c r="L726" s="10" t="n">
        <v>0</v>
      </c>
      <c r="M726" s="10" t="n">
        <v>0</v>
      </c>
      <c r="N726" s="10" t="n">
        <v>0</v>
      </c>
      <c r="P726" s="10" t="n">
        <v>72.3</v>
      </c>
      <c r="Q726" s="10">
        <f>A726&amp;"|"&amp;B726&amp;"|"&amp;C726&amp;"|"&amp;D726&amp;"|"&amp;E726&amp;"|"&amp;F726&amp;"|"&amp;G726&amp;"|"&amp;H726&amp;"|"&amp;I726&amp;"|"&amp;J726&amp;"|"&amp;K726&amp;"|"&amp;L726&amp;"|"&amp;M726&amp;"|"&amp;N726&amp;"|"&amp;O726&amp;"|"&amp;P726</f>
        <v/>
      </c>
      <c r="R726" s="10">
        <f>IF(COUNTIF($Q$2:$Q$1409,Q726)&gt;1,IF(COUNTIF($Q$2:Q726,Q726)=1,"Exact Duplicate - Keep First","Exact Duplicate - Remove"),"Unique")</f>
        <v/>
      </c>
    </row>
    <row r="727" ht="15" customHeight="1" s="11">
      <c r="A727" s="10" t="inlineStr">
        <is>
          <t>USR-100726</t>
        </is>
      </c>
      <c r="B727" s="14" t="n">
        <v>45697</v>
      </c>
      <c r="C727" s="10" t="inlineStr">
        <is>
          <t>Treatment</t>
        </is>
      </c>
      <c r="D727" s="10" t="inlineStr">
        <is>
          <t>East</t>
        </is>
      </c>
      <c r="E727" s="10" t="inlineStr">
        <is>
          <t>Mobile</t>
        </is>
      </c>
      <c r="F727" s="10" t="inlineStr">
        <is>
          <t>Social</t>
        </is>
      </c>
      <c r="G727" s="10" t="inlineStr">
        <is>
          <t>Free</t>
        </is>
      </c>
      <c r="H727" s="10" t="n">
        <v>1</v>
      </c>
      <c r="I727" s="10" t="n">
        <v>1</v>
      </c>
      <c r="J727" s="10" t="n">
        <v>1</v>
      </c>
      <c r="K727" s="10" t="n">
        <v>0</v>
      </c>
      <c r="L727" s="10" t="n">
        <v>0</v>
      </c>
      <c r="M727" s="10" t="n">
        <v>0</v>
      </c>
      <c r="N727" s="10" t="n">
        <v>0</v>
      </c>
      <c r="P727" s="10" t="n">
        <v>78</v>
      </c>
      <c r="Q727" s="10">
        <f>A727&amp;"|"&amp;B727&amp;"|"&amp;C727&amp;"|"&amp;D727&amp;"|"&amp;E727&amp;"|"&amp;F727&amp;"|"&amp;G727&amp;"|"&amp;H727&amp;"|"&amp;I727&amp;"|"&amp;J727&amp;"|"&amp;K727&amp;"|"&amp;L727&amp;"|"&amp;M727&amp;"|"&amp;N727&amp;"|"&amp;O727&amp;"|"&amp;P727</f>
        <v/>
      </c>
      <c r="R727" s="10">
        <f>IF(COUNTIF($Q$2:$Q$1409,Q727)&gt;1,IF(COUNTIF($Q$2:Q727,Q727)=1,"Exact Duplicate - Keep First","Exact Duplicate - Remove"),"Unique")</f>
        <v/>
      </c>
    </row>
    <row r="728" ht="15" customHeight="1" s="11">
      <c r="A728" s="10" t="inlineStr">
        <is>
          <t>USR-100727</t>
        </is>
      </c>
      <c r="B728" s="14" t="n">
        <v>45756</v>
      </c>
      <c r="C728" s="10" t="inlineStr">
        <is>
          <t>Treatment</t>
        </is>
      </c>
      <c r="D728" s="10" t="inlineStr">
        <is>
          <t>East</t>
        </is>
      </c>
      <c r="E728" s="10" t="inlineStr">
        <is>
          <t>Desktop</t>
        </is>
      </c>
      <c r="F728" s="10" t="inlineStr">
        <is>
          <t>Social</t>
        </is>
      </c>
      <c r="G728" s="10" t="inlineStr">
        <is>
          <t>Free</t>
        </is>
      </c>
      <c r="H728" s="10" t="n">
        <v>1</v>
      </c>
      <c r="I728" s="10" t="n">
        <v>1</v>
      </c>
      <c r="J728" s="10" t="n">
        <v>0</v>
      </c>
      <c r="K728" s="10" t="n">
        <v>0</v>
      </c>
      <c r="L728" s="10" t="n">
        <v>0</v>
      </c>
      <c r="M728" s="10" t="n">
        <v>2</v>
      </c>
      <c r="N728" s="10" t="n">
        <v>0</v>
      </c>
      <c r="P728" s="10" t="n">
        <v>59.1</v>
      </c>
      <c r="Q728" s="10">
        <f>A728&amp;"|"&amp;B728&amp;"|"&amp;C728&amp;"|"&amp;D728&amp;"|"&amp;E728&amp;"|"&amp;F728&amp;"|"&amp;G728&amp;"|"&amp;H728&amp;"|"&amp;I728&amp;"|"&amp;J728&amp;"|"&amp;K728&amp;"|"&amp;L728&amp;"|"&amp;M728&amp;"|"&amp;N728&amp;"|"&amp;O728&amp;"|"&amp;P728</f>
        <v/>
      </c>
      <c r="R728" s="10">
        <f>IF(COUNTIF($Q$2:$Q$1409,Q728)&gt;1,IF(COUNTIF($Q$2:Q728,Q728)=1,"Exact Duplicate - Keep First","Exact Duplicate - Remove"),"Unique")</f>
        <v/>
      </c>
    </row>
    <row r="729" ht="15" customHeight="1" s="11">
      <c r="A729" s="10" t="inlineStr">
        <is>
          <t>USR-100728</t>
        </is>
      </c>
      <c r="B729" s="14" t="n">
        <v>45659</v>
      </c>
      <c r="C729" s="10" t="inlineStr">
        <is>
          <t>Treatment</t>
        </is>
      </c>
      <c r="D729" s="10" t="inlineStr">
        <is>
          <t>South</t>
        </is>
      </c>
      <c r="E729" s="10" t="inlineStr">
        <is>
          <t>Mobile</t>
        </is>
      </c>
      <c r="F729" s="10" t="inlineStr">
        <is>
          <t>Paid Search</t>
        </is>
      </c>
      <c r="G729" s="10" t="inlineStr">
        <is>
          <t>Free</t>
        </is>
      </c>
      <c r="H729" s="10" t="n">
        <v>1</v>
      </c>
      <c r="I729" s="10" t="n">
        <v>1</v>
      </c>
      <c r="J729" s="10" t="n">
        <v>1</v>
      </c>
      <c r="K729" s="10" t="n">
        <v>1</v>
      </c>
      <c r="L729" s="10" t="n">
        <v>604.09</v>
      </c>
      <c r="M729" s="10" t="n">
        <v>0</v>
      </c>
      <c r="N729" s="10" t="n">
        <v>0</v>
      </c>
      <c r="O729" s="10" t="n">
        <v>7</v>
      </c>
      <c r="P729" s="10" t="n">
        <v>47.1</v>
      </c>
      <c r="Q729" s="10">
        <f>A729&amp;"|"&amp;B729&amp;"|"&amp;C729&amp;"|"&amp;D729&amp;"|"&amp;E729&amp;"|"&amp;F729&amp;"|"&amp;G729&amp;"|"&amp;H729&amp;"|"&amp;I729&amp;"|"&amp;J729&amp;"|"&amp;K729&amp;"|"&amp;L729&amp;"|"&amp;M729&amp;"|"&amp;N729&amp;"|"&amp;O729&amp;"|"&amp;P729</f>
        <v/>
      </c>
      <c r="R729" s="10">
        <f>IF(COUNTIF($Q$2:$Q$1409,Q729)&gt;1,IF(COUNTIF($Q$2:Q729,Q729)=1,"Exact Duplicate - Keep First","Exact Duplicate - Remove"),"Unique")</f>
        <v/>
      </c>
    </row>
    <row r="730" ht="15" customHeight="1" s="11">
      <c r="A730" s="10" t="inlineStr">
        <is>
          <t>USR-100729</t>
        </is>
      </c>
      <c r="B730" s="14" t="n">
        <v>45692</v>
      </c>
      <c r="C730" s="10" t="inlineStr">
        <is>
          <t>Treatment</t>
        </is>
      </c>
      <c r="D730" s="10" t="inlineStr">
        <is>
          <t>South</t>
        </is>
      </c>
      <c r="E730" s="10" t="inlineStr">
        <is>
          <t>Mobile</t>
        </is>
      </c>
      <c r="G730" s="10" t="inlineStr">
        <is>
          <t>Premium</t>
        </is>
      </c>
      <c r="H730" s="10" t="n">
        <v>1</v>
      </c>
      <c r="I730" s="10" t="n">
        <v>0</v>
      </c>
      <c r="J730" s="10" t="n">
        <v>0</v>
      </c>
      <c r="K730" s="10" t="n">
        <v>0</v>
      </c>
      <c r="L730" s="10" t="n">
        <v>0</v>
      </c>
      <c r="M730" s="10" t="n">
        <v>0</v>
      </c>
      <c r="N730" s="10" t="n">
        <v>0</v>
      </c>
      <c r="P730" s="10" t="n">
        <v>64.90000000000001</v>
      </c>
      <c r="Q730" s="10">
        <f>A730&amp;"|"&amp;B730&amp;"|"&amp;C730&amp;"|"&amp;D730&amp;"|"&amp;E730&amp;"|"&amp;F730&amp;"|"&amp;G730&amp;"|"&amp;H730&amp;"|"&amp;I730&amp;"|"&amp;J730&amp;"|"&amp;K730&amp;"|"&amp;L730&amp;"|"&amp;M730&amp;"|"&amp;N730&amp;"|"&amp;O730&amp;"|"&amp;P730</f>
        <v/>
      </c>
      <c r="R730" s="10">
        <f>IF(COUNTIF($Q$2:$Q$1409,Q730)&gt;1,IF(COUNTIF($Q$2:Q730,Q730)=1,"Exact Duplicate - Keep First","Exact Duplicate - Remove"),"Unique")</f>
        <v/>
      </c>
    </row>
    <row r="731" ht="15" customHeight="1" s="11">
      <c r="A731" s="10" t="inlineStr">
        <is>
          <t>USR-100730</t>
        </is>
      </c>
      <c r="B731" s="14" t="n">
        <v>45707</v>
      </c>
      <c r="C731" s="10" t="inlineStr">
        <is>
          <t>Treatment</t>
        </is>
      </c>
      <c r="D731" s="10" t="inlineStr">
        <is>
          <t>South</t>
        </is>
      </c>
      <c r="E731" s="10" t="inlineStr">
        <is>
          <t>Tablet</t>
        </is>
      </c>
      <c r="F731" s="10" t="inlineStr">
        <is>
          <t>Paid Search</t>
        </is>
      </c>
      <c r="G731" s="10" t="inlineStr">
        <is>
          <t>Free</t>
        </is>
      </c>
      <c r="H731" s="10" t="n">
        <v>0</v>
      </c>
      <c r="I731" s="10" t="n">
        <v>0</v>
      </c>
      <c r="J731" s="10" t="n">
        <v>0</v>
      </c>
      <c r="K731" s="10" t="n">
        <v>0</v>
      </c>
      <c r="L731" s="10" t="n">
        <v>0</v>
      </c>
      <c r="M731" s="10" t="n">
        <v>0</v>
      </c>
      <c r="N731" s="10" t="n">
        <v>0</v>
      </c>
      <c r="P731" s="10" t="n">
        <v>67.3</v>
      </c>
      <c r="Q731" s="10">
        <f>A731&amp;"|"&amp;B731&amp;"|"&amp;C731&amp;"|"&amp;D731&amp;"|"&amp;E731&amp;"|"&amp;F731&amp;"|"&amp;G731&amp;"|"&amp;H731&amp;"|"&amp;I731&amp;"|"&amp;J731&amp;"|"&amp;K731&amp;"|"&amp;L731&amp;"|"&amp;M731&amp;"|"&amp;N731&amp;"|"&amp;O731&amp;"|"&amp;P731</f>
        <v/>
      </c>
      <c r="R731" s="10">
        <f>IF(COUNTIF($Q$2:$Q$1409,Q731)&gt;1,IF(COUNTIF($Q$2:Q731,Q731)=1,"Exact Duplicate - Keep First","Exact Duplicate - Remove"),"Unique")</f>
        <v/>
      </c>
    </row>
    <row r="732" ht="15" customHeight="1" s="11">
      <c r="A732" s="10" t="inlineStr">
        <is>
          <t>USR-100731</t>
        </is>
      </c>
      <c r="B732" s="14" t="n">
        <v>45748</v>
      </c>
      <c r="C732" s="10" t="inlineStr">
        <is>
          <t>Treatment</t>
        </is>
      </c>
      <c r="D732" s="10" t="inlineStr">
        <is>
          <t>East</t>
        </is>
      </c>
      <c r="E732" s="10" t="inlineStr">
        <is>
          <t>Mobile</t>
        </is>
      </c>
      <c r="F732" s="10" t="inlineStr">
        <is>
          <t>Paid Search</t>
        </is>
      </c>
      <c r="G732" s="10" t="inlineStr">
        <is>
          <t>Basic</t>
        </is>
      </c>
      <c r="H732" s="10" t="n">
        <v>1</v>
      </c>
      <c r="I732" s="10" t="n">
        <v>0</v>
      </c>
      <c r="J732" s="10" t="n">
        <v>0</v>
      </c>
      <c r="K732" s="10" t="n">
        <v>0</v>
      </c>
      <c r="L732" s="10" t="n">
        <v>0</v>
      </c>
      <c r="M732" s="10" t="n">
        <v>2</v>
      </c>
      <c r="N732" s="10" t="n">
        <v>0</v>
      </c>
      <c r="P732" s="10" t="n">
        <v>52.9</v>
      </c>
      <c r="Q732" s="10">
        <f>A732&amp;"|"&amp;B732&amp;"|"&amp;C732&amp;"|"&amp;D732&amp;"|"&amp;E732&amp;"|"&amp;F732&amp;"|"&amp;G732&amp;"|"&amp;H732&amp;"|"&amp;I732&amp;"|"&amp;J732&amp;"|"&amp;K732&amp;"|"&amp;L732&amp;"|"&amp;M732&amp;"|"&amp;N732&amp;"|"&amp;O732&amp;"|"&amp;P732</f>
        <v/>
      </c>
      <c r="R732" s="10">
        <f>IF(COUNTIF($Q$2:$Q$1409,Q732)&gt;1,IF(COUNTIF($Q$2:Q732,Q732)=1,"Exact Duplicate - Keep First","Exact Duplicate - Remove"),"Unique")</f>
        <v/>
      </c>
    </row>
    <row r="733" ht="15" customHeight="1" s="11">
      <c r="A733" s="10" t="inlineStr">
        <is>
          <t>USR-100732</t>
        </is>
      </c>
      <c r="B733" s="14" t="n">
        <v>45686</v>
      </c>
      <c r="C733" s="10" t="inlineStr">
        <is>
          <t>Treatment</t>
        </is>
      </c>
      <c r="D733" s="10" t="inlineStr">
        <is>
          <t>North</t>
        </is>
      </c>
      <c r="E733" s="10" t="inlineStr">
        <is>
          <t>Mobile</t>
        </is>
      </c>
      <c r="F733" s="10" t="inlineStr">
        <is>
          <t>Referral</t>
        </is>
      </c>
      <c r="G733" s="10" t="inlineStr">
        <is>
          <t>Free</t>
        </is>
      </c>
      <c r="H733" s="10" t="n">
        <v>1</v>
      </c>
      <c r="I733" s="10" t="n">
        <v>1</v>
      </c>
      <c r="J733" s="10" t="n">
        <v>1</v>
      </c>
      <c r="K733" s="10" t="n">
        <v>1</v>
      </c>
      <c r="L733" s="10" t="n">
        <v>442.37</v>
      </c>
      <c r="M733" s="10" t="n">
        <v>1</v>
      </c>
      <c r="N733" s="10" t="n">
        <v>0</v>
      </c>
      <c r="O733" s="10" t="n">
        <v>4</v>
      </c>
      <c r="P733" s="10" t="n">
        <v>69.90000000000001</v>
      </c>
      <c r="Q733" s="10">
        <f>A733&amp;"|"&amp;B733&amp;"|"&amp;C733&amp;"|"&amp;D733&amp;"|"&amp;E733&amp;"|"&amp;F733&amp;"|"&amp;G733&amp;"|"&amp;H733&amp;"|"&amp;I733&amp;"|"&amp;J733&amp;"|"&amp;K733&amp;"|"&amp;L733&amp;"|"&amp;M733&amp;"|"&amp;N733&amp;"|"&amp;O733&amp;"|"&amp;P733</f>
        <v/>
      </c>
      <c r="R733" s="10">
        <f>IF(COUNTIF($Q$2:$Q$1409,Q733)&gt;1,IF(COUNTIF($Q$2:Q733,Q733)=1,"Exact Duplicate - Keep First","Exact Duplicate - Remove"),"Unique")</f>
        <v/>
      </c>
    </row>
    <row r="734" ht="15" customHeight="1" s="11">
      <c r="A734" s="10" t="inlineStr">
        <is>
          <t>USR-100733</t>
        </is>
      </c>
      <c r="B734" s="14" t="n">
        <v>45795</v>
      </c>
      <c r="C734" s="10" t="inlineStr">
        <is>
          <t>Treatment</t>
        </is>
      </c>
      <c r="D734" s="10" t="inlineStr">
        <is>
          <t>North</t>
        </is>
      </c>
      <c r="E734" s="10" t="inlineStr">
        <is>
          <t>Mobile</t>
        </is>
      </c>
      <c r="F734" s="10" t="inlineStr">
        <is>
          <t>Referral</t>
        </is>
      </c>
      <c r="G734" s="10" t="inlineStr">
        <is>
          <t>Basic</t>
        </is>
      </c>
      <c r="H734" s="10" t="n">
        <v>1</v>
      </c>
      <c r="I734" s="10" t="n">
        <v>1</v>
      </c>
      <c r="J734" s="10" t="n">
        <v>1</v>
      </c>
      <c r="K734" s="10" t="n">
        <v>0</v>
      </c>
      <c r="L734" s="10" t="n">
        <v>0</v>
      </c>
      <c r="M734" s="10" t="n">
        <v>0</v>
      </c>
      <c r="N734" s="10" t="n">
        <v>0</v>
      </c>
      <c r="P734" s="10" t="n">
        <v>78.90000000000001</v>
      </c>
      <c r="Q734" s="10">
        <f>A734&amp;"|"&amp;B734&amp;"|"&amp;C734&amp;"|"&amp;D734&amp;"|"&amp;E734&amp;"|"&amp;F734&amp;"|"&amp;G734&amp;"|"&amp;H734&amp;"|"&amp;I734&amp;"|"&amp;J734&amp;"|"&amp;K734&amp;"|"&amp;L734&amp;"|"&amp;M734&amp;"|"&amp;N734&amp;"|"&amp;O734&amp;"|"&amp;P734</f>
        <v/>
      </c>
      <c r="R734" s="10">
        <f>IF(COUNTIF($Q$2:$Q$1409,Q734)&gt;1,IF(COUNTIF($Q$2:Q734,Q734)=1,"Exact Duplicate - Keep First","Exact Duplicate - Remove"),"Unique")</f>
        <v/>
      </c>
    </row>
    <row r="735" ht="15" customHeight="1" s="11">
      <c r="A735" s="10" t="inlineStr">
        <is>
          <t>USR-100734</t>
        </is>
      </c>
      <c r="B735" s="14" t="n">
        <v>45762</v>
      </c>
      <c r="C735" s="10" t="inlineStr">
        <is>
          <t>Treatment</t>
        </is>
      </c>
      <c r="D735" s="10" t="inlineStr">
        <is>
          <t>East</t>
        </is>
      </c>
      <c r="E735" s="10" t="inlineStr">
        <is>
          <t>Desktop</t>
        </is>
      </c>
      <c r="F735" s="10" t="inlineStr">
        <is>
          <t>Social</t>
        </is>
      </c>
      <c r="G735" s="10" t="inlineStr">
        <is>
          <t>Premium</t>
        </is>
      </c>
      <c r="H735" s="10" t="n">
        <v>1</v>
      </c>
      <c r="I735" s="10" t="n">
        <v>1</v>
      </c>
      <c r="J735" s="10" t="n">
        <v>0</v>
      </c>
      <c r="K735" s="10" t="n">
        <v>0</v>
      </c>
      <c r="L735" s="10" t="n">
        <v>0</v>
      </c>
      <c r="M735" s="10" t="n">
        <v>0</v>
      </c>
      <c r="N735" s="10" t="n">
        <v>0</v>
      </c>
      <c r="P735" s="10" t="n">
        <v>83.3</v>
      </c>
      <c r="Q735" s="10">
        <f>A735&amp;"|"&amp;B735&amp;"|"&amp;C735&amp;"|"&amp;D735&amp;"|"&amp;E735&amp;"|"&amp;F735&amp;"|"&amp;G735&amp;"|"&amp;H735&amp;"|"&amp;I735&amp;"|"&amp;J735&amp;"|"&amp;K735&amp;"|"&amp;L735&amp;"|"&amp;M735&amp;"|"&amp;N735&amp;"|"&amp;O735&amp;"|"&amp;P735</f>
        <v/>
      </c>
      <c r="R735" s="10">
        <f>IF(COUNTIF($Q$2:$Q$1409,Q735)&gt;1,IF(COUNTIF($Q$2:Q735,Q735)=1,"Exact Duplicate - Keep First","Exact Duplicate - Remove"),"Unique")</f>
        <v/>
      </c>
    </row>
    <row r="736" ht="15" customHeight="1" s="11">
      <c r="A736" s="10" t="inlineStr">
        <is>
          <t>USR-100735</t>
        </is>
      </c>
      <c r="B736" s="14" t="n">
        <v>45744</v>
      </c>
      <c r="C736" s="10" t="inlineStr">
        <is>
          <t>Treatment</t>
        </is>
      </c>
      <c r="D736" s="10" t="inlineStr">
        <is>
          <t>East</t>
        </is>
      </c>
      <c r="E736" s="10" t="inlineStr">
        <is>
          <t>Desktop</t>
        </is>
      </c>
      <c r="F736" s="10" t="inlineStr">
        <is>
          <t>Email</t>
        </is>
      </c>
      <c r="G736" s="10" t="inlineStr">
        <is>
          <t>Free</t>
        </is>
      </c>
      <c r="H736" s="10" t="n">
        <v>1</v>
      </c>
      <c r="I736" s="10" t="n">
        <v>0</v>
      </c>
      <c r="J736" s="10" t="n">
        <v>0</v>
      </c>
      <c r="K736" s="10" t="n">
        <v>0</v>
      </c>
      <c r="L736" s="10" t="n">
        <v>0</v>
      </c>
      <c r="M736" s="10" t="n">
        <v>1</v>
      </c>
      <c r="N736" s="10" t="n">
        <v>0</v>
      </c>
      <c r="P736" s="10" t="n">
        <v>24.5</v>
      </c>
      <c r="Q736" s="10">
        <f>A736&amp;"|"&amp;B736&amp;"|"&amp;C736&amp;"|"&amp;D736&amp;"|"&amp;E736&amp;"|"&amp;F736&amp;"|"&amp;G736&amp;"|"&amp;H736&amp;"|"&amp;I736&amp;"|"&amp;J736&amp;"|"&amp;K736&amp;"|"&amp;L736&amp;"|"&amp;M736&amp;"|"&amp;N736&amp;"|"&amp;O736&amp;"|"&amp;P736</f>
        <v/>
      </c>
      <c r="R736" s="10">
        <f>IF(COUNTIF($Q$2:$Q$1409,Q736)&gt;1,IF(COUNTIF($Q$2:Q736,Q736)=1,"Exact Duplicate - Keep First","Exact Duplicate - Remove"),"Unique")</f>
        <v/>
      </c>
    </row>
    <row r="737" ht="15" customHeight="1" s="11">
      <c r="A737" s="10" t="inlineStr">
        <is>
          <t>USR-100736</t>
        </is>
      </c>
      <c r="B737" s="14" t="n">
        <v>45748</v>
      </c>
      <c r="C737" s="10" t="inlineStr">
        <is>
          <t>Treatment</t>
        </is>
      </c>
      <c r="D737" s="10" t="inlineStr">
        <is>
          <t>West</t>
        </is>
      </c>
      <c r="E737" s="10" t="inlineStr">
        <is>
          <t>Mobile</t>
        </is>
      </c>
      <c r="F737" s="10" t="inlineStr">
        <is>
          <t>Paid Search</t>
        </is>
      </c>
      <c r="G737" s="10" t="inlineStr">
        <is>
          <t>Basic</t>
        </is>
      </c>
      <c r="H737" s="10" t="n">
        <v>1</v>
      </c>
      <c r="I737" s="10" t="n">
        <v>1</v>
      </c>
      <c r="J737" s="10" t="n">
        <v>0</v>
      </c>
      <c r="K737" s="10" t="n">
        <v>0</v>
      </c>
      <c r="L737" s="10" t="n">
        <v>0</v>
      </c>
      <c r="M737" s="10" t="n">
        <v>1</v>
      </c>
      <c r="N737" s="10" t="n">
        <v>0</v>
      </c>
      <c r="P737" s="10" t="n">
        <v>56.9</v>
      </c>
      <c r="Q737" s="10">
        <f>A737&amp;"|"&amp;B737&amp;"|"&amp;C737&amp;"|"&amp;D737&amp;"|"&amp;E737&amp;"|"&amp;F737&amp;"|"&amp;G737&amp;"|"&amp;H737&amp;"|"&amp;I737&amp;"|"&amp;J737&amp;"|"&amp;K737&amp;"|"&amp;L737&amp;"|"&amp;M737&amp;"|"&amp;N737&amp;"|"&amp;O737&amp;"|"&amp;P737</f>
        <v/>
      </c>
      <c r="R737" s="10">
        <f>IF(COUNTIF($Q$2:$Q$1409,Q737)&gt;1,IF(COUNTIF($Q$2:Q737,Q737)=1,"Exact Duplicate - Keep First","Exact Duplicate - Remove"),"Unique")</f>
        <v/>
      </c>
    </row>
    <row r="738" ht="15" customHeight="1" s="11">
      <c r="A738" s="10" t="inlineStr">
        <is>
          <t>USR-100737</t>
        </is>
      </c>
      <c r="B738" s="14" t="n">
        <v>45699</v>
      </c>
      <c r="C738" s="10" t="inlineStr">
        <is>
          <t>Treatment</t>
        </is>
      </c>
      <c r="D738" s="10" t="inlineStr">
        <is>
          <t>West</t>
        </is>
      </c>
      <c r="E738" s="10" t="inlineStr">
        <is>
          <t>Mobile</t>
        </is>
      </c>
      <c r="F738" s="10" t="inlineStr">
        <is>
          <t>Social</t>
        </is>
      </c>
      <c r="G738" s="10" t="inlineStr">
        <is>
          <t>Basic</t>
        </is>
      </c>
      <c r="H738" s="10" t="n">
        <v>1</v>
      </c>
      <c r="I738" s="10" t="n">
        <v>0</v>
      </c>
      <c r="J738" s="10" t="n">
        <v>0</v>
      </c>
      <c r="K738" s="10" t="n">
        <v>0</v>
      </c>
      <c r="L738" s="10" t="n">
        <v>0</v>
      </c>
      <c r="M738" s="10" t="n">
        <v>0</v>
      </c>
      <c r="N738" s="10" t="n">
        <v>0</v>
      </c>
      <c r="P738" s="10" t="n">
        <v>69.90000000000001</v>
      </c>
      <c r="Q738" s="10">
        <f>A738&amp;"|"&amp;B738&amp;"|"&amp;C738&amp;"|"&amp;D738&amp;"|"&amp;E738&amp;"|"&amp;F738&amp;"|"&amp;G738&amp;"|"&amp;H738&amp;"|"&amp;I738&amp;"|"&amp;J738&amp;"|"&amp;K738&amp;"|"&amp;L738&amp;"|"&amp;M738&amp;"|"&amp;N738&amp;"|"&amp;O738&amp;"|"&amp;P738</f>
        <v/>
      </c>
      <c r="R738" s="10">
        <f>IF(COUNTIF($Q$2:$Q$1409,Q738)&gt;1,IF(COUNTIF($Q$2:Q738,Q738)=1,"Exact Duplicate - Keep First","Exact Duplicate - Remove"),"Unique")</f>
        <v/>
      </c>
    </row>
    <row r="739" ht="15" customHeight="1" s="11">
      <c r="A739" s="10" t="inlineStr">
        <is>
          <t>USR-100738</t>
        </is>
      </c>
      <c r="B739" s="14" t="n">
        <v>45720</v>
      </c>
      <c r="C739" s="10" t="inlineStr">
        <is>
          <t>Treatment</t>
        </is>
      </c>
      <c r="D739" s="10" t="inlineStr">
        <is>
          <t>South</t>
        </is>
      </c>
      <c r="E739" s="10" t="inlineStr">
        <is>
          <t>Mobile</t>
        </is>
      </c>
      <c r="F739" s="10" t="inlineStr">
        <is>
          <t>Organic</t>
        </is>
      </c>
      <c r="G739" s="10" t="inlineStr">
        <is>
          <t>Free</t>
        </is>
      </c>
      <c r="H739" s="10" t="n">
        <v>1</v>
      </c>
      <c r="I739" s="10" t="n">
        <v>1</v>
      </c>
      <c r="J739" s="10" t="n">
        <v>1</v>
      </c>
      <c r="K739" s="10" t="n">
        <v>0</v>
      </c>
      <c r="L739" s="10" t="n">
        <v>0</v>
      </c>
      <c r="M739" s="10" t="n">
        <v>0</v>
      </c>
      <c r="N739" s="10" t="n">
        <v>0</v>
      </c>
      <c r="P739" s="10" t="n">
        <v>81.5</v>
      </c>
      <c r="Q739" s="10">
        <f>A739&amp;"|"&amp;B739&amp;"|"&amp;C739&amp;"|"&amp;D739&amp;"|"&amp;E739&amp;"|"&amp;F739&amp;"|"&amp;G739&amp;"|"&amp;H739&amp;"|"&amp;I739&amp;"|"&amp;J739&amp;"|"&amp;K739&amp;"|"&amp;L739&amp;"|"&amp;M739&amp;"|"&amp;N739&amp;"|"&amp;O739&amp;"|"&amp;P739</f>
        <v/>
      </c>
      <c r="R739" s="10">
        <f>IF(COUNTIF($Q$2:$Q$1409,Q739)&gt;1,IF(COUNTIF($Q$2:Q739,Q739)=1,"Exact Duplicate - Keep First","Exact Duplicate - Remove"),"Unique")</f>
        <v/>
      </c>
    </row>
    <row r="740" ht="15" customHeight="1" s="11">
      <c r="A740" s="10" t="inlineStr">
        <is>
          <t>USR-100739</t>
        </is>
      </c>
      <c r="B740" s="14" t="n">
        <v>45678</v>
      </c>
      <c r="C740" s="10" t="inlineStr">
        <is>
          <t>Treatment</t>
        </is>
      </c>
      <c r="D740" s="10" t="inlineStr">
        <is>
          <t>North</t>
        </is>
      </c>
      <c r="E740" s="10" t="inlineStr">
        <is>
          <t>Tablet</t>
        </is>
      </c>
      <c r="F740" s="10" t="inlineStr">
        <is>
          <t>Social</t>
        </is>
      </c>
      <c r="G740" s="10" t="inlineStr">
        <is>
          <t>Basic</t>
        </is>
      </c>
      <c r="H740" s="10" t="n">
        <v>0</v>
      </c>
      <c r="I740" s="10" t="n">
        <v>0</v>
      </c>
      <c r="J740" s="10" t="n">
        <v>0</v>
      </c>
      <c r="K740" s="10" t="n">
        <v>0</v>
      </c>
      <c r="L740" s="10" t="n">
        <v>0</v>
      </c>
      <c r="M740" s="10" t="n">
        <v>2</v>
      </c>
      <c r="N740" s="10" t="n">
        <v>0</v>
      </c>
      <c r="P740" s="10" t="n">
        <v>37.9</v>
      </c>
      <c r="Q740" s="10">
        <f>A740&amp;"|"&amp;B740&amp;"|"&amp;C740&amp;"|"&amp;D740&amp;"|"&amp;E740&amp;"|"&amp;F740&amp;"|"&amp;G740&amp;"|"&amp;H740&amp;"|"&amp;I740&amp;"|"&amp;J740&amp;"|"&amp;K740&amp;"|"&amp;L740&amp;"|"&amp;M740&amp;"|"&amp;N740&amp;"|"&amp;O740&amp;"|"&amp;P740</f>
        <v/>
      </c>
      <c r="R740" s="10">
        <f>IF(COUNTIF($Q$2:$Q$1409,Q740)&gt;1,IF(COUNTIF($Q$2:Q740,Q740)=1,"Exact Duplicate - Keep First","Exact Duplicate - Remove"),"Unique")</f>
        <v/>
      </c>
    </row>
    <row r="741" ht="15" customHeight="1" s="11">
      <c r="A741" s="10" t="inlineStr">
        <is>
          <t>USR-100740</t>
        </is>
      </c>
      <c r="B741" s="14" t="n">
        <v>45702</v>
      </c>
      <c r="C741" s="10" t="inlineStr">
        <is>
          <t>Treatment</t>
        </is>
      </c>
      <c r="D741" s="10" t="inlineStr">
        <is>
          <t>North</t>
        </is>
      </c>
      <c r="E741" s="10" t="inlineStr">
        <is>
          <t>Mobile</t>
        </is>
      </c>
      <c r="F741" s="10" t="inlineStr">
        <is>
          <t>Referral</t>
        </is>
      </c>
      <c r="G741" s="10" t="inlineStr">
        <is>
          <t>Free</t>
        </is>
      </c>
      <c r="H741" s="10" t="n">
        <v>0</v>
      </c>
      <c r="I741" s="10" t="n">
        <v>0</v>
      </c>
      <c r="J741" s="10" t="n">
        <v>0</v>
      </c>
      <c r="K741" s="10" t="n">
        <v>0</v>
      </c>
      <c r="L741" s="10" t="n">
        <v>0</v>
      </c>
      <c r="M741" s="10" t="n">
        <v>1</v>
      </c>
      <c r="N741" s="10" t="n">
        <v>0</v>
      </c>
      <c r="P741" s="10" t="n">
        <v>61.7</v>
      </c>
      <c r="Q741" s="10">
        <f>A741&amp;"|"&amp;B741&amp;"|"&amp;C741&amp;"|"&amp;D741&amp;"|"&amp;E741&amp;"|"&amp;F741&amp;"|"&amp;G741&amp;"|"&amp;H741&amp;"|"&amp;I741&amp;"|"&amp;J741&amp;"|"&amp;K741&amp;"|"&amp;L741&amp;"|"&amp;M741&amp;"|"&amp;N741&amp;"|"&amp;O741&amp;"|"&amp;P741</f>
        <v/>
      </c>
      <c r="R741" s="10">
        <f>IF(COUNTIF($Q$2:$Q$1409,Q741)&gt;1,IF(COUNTIF($Q$2:Q741,Q741)=1,"Exact Duplicate - Keep First","Exact Duplicate - Remove"),"Unique")</f>
        <v/>
      </c>
    </row>
    <row r="742" ht="15" customHeight="1" s="11">
      <c r="A742" s="10" t="inlineStr">
        <is>
          <t>USR-100741</t>
        </is>
      </c>
      <c r="B742" s="14" t="n">
        <v>45746</v>
      </c>
      <c r="C742" s="10" t="inlineStr">
        <is>
          <t>Treatment</t>
        </is>
      </c>
      <c r="D742" s="10" t="inlineStr">
        <is>
          <t>North</t>
        </is>
      </c>
      <c r="E742" s="10" t="inlineStr">
        <is>
          <t>Desktop</t>
        </is>
      </c>
      <c r="G742" s="10" t="inlineStr">
        <is>
          <t>Premium</t>
        </is>
      </c>
      <c r="H742" s="10" t="n">
        <v>1</v>
      </c>
      <c r="I742" s="10" t="n">
        <v>0</v>
      </c>
      <c r="J742" s="10" t="n">
        <v>0</v>
      </c>
      <c r="K742" s="10" t="n">
        <v>0</v>
      </c>
      <c r="L742" s="10" t="n">
        <v>0</v>
      </c>
      <c r="M742" s="10" t="n">
        <v>2</v>
      </c>
      <c r="N742" s="10" t="n">
        <v>0</v>
      </c>
      <c r="P742" s="10" t="n">
        <v>53.2</v>
      </c>
      <c r="Q742" s="10">
        <f>A742&amp;"|"&amp;B742&amp;"|"&amp;C742&amp;"|"&amp;D742&amp;"|"&amp;E742&amp;"|"&amp;F742&amp;"|"&amp;G742&amp;"|"&amp;H742&amp;"|"&amp;I742&amp;"|"&amp;J742&amp;"|"&amp;K742&amp;"|"&amp;L742&amp;"|"&amp;M742&amp;"|"&amp;N742&amp;"|"&amp;O742&amp;"|"&amp;P742</f>
        <v/>
      </c>
      <c r="R742" s="10">
        <f>IF(COUNTIF($Q$2:$Q$1409,Q742)&gt;1,IF(COUNTIF($Q$2:Q742,Q742)=1,"Exact Duplicate - Keep First","Exact Duplicate - Remove"),"Unique")</f>
        <v/>
      </c>
    </row>
    <row r="743" ht="15" customHeight="1" s="11">
      <c r="A743" s="10" t="inlineStr">
        <is>
          <t>USR-100742</t>
        </is>
      </c>
      <c r="B743" s="14" t="n">
        <v>45665</v>
      </c>
      <c r="C743" s="10" t="inlineStr">
        <is>
          <t>Treatment</t>
        </is>
      </c>
      <c r="D743" s="10" t="inlineStr">
        <is>
          <t>North</t>
        </is>
      </c>
      <c r="E743" s="10" t="inlineStr">
        <is>
          <t>Mobile</t>
        </is>
      </c>
      <c r="F743" s="10" t="inlineStr">
        <is>
          <t>Referral</t>
        </is>
      </c>
      <c r="G743" s="10" t="inlineStr">
        <is>
          <t>Free</t>
        </is>
      </c>
      <c r="H743" s="10" t="n">
        <v>0</v>
      </c>
      <c r="I743" s="10" t="n">
        <v>0</v>
      </c>
      <c r="J743" s="10" t="n">
        <v>0</v>
      </c>
      <c r="K743" s="10" t="n">
        <v>0</v>
      </c>
      <c r="L743" s="10" t="n">
        <v>0</v>
      </c>
      <c r="M743" s="10" t="n">
        <v>0</v>
      </c>
      <c r="N743" s="10" t="n">
        <v>0</v>
      </c>
      <c r="P743" s="10" t="n">
        <v>61.9</v>
      </c>
      <c r="Q743" s="10">
        <f>A743&amp;"|"&amp;B743&amp;"|"&amp;C743&amp;"|"&amp;D743&amp;"|"&amp;E743&amp;"|"&amp;F743&amp;"|"&amp;G743&amp;"|"&amp;H743&amp;"|"&amp;I743&amp;"|"&amp;J743&amp;"|"&amp;K743&amp;"|"&amp;L743&amp;"|"&amp;M743&amp;"|"&amp;N743&amp;"|"&amp;O743&amp;"|"&amp;P743</f>
        <v/>
      </c>
      <c r="R743" s="10">
        <f>IF(COUNTIF($Q$2:$Q$1409,Q743)&gt;1,IF(COUNTIF($Q$2:Q743,Q743)=1,"Exact Duplicate - Keep First","Exact Duplicate - Remove"),"Unique")</f>
        <v/>
      </c>
    </row>
    <row r="744" ht="15" customHeight="1" s="11">
      <c r="A744" s="10" t="inlineStr">
        <is>
          <t>USR-100743</t>
        </is>
      </c>
      <c r="B744" s="14" t="n">
        <v>45695</v>
      </c>
      <c r="C744" s="10" t="inlineStr">
        <is>
          <t>Treatment</t>
        </is>
      </c>
      <c r="D744" s="10" t="inlineStr">
        <is>
          <t>North</t>
        </is>
      </c>
      <c r="E744" s="10" t="inlineStr">
        <is>
          <t>Mobile</t>
        </is>
      </c>
      <c r="F744" s="10" t="inlineStr">
        <is>
          <t>Social</t>
        </is>
      </c>
      <c r="G744" s="10" t="inlineStr">
        <is>
          <t>Free</t>
        </is>
      </c>
      <c r="H744" s="10" t="n">
        <v>1</v>
      </c>
      <c r="I744" s="10" t="n">
        <v>1</v>
      </c>
      <c r="J744" s="10" t="n">
        <v>1</v>
      </c>
      <c r="K744" s="10" t="n">
        <v>0</v>
      </c>
      <c r="L744" s="10" t="n">
        <v>0</v>
      </c>
      <c r="M744" s="10" t="n">
        <v>0</v>
      </c>
      <c r="N744" s="10" t="n">
        <v>0</v>
      </c>
      <c r="P744" s="10" t="n">
        <v>68.90000000000001</v>
      </c>
      <c r="Q744" s="10">
        <f>A744&amp;"|"&amp;B744&amp;"|"&amp;C744&amp;"|"&amp;D744&amp;"|"&amp;E744&amp;"|"&amp;F744&amp;"|"&amp;G744&amp;"|"&amp;H744&amp;"|"&amp;I744&amp;"|"&amp;J744&amp;"|"&amp;K744&amp;"|"&amp;L744&amp;"|"&amp;M744&amp;"|"&amp;N744&amp;"|"&amp;O744&amp;"|"&amp;P744</f>
        <v/>
      </c>
      <c r="R744" s="10">
        <f>IF(COUNTIF($Q$2:$Q$1409,Q744)&gt;1,IF(COUNTIF($Q$2:Q744,Q744)=1,"Exact Duplicate - Keep First","Exact Duplicate - Remove"),"Unique")</f>
        <v/>
      </c>
    </row>
    <row r="745" ht="15" customHeight="1" s="11">
      <c r="A745" s="10" t="inlineStr">
        <is>
          <t>USR-100744</t>
        </is>
      </c>
      <c r="B745" s="14" t="n">
        <v>45689</v>
      </c>
      <c r="C745" s="10" t="inlineStr">
        <is>
          <t>Treatment</t>
        </is>
      </c>
      <c r="D745" s="10" t="inlineStr">
        <is>
          <t>North</t>
        </is>
      </c>
      <c r="E745" s="10" t="inlineStr">
        <is>
          <t>Tablet</t>
        </is>
      </c>
      <c r="F745" s="10" t="inlineStr">
        <is>
          <t>Paid Search</t>
        </is>
      </c>
      <c r="G745" s="10" t="inlineStr">
        <is>
          <t>Basic</t>
        </is>
      </c>
      <c r="H745" s="10" t="n">
        <v>0</v>
      </c>
      <c r="I745" s="10" t="n">
        <v>0</v>
      </c>
      <c r="J745" s="10" t="n">
        <v>0</v>
      </c>
      <c r="K745" s="10" t="n">
        <v>0</v>
      </c>
      <c r="L745" s="10" t="n">
        <v>0</v>
      </c>
      <c r="M745" s="10" t="n">
        <v>0</v>
      </c>
      <c r="N745" s="10" t="n">
        <v>0</v>
      </c>
      <c r="P745" s="10" t="n">
        <v>66.3</v>
      </c>
      <c r="Q745" s="10">
        <f>A745&amp;"|"&amp;B745&amp;"|"&amp;C745&amp;"|"&amp;D745&amp;"|"&amp;E745&amp;"|"&amp;F745&amp;"|"&amp;G745&amp;"|"&amp;H745&amp;"|"&amp;I745&amp;"|"&amp;J745&amp;"|"&amp;K745&amp;"|"&amp;L745&amp;"|"&amp;M745&amp;"|"&amp;N745&amp;"|"&amp;O745&amp;"|"&amp;P745</f>
        <v/>
      </c>
      <c r="R745" s="10">
        <f>IF(COUNTIF($Q$2:$Q$1409,Q745)&gt;1,IF(COUNTIF($Q$2:Q745,Q745)=1,"Exact Duplicate - Keep First","Exact Duplicate - Remove"),"Unique")</f>
        <v/>
      </c>
    </row>
    <row r="746" ht="15" customHeight="1" s="11">
      <c r="A746" s="10" t="inlineStr">
        <is>
          <t>USR-100745</t>
        </is>
      </c>
      <c r="B746" s="14" t="n">
        <v>45661</v>
      </c>
      <c r="C746" s="10" t="inlineStr">
        <is>
          <t>Treatment</t>
        </is>
      </c>
      <c r="D746" s="10" t="inlineStr">
        <is>
          <t>East</t>
        </is>
      </c>
      <c r="E746" s="10" t="inlineStr">
        <is>
          <t>Mobile</t>
        </is>
      </c>
      <c r="F746" s="10" t="inlineStr">
        <is>
          <t>Email</t>
        </is>
      </c>
      <c r="G746" s="10" t="inlineStr">
        <is>
          <t>Free</t>
        </is>
      </c>
      <c r="H746" s="10" t="n">
        <v>1</v>
      </c>
      <c r="I746" s="10" t="n">
        <v>1</v>
      </c>
      <c r="J746" s="10" t="n">
        <v>1</v>
      </c>
      <c r="K746" s="10" t="n">
        <v>0</v>
      </c>
      <c r="L746" s="10" t="n">
        <v>0</v>
      </c>
      <c r="M746" s="10" t="n">
        <v>0</v>
      </c>
      <c r="N746" s="10" t="n">
        <v>0</v>
      </c>
      <c r="P746" s="10" t="n">
        <v>54.6</v>
      </c>
      <c r="Q746" s="10">
        <f>A746&amp;"|"&amp;B746&amp;"|"&amp;C746&amp;"|"&amp;D746&amp;"|"&amp;E746&amp;"|"&amp;F746&amp;"|"&amp;G746&amp;"|"&amp;H746&amp;"|"&amp;I746&amp;"|"&amp;J746&amp;"|"&amp;K746&amp;"|"&amp;L746&amp;"|"&amp;M746&amp;"|"&amp;N746&amp;"|"&amp;O746&amp;"|"&amp;P746</f>
        <v/>
      </c>
      <c r="R746" s="10">
        <f>IF(COUNTIF($Q$2:$Q$1409,Q746)&gt;1,IF(COUNTIF($Q$2:Q746,Q746)=1,"Exact Duplicate - Keep First","Exact Duplicate - Remove"),"Unique")</f>
        <v/>
      </c>
    </row>
    <row r="747" ht="15" customHeight="1" s="11">
      <c r="A747" s="10" t="inlineStr">
        <is>
          <t>USR-100746</t>
        </is>
      </c>
      <c r="B747" s="14" t="n">
        <v>45793</v>
      </c>
      <c r="C747" s="10" t="inlineStr">
        <is>
          <t>Treatment</t>
        </is>
      </c>
      <c r="D747" s="10" t="inlineStr">
        <is>
          <t>South</t>
        </is>
      </c>
      <c r="E747" s="10" t="inlineStr">
        <is>
          <t>Desktop</t>
        </is>
      </c>
      <c r="F747" s="10" t="inlineStr">
        <is>
          <t>Referral</t>
        </is>
      </c>
      <c r="G747" s="10" t="inlineStr">
        <is>
          <t>Free</t>
        </is>
      </c>
      <c r="H747" s="10" t="n">
        <v>0</v>
      </c>
      <c r="I747" s="10" t="n">
        <v>0</v>
      </c>
      <c r="J747" s="10" t="n">
        <v>0</v>
      </c>
      <c r="K747" s="10" t="n">
        <v>0</v>
      </c>
      <c r="L747" s="10" t="n">
        <v>0</v>
      </c>
      <c r="M747" s="10" t="n">
        <v>0</v>
      </c>
      <c r="N747" s="10" t="n">
        <v>0</v>
      </c>
      <c r="P747" s="10" t="n">
        <v>53.8</v>
      </c>
      <c r="Q747" s="10">
        <f>A747&amp;"|"&amp;B747&amp;"|"&amp;C747&amp;"|"&amp;D747&amp;"|"&amp;E747&amp;"|"&amp;F747&amp;"|"&amp;G747&amp;"|"&amp;H747&amp;"|"&amp;I747&amp;"|"&amp;J747&amp;"|"&amp;K747&amp;"|"&amp;L747&amp;"|"&amp;M747&amp;"|"&amp;N747&amp;"|"&amp;O747&amp;"|"&amp;P747</f>
        <v/>
      </c>
      <c r="R747" s="10">
        <f>IF(COUNTIF($Q$2:$Q$1409,Q747)&gt;1,IF(COUNTIF($Q$2:Q747,Q747)=1,"Exact Duplicate - Keep First","Exact Duplicate - Remove"),"Unique")</f>
        <v/>
      </c>
    </row>
    <row r="748" ht="15" customHeight="1" s="11">
      <c r="A748" s="10" t="inlineStr">
        <is>
          <t>USR-100747</t>
        </is>
      </c>
      <c r="B748" s="14" t="n">
        <v>45716</v>
      </c>
      <c r="C748" s="10" t="inlineStr">
        <is>
          <t>Treatment</t>
        </is>
      </c>
      <c r="D748" s="10" t="inlineStr">
        <is>
          <t>West</t>
        </is>
      </c>
      <c r="E748" s="10" t="inlineStr">
        <is>
          <t>Mobile</t>
        </is>
      </c>
      <c r="F748" s="10" t="inlineStr">
        <is>
          <t>Referral</t>
        </is>
      </c>
      <c r="G748" s="10" t="inlineStr">
        <is>
          <t>Free</t>
        </is>
      </c>
      <c r="H748" s="10" t="n">
        <v>1</v>
      </c>
      <c r="I748" s="10" t="n">
        <v>0</v>
      </c>
      <c r="J748" s="10" t="n">
        <v>0</v>
      </c>
      <c r="K748" s="10" t="n">
        <v>0</v>
      </c>
      <c r="L748" s="10" t="n">
        <v>0</v>
      </c>
      <c r="M748" s="10" t="n">
        <v>0</v>
      </c>
      <c r="N748" s="10" t="n">
        <v>0</v>
      </c>
      <c r="P748" s="10" t="n">
        <v>59.5</v>
      </c>
      <c r="Q748" s="10">
        <f>A748&amp;"|"&amp;B748&amp;"|"&amp;C748&amp;"|"&amp;D748&amp;"|"&amp;E748&amp;"|"&amp;F748&amp;"|"&amp;G748&amp;"|"&amp;H748&amp;"|"&amp;I748&amp;"|"&amp;J748&amp;"|"&amp;K748&amp;"|"&amp;L748&amp;"|"&amp;M748&amp;"|"&amp;N748&amp;"|"&amp;O748&amp;"|"&amp;P748</f>
        <v/>
      </c>
      <c r="R748" s="10">
        <f>IF(COUNTIF($Q$2:$Q$1409,Q748)&gt;1,IF(COUNTIF($Q$2:Q748,Q748)=1,"Exact Duplicate - Keep First","Exact Duplicate - Remove"),"Unique")</f>
        <v/>
      </c>
    </row>
    <row r="749" ht="15" customHeight="1" s="11">
      <c r="A749" s="10" t="inlineStr">
        <is>
          <t>USR-100748</t>
        </is>
      </c>
      <c r="B749" s="14" t="n">
        <v>45759</v>
      </c>
      <c r="C749" s="10" t="inlineStr">
        <is>
          <t>Treatment</t>
        </is>
      </c>
      <c r="D749" s="10" t="inlineStr">
        <is>
          <t>North</t>
        </is>
      </c>
      <c r="E749" s="10" t="inlineStr">
        <is>
          <t>Mobile</t>
        </is>
      </c>
      <c r="F749" s="10" t="inlineStr">
        <is>
          <t>Referral</t>
        </is>
      </c>
      <c r="G749" s="10" t="inlineStr">
        <is>
          <t>Free</t>
        </is>
      </c>
      <c r="H749" s="10" t="n">
        <v>1</v>
      </c>
      <c r="I749" s="10" t="n">
        <v>0</v>
      </c>
      <c r="J749" s="10" t="n">
        <v>0</v>
      </c>
      <c r="K749" s="10" t="n">
        <v>0</v>
      </c>
      <c r="L749" s="10" t="n">
        <v>0</v>
      </c>
      <c r="M749" s="10" t="n">
        <v>0</v>
      </c>
      <c r="N749" s="10" t="n">
        <v>0</v>
      </c>
      <c r="P749" s="10" t="n">
        <v>52.6</v>
      </c>
      <c r="Q749" s="10">
        <f>A749&amp;"|"&amp;B749&amp;"|"&amp;C749&amp;"|"&amp;D749&amp;"|"&amp;E749&amp;"|"&amp;F749&amp;"|"&amp;G749&amp;"|"&amp;H749&amp;"|"&amp;I749&amp;"|"&amp;J749&amp;"|"&amp;K749&amp;"|"&amp;L749&amp;"|"&amp;M749&amp;"|"&amp;N749&amp;"|"&amp;O749&amp;"|"&amp;P749</f>
        <v/>
      </c>
      <c r="R749" s="10">
        <f>IF(COUNTIF($Q$2:$Q$1409,Q749)&gt;1,IF(COUNTIF($Q$2:Q749,Q749)=1,"Exact Duplicate - Keep First","Exact Duplicate - Remove"),"Unique")</f>
        <v/>
      </c>
    </row>
    <row r="750" ht="15" customHeight="1" s="11">
      <c r="A750" s="10" t="inlineStr">
        <is>
          <t>USR-100749</t>
        </is>
      </c>
      <c r="B750" s="14" t="n">
        <v>45739</v>
      </c>
      <c r="C750" s="10" t="inlineStr">
        <is>
          <t>Treatment</t>
        </is>
      </c>
      <c r="D750" s="10" t="inlineStr">
        <is>
          <t>South</t>
        </is>
      </c>
      <c r="E750" s="10" t="inlineStr">
        <is>
          <t>Desktop</t>
        </is>
      </c>
      <c r="F750" s="10" t="inlineStr">
        <is>
          <t>Organic</t>
        </is>
      </c>
      <c r="G750" s="10" t="inlineStr">
        <is>
          <t>Free</t>
        </is>
      </c>
      <c r="H750" s="10" t="n">
        <v>0</v>
      </c>
      <c r="I750" s="10" t="n">
        <v>0</v>
      </c>
      <c r="J750" s="10" t="n">
        <v>0</v>
      </c>
      <c r="K750" s="10" t="n">
        <v>0</v>
      </c>
      <c r="L750" s="10" t="n">
        <v>0</v>
      </c>
      <c r="M750" s="10" t="n">
        <v>0</v>
      </c>
      <c r="N750" s="10" t="n">
        <v>0</v>
      </c>
      <c r="P750" s="10" t="n">
        <v>49</v>
      </c>
      <c r="Q750" s="10">
        <f>A750&amp;"|"&amp;B750&amp;"|"&amp;C750&amp;"|"&amp;D750&amp;"|"&amp;E750&amp;"|"&amp;F750&amp;"|"&amp;G750&amp;"|"&amp;H750&amp;"|"&amp;I750&amp;"|"&amp;J750&amp;"|"&amp;K750&amp;"|"&amp;L750&amp;"|"&amp;M750&amp;"|"&amp;N750&amp;"|"&amp;O750&amp;"|"&amp;P750</f>
        <v/>
      </c>
      <c r="R750" s="10">
        <f>IF(COUNTIF($Q$2:$Q$1409,Q750)&gt;1,IF(COUNTIF($Q$2:Q750,Q750)=1,"Exact Duplicate - Keep First","Exact Duplicate - Remove"),"Unique")</f>
        <v/>
      </c>
    </row>
    <row r="751" ht="15" customHeight="1" s="11">
      <c r="A751" s="10" t="inlineStr">
        <is>
          <t>USR-100750</t>
        </is>
      </c>
      <c r="B751" s="14" t="n">
        <v>45806</v>
      </c>
      <c r="C751" s="10" t="inlineStr">
        <is>
          <t>Treatment</t>
        </is>
      </c>
      <c r="D751" s="10" t="inlineStr">
        <is>
          <t>North</t>
        </is>
      </c>
      <c r="E751" s="10" t="inlineStr">
        <is>
          <t>Tablet</t>
        </is>
      </c>
      <c r="F751" s="10" t="inlineStr">
        <is>
          <t>Organic</t>
        </is>
      </c>
      <c r="G751" s="10" t="inlineStr">
        <is>
          <t>Free</t>
        </is>
      </c>
      <c r="H751" s="10" t="n">
        <v>1</v>
      </c>
      <c r="I751" s="10" t="n">
        <v>0</v>
      </c>
      <c r="J751" s="10" t="n">
        <v>0</v>
      </c>
      <c r="K751" s="10" t="n">
        <v>0</v>
      </c>
      <c r="L751" s="10" t="n">
        <v>0</v>
      </c>
      <c r="M751" s="10" t="n">
        <v>0</v>
      </c>
      <c r="N751" s="10" t="n">
        <v>0</v>
      </c>
      <c r="P751" s="10" t="n">
        <v>59.3</v>
      </c>
      <c r="Q751" s="10">
        <f>A751&amp;"|"&amp;B751&amp;"|"&amp;C751&amp;"|"&amp;D751&amp;"|"&amp;E751&amp;"|"&amp;F751&amp;"|"&amp;G751&amp;"|"&amp;H751&amp;"|"&amp;I751&amp;"|"&amp;J751&amp;"|"&amp;K751&amp;"|"&amp;L751&amp;"|"&amp;M751&amp;"|"&amp;N751&amp;"|"&amp;O751&amp;"|"&amp;P751</f>
        <v/>
      </c>
      <c r="R751" s="10">
        <f>IF(COUNTIF($Q$2:$Q$1409,Q751)&gt;1,IF(COUNTIF($Q$2:Q751,Q751)=1,"Exact Duplicate - Keep First","Exact Duplicate - Remove"),"Unique")</f>
        <v/>
      </c>
    </row>
    <row r="752" ht="15" customHeight="1" s="11">
      <c r="A752" s="10" t="inlineStr">
        <is>
          <t>USR-100751</t>
        </is>
      </c>
      <c r="B752" s="14" t="n">
        <v>45798</v>
      </c>
      <c r="C752" s="10" t="inlineStr">
        <is>
          <t>Treatment</t>
        </is>
      </c>
      <c r="D752" s="10" t="inlineStr">
        <is>
          <t>South</t>
        </is>
      </c>
      <c r="E752" s="10" t="inlineStr">
        <is>
          <t>Desktop</t>
        </is>
      </c>
      <c r="F752" s="10" t="inlineStr">
        <is>
          <t>Organic</t>
        </is>
      </c>
      <c r="G752" s="10" t="inlineStr">
        <is>
          <t>Basic</t>
        </is>
      </c>
      <c r="H752" s="10" t="n">
        <v>0</v>
      </c>
      <c r="I752" s="10" t="n">
        <v>0</v>
      </c>
      <c r="J752" s="10" t="n">
        <v>0</v>
      </c>
      <c r="K752" s="10" t="n">
        <v>0</v>
      </c>
      <c r="L752" s="10" t="n">
        <v>0</v>
      </c>
      <c r="M752" s="10" t="n">
        <v>0</v>
      </c>
      <c r="N752" s="10" t="n">
        <v>0</v>
      </c>
      <c r="P752" s="10" t="n">
        <v>67.2</v>
      </c>
      <c r="Q752" s="10">
        <f>A752&amp;"|"&amp;B752&amp;"|"&amp;C752&amp;"|"&amp;D752&amp;"|"&amp;E752&amp;"|"&amp;F752&amp;"|"&amp;G752&amp;"|"&amp;H752&amp;"|"&amp;I752&amp;"|"&amp;J752&amp;"|"&amp;K752&amp;"|"&amp;L752&amp;"|"&amp;M752&amp;"|"&amp;N752&amp;"|"&amp;O752&amp;"|"&amp;P752</f>
        <v/>
      </c>
      <c r="R752" s="10">
        <f>IF(COUNTIF($Q$2:$Q$1409,Q752)&gt;1,IF(COUNTIF($Q$2:Q752,Q752)=1,"Exact Duplicate - Keep First","Exact Duplicate - Remove"),"Unique")</f>
        <v/>
      </c>
    </row>
    <row r="753" ht="15" customHeight="1" s="11">
      <c r="A753" s="10" t="inlineStr">
        <is>
          <t>USR-100752</t>
        </is>
      </c>
      <c r="B753" s="14" t="n">
        <v>45662</v>
      </c>
      <c r="C753" s="10" t="inlineStr">
        <is>
          <t>Treatment</t>
        </is>
      </c>
      <c r="D753" s="10" t="inlineStr">
        <is>
          <t>South</t>
        </is>
      </c>
      <c r="E753" s="10" t="inlineStr">
        <is>
          <t>Mobile</t>
        </is>
      </c>
      <c r="F753" s="10" t="inlineStr">
        <is>
          <t>Referral</t>
        </is>
      </c>
      <c r="G753" s="10" t="inlineStr">
        <is>
          <t>Premium</t>
        </is>
      </c>
      <c r="H753" s="10" t="n">
        <v>0</v>
      </c>
      <c r="I753" s="10" t="n">
        <v>0</v>
      </c>
      <c r="J753" s="10" t="n">
        <v>0</v>
      </c>
      <c r="K753" s="10" t="n">
        <v>0</v>
      </c>
      <c r="L753" s="10" t="n">
        <v>0</v>
      </c>
      <c r="M753" s="10" t="n">
        <v>0</v>
      </c>
      <c r="N753" s="10" t="n">
        <v>0</v>
      </c>
      <c r="P753" s="10" t="n">
        <v>73.5</v>
      </c>
      <c r="Q753" s="10">
        <f>A753&amp;"|"&amp;B753&amp;"|"&amp;C753&amp;"|"&amp;D753&amp;"|"&amp;E753&amp;"|"&amp;F753&amp;"|"&amp;G753&amp;"|"&amp;H753&amp;"|"&amp;I753&amp;"|"&amp;J753&amp;"|"&amp;K753&amp;"|"&amp;L753&amp;"|"&amp;M753&amp;"|"&amp;N753&amp;"|"&amp;O753&amp;"|"&amp;P753</f>
        <v/>
      </c>
      <c r="R753" s="10">
        <f>IF(COUNTIF($Q$2:$Q$1409,Q753)&gt;1,IF(COUNTIF($Q$2:Q753,Q753)=1,"Exact Duplicate - Keep First","Exact Duplicate - Remove"),"Unique")</f>
        <v/>
      </c>
    </row>
    <row r="754" ht="15" customHeight="1" s="11">
      <c r="A754" s="10" t="inlineStr">
        <is>
          <t>USR-100753</t>
        </is>
      </c>
      <c r="B754" s="14" t="n">
        <v>45735</v>
      </c>
      <c r="C754" s="10" t="inlineStr">
        <is>
          <t>Treatment</t>
        </is>
      </c>
      <c r="D754" s="10" t="inlineStr">
        <is>
          <t>East</t>
        </is>
      </c>
      <c r="E754" s="10" t="inlineStr">
        <is>
          <t>Tablet</t>
        </is>
      </c>
      <c r="F754" s="10" t="inlineStr">
        <is>
          <t>Organic</t>
        </is>
      </c>
      <c r="G754" s="10" t="inlineStr">
        <is>
          <t>Free</t>
        </is>
      </c>
      <c r="H754" s="10" t="n">
        <v>1</v>
      </c>
      <c r="I754" s="10" t="n">
        <v>0</v>
      </c>
      <c r="J754" s="10" t="n">
        <v>0</v>
      </c>
      <c r="K754" s="10" t="n">
        <v>0</v>
      </c>
      <c r="L754" s="10" t="n">
        <v>0</v>
      </c>
      <c r="M754" s="10" t="n">
        <v>0</v>
      </c>
      <c r="N754" s="10" t="n">
        <v>0</v>
      </c>
      <c r="P754" s="10" t="n">
        <v>61.2</v>
      </c>
      <c r="Q754" s="10">
        <f>A754&amp;"|"&amp;B754&amp;"|"&amp;C754&amp;"|"&amp;D754&amp;"|"&amp;E754&amp;"|"&amp;F754&amp;"|"&amp;G754&amp;"|"&amp;H754&amp;"|"&amp;I754&amp;"|"&amp;J754&amp;"|"&amp;K754&amp;"|"&amp;L754&amp;"|"&amp;M754&amp;"|"&amp;N754&amp;"|"&amp;O754&amp;"|"&amp;P754</f>
        <v/>
      </c>
      <c r="R754" s="10">
        <f>IF(COUNTIF($Q$2:$Q$1409,Q754)&gt;1,IF(COUNTIF($Q$2:Q754,Q754)=1,"Exact Duplicate - Keep First","Exact Duplicate - Remove"),"Unique")</f>
        <v/>
      </c>
    </row>
    <row r="755" ht="15" customHeight="1" s="11">
      <c r="A755" s="10" t="inlineStr">
        <is>
          <t>USR-100754</t>
        </is>
      </c>
      <c r="B755" s="14" t="n">
        <v>45771</v>
      </c>
      <c r="C755" s="10" t="inlineStr">
        <is>
          <t>Treatment</t>
        </is>
      </c>
      <c r="D755" s="10" t="inlineStr">
        <is>
          <t>East</t>
        </is>
      </c>
      <c r="E755" s="10" t="inlineStr">
        <is>
          <t>Mobile</t>
        </is>
      </c>
      <c r="F755" s="10" t="inlineStr">
        <is>
          <t>Organic</t>
        </is>
      </c>
      <c r="G755" s="10" t="inlineStr">
        <is>
          <t>Free</t>
        </is>
      </c>
      <c r="H755" s="10" t="n">
        <v>1</v>
      </c>
      <c r="I755" s="10" t="n">
        <v>0</v>
      </c>
      <c r="J755" s="10" t="n">
        <v>0</v>
      </c>
      <c r="K755" s="10" t="n">
        <v>0</v>
      </c>
      <c r="L755" s="10" t="n">
        <v>0</v>
      </c>
      <c r="M755" s="10" t="n">
        <v>1</v>
      </c>
      <c r="N755" s="10" t="n">
        <v>0</v>
      </c>
      <c r="P755" s="10" t="n">
        <v>56.4</v>
      </c>
      <c r="Q755" s="10">
        <f>A755&amp;"|"&amp;B755&amp;"|"&amp;C755&amp;"|"&amp;D755&amp;"|"&amp;E755&amp;"|"&amp;F755&amp;"|"&amp;G755&amp;"|"&amp;H755&amp;"|"&amp;I755&amp;"|"&amp;J755&amp;"|"&amp;K755&amp;"|"&amp;L755&amp;"|"&amp;M755&amp;"|"&amp;N755&amp;"|"&amp;O755&amp;"|"&amp;P755</f>
        <v/>
      </c>
      <c r="R755" s="10">
        <f>IF(COUNTIF($Q$2:$Q$1409,Q755)&gt;1,IF(COUNTIF($Q$2:Q755,Q755)=1,"Exact Duplicate - Keep First","Exact Duplicate - Remove"),"Unique")</f>
        <v/>
      </c>
    </row>
    <row r="756" ht="15" customHeight="1" s="11">
      <c r="A756" s="10" t="inlineStr">
        <is>
          <t>USR-100755</t>
        </is>
      </c>
      <c r="B756" s="14" t="n">
        <v>45726</v>
      </c>
      <c r="C756" s="10" t="inlineStr">
        <is>
          <t>Treatment</t>
        </is>
      </c>
      <c r="D756" s="10" t="inlineStr">
        <is>
          <t>North</t>
        </is>
      </c>
      <c r="E756" s="10" t="inlineStr">
        <is>
          <t>Tablet</t>
        </is>
      </c>
      <c r="F756" s="10" t="inlineStr">
        <is>
          <t>Organic</t>
        </is>
      </c>
      <c r="G756" s="10" t="inlineStr">
        <is>
          <t>Free</t>
        </is>
      </c>
      <c r="H756" s="10" t="n">
        <v>0</v>
      </c>
      <c r="I756" s="10" t="n">
        <v>0</v>
      </c>
      <c r="J756" s="10" t="n">
        <v>0</v>
      </c>
      <c r="K756" s="10" t="n">
        <v>0</v>
      </c>
      <c r="L756" s="10" t="n">
        <v>0</v>
      </c>
      <c r="M756" s="10" t="n">
        <v>3</v>
      </c>
      <c r="N756" s="10" t="n">
        <v>0</v>
      </c>
      <c r="P756" s="10" t="n">
        <v>72.59999999999999</v>
      </c>
      <c r="Q756" s="10">
        <f>A756&amp;"|"&amp;B756&amp;"|"&amp;C756&amp;"|"&amp;D756&amp;"|"&amp;E756&amp;"|"&amp;F756&amp;"|"&amp;G756&amp;"|"&amp;H756&amp;"|"&amp;I756&amp;"|"&amp;J756&amp;"|"&amp;K756&amp;"|"&amp;L756&amp;"|"&amp;M756&amp;"|"&amp;N756&amp;"|"&amp;O756&amp;"|"&amp;P756</f>
        <v/>
      </c>
      <c r="R756" s="10">
        <f>IF(COUNTIF($Q$2:$Q$1409,Q756)&gt;1,IF(COUNTIF($Q$2:Q756,Q756)=1,"Exact Duplicate - Keep First","Exact Duplicate - Remove"),"Unique")</f>
        <v/>
      </c>
    </row>
    <row r="757" ht="15" customHeight="1" s="11">
      <c r="A757" s="10" t="inlineStr">
        <is>
          <t>USR-100756</t>
        </is>
      </c>
      <c r="B757" s="14" t="n">
        <v>45710</v>
      </c>
      <c r="C757" s="10" t="inlineStr">
        <is>
          <t>Treatment</t>
        </is>
      </c>
      <c r="D757" s="10" t="inlineStr">
        <is>
          <t>South</t>
        </is>
      </c>
      <c r="E757" s="10" t="inlineStr">
        <is>
          <t>Tablet</t>
        </is>
      </c>
      <c r="F757" s="10" t="inlineStr">
        <is>
          <t>Referral</t>
        </is>
      </c>
      <c r="G757" s="10" t="inlineStr">
        <is>
          <t>Basic</t>
        </is>
      </c>
      <c r="H757" s="10" t="n">
        <v>1</v>
      </c>
      <c r="I757" s="10" t="n">
        <v>0</v>
      </c>
      <c r="J757" s="10" t="n">
        <v>0</v>
      </c>
      <c r="K757" s="10" t="n">
        <v>0</v>
      </c>
      <c r="L757" s="10" t="n">
        <v>0</v>
      </c>
      <c r="M757" s="10" t="n">
        <v>0</v>
      </c>
      <c r="N757" s="10" t="n">
        <v>0</v>
      </c>
      <c r="P757" s="10" t="n">
        <v>61.7</v>
      </c>
      <c r="Q757" s="10">
        <f>A757&amp;"|"&amp;B757&amp;"|"&amp;C757&amp;"|"&amp;D757&amp;"|"&amp;E757&amp;"|"&amp;F757&amp;"|"&amp;G757&amp;"|"&amp;H757&amp;"|"&amp;I757&amp;"|"&amp;J757&amp;"|"&amp;K757&amp;"|"&amp;L757&amp;"|"&amp;M757&amp;"|"&amp;N757&amp;"|"&amp;O757&amp;"|"&amp;P757</f>
        <v/>
      </c>
      <c r="R757" s="10">
        <f>IF(COUNTIF($Q$2:$Q$1409,Q757)&gt;1,IF(COUNTIF($Q$2:Q757,Q757)=1,"Exact Duplicate - Keep First","Exact Duplicate - Remove"),"Unique")</f>
        <v/>
      </c>
    </row>
    <row r="758" ht="15" customHeight="1" s="11">
      <c r="A758" s="10" t="inlineStr">
        <is>
          <t>USR-100757</t>
        </is>
      </c>
      <c r="B758" s="14" t="n">
        <v>45794</v>
      </c>
      <c r="C758" s="10" t="inlineStr">
        <is>
          <t>Treatment</t>
        </is>
      </c>
      <c r="D758" s="10" t="inlineStr">
        <is>
          <t>East</t>
        </is>
      </c>
      <c r="E758" s="10" t="inlineStr">
        <is>
          <t>Mobile</t>
        </is>
      </c>
      <c r="F758" s="10" t="inlineStr">
        <is>
          <t>Social</t>
        </is>
      </c>
      <c r="G758" s="10" t="inlineStr">
        <is>
          <t>Free</t>
        </is>
      </c>
      <c r="H758" s="10" t="n">
        <v>0</v>
      </c>
      <c r="I758" s="10" t="n">
        <v>0</v>
      </c>
      <c r="J758" s="10" t="n">
        <v>0</v>
      </c>
      <c r="K758" s="10" t="n">
        <v>0</v>
      </c>
      <c r="L758" s="10" t="n">
        <v>0</v>
      </c>
      <c r="M758" s="10" t="n">
        <v>1</v>
      </c>
      <c r="N758" s="10" t="n">
        <v>0</v>
      </c>
      <c r="P758" s="10" t="n">
        <v>66.90000000000001</v>
      </c>
      <c r="Q758" s="10">
        <f>A758&amp;"|"&amp;B758&amp;"|"&amp;C758&amp;"|"&amp;D758&amp;"|"&amp;E758&amp;"|"&amp;F758&amp;"|"&amp;G758&amp;"|"&amp;H758&amp;"|"&amp;I758&amp;"|"&amp;J758&amp;"|"&amp;K758&amp;"|"&amp;L758&amp;"|"&amp;M758&amp;"|"&amp;N758&amp;"|"&amp;O758&amp;"|"&amp;P758</f>
        <v/>
      </c>
      <c r="R758" s="10">
        <f>IF(COUNTIF($Q$2:$Q$1409,Q758)&gt;1,IF(COUNTIF($Q$2:Q758,Q758)=1,"Exact Duplicate - Keep First","Exact Duplicate - Remove"),"Unique")</f>
        <v/>
      </c>
    </row>
    <row r="759" ht="15" customHeight="1" s="11">
      <c r="A759" s="10" t="inlineStr">
        <is>
          <t>USR-100758</t>
        </is>
      </c>
      <c r="B759" s="14" t="n">
        <v>45786</v>
      </c>
      <c r="C759" s="10" t="inlineStr">
        <is>
          <t>Treatment</t>
        </is>
      </c>
      <c r="D759" s="10" t="inlineStr">
        <is>
          <t>East</t>
        </is>
      </c>
      <c r="E759" s="10" t="inlineStr">
        <is>
          <t>Tablet</t>
        </is>
      </c>
      <c r="F759" s="10" t="inlineStr">
        <is>
          <t>Referral</t>
        </is>
      </c>
      <c r="G759" s="10" t="inlineStr">
        <is>
          <t>Premium</t>
        </is>
      </c>
      <c r="H759" s="10" t="n">
        <v>1</v>
      </c>
      <c r="I759" s="10" t="n">
        <v>1</v>
      </c>
      <c r="J759" s="10" t="n">
        <v>1</v>
      </c>
      <c r="K759" s="10" t="n">
        <v>1</v>
      </c>
      <c r="L759" s="10" t="n">
        <v>1506.24</v>
      </c>
      <c r="M759" s="10" t="n">
        <v>1</v>
      </c>
      <c r="N759" s="10" t="n">
        <v>0</v>
      </c>
      <c r="O759" s="10" t="n">
        <v>7</v>
      </c>
      <c r="P759" s="10" t="n">
        <v>64.90000000000001</v>
      </c>
      <c r="Q759" s="10">
        <f>A759&amp;"|"&amp;B759&amp;"|"&amp;C759&amp;"|"&amp;D759&amp;"|"&amp;E759&amp;"|"&amp;F759&amp;"|"&amp;G759&amp;"|"&amp;H759&amp;"|"&amp;I759&amp;"|"&amp;J759&amp;"|"&amp;K759&amp;"|"&amp;L759&amp;"|"&amp;M759&amp;"|"&amp;N759&amp;"|"&amp;O759&amp;"|"&amp;P759</f>
        <v/>
      </c>
      <c r="R759" s="10">
        <f>IF(COUNTIF($Q$2:$Q$1409,Q759)&gt;1,IF(COUNTIF($Q$2:Q759,Q759)=1,"Exact Duplicate - Keep First","Exact Duplicate - Remove"),"Unique")</f>
        <v/>
      </c>
    </row>
    <row r="760" ht="15" customHeight="1" s="11">
      <c r="A760" s="10" t="inlineStr">
        <is>
          <t>USR-100759</t>
        </is>
      </c>
      <c r="B760" s="14" t="n">
        <v>45773</v>
      </c>
      <c r="C760" s="10" t="inlineStr">
        <is>
          <t>Treatment</t>
        </is>
      </c>
      <c r="D760" s="10" t="inlineStr">
        <is>
          <t>East</t>
        </is>
      </c>
      <c r="E760" s="10" t="inlineStr">
        <is>
          <t>Tablet</t>
        </is>
      </c>
      <c r="F760" s="10" t="inlineStr">
        <is>
          <t>Organic</t>
        </is>
      </c>
      <c r="G760" s="10" t="inlineStr">
        <is>
          <t>Premium</t>
        </is>
      </c>
      <c r="H760" s="10" t="n">
        <v>1</v>
      </c>
      <c r="I760" s="10" t="n">
        <v>0</v>
      </c>
      <c r="J760" s="10" t="n">
        <v>0</v>
      </c>
      <c r="K760" s="10" t="n">
        <v>0</v>
      </c>
      <c r="L760" s="10" t="n">
        <v>0</v>
      </c>
      <c r="M760" s="10" t="n">
        <v>0</v>
      </c>
      <c r="N760" s="10" t="n">
        <v>0</v>
      </c>
      <c r="P760" s="10" t="n">
        <v>57.5</v>
      </c>
      <c r="Q760" s="10">
        <f>A760&amp;"|"&amp;B760&amp;"|"&amp;C760&amp;"|"&amp;D760&amp;"|"&amp;E760&amp;"|"&amp;F760&amp;"|"&amp;G760&amp;"|"&amp;H760&amp;"|"&amp;I760&amp;"|"&amp;J760&amp;"|"&amp;K760&amp;"|"&amp;L760&amp;"|"&amp;M760&amp;"|"&amp;N760&amp;"|"&amp;O760&amp;"|"&amp;P760</f>
        <v/>
      </c>
      <c r="R760" s="10">
        <f>IF(COUNTIF($Q$2:$Q$1409,Q760)&gt;1,IF(COUNTIF($Q$2:Q760,Q760)=1,"Exact Duplicate - Keep First","Exact Duplicate - Remove"),"Unique")</f>
        <v/>
      </c>
    </row>
    <row r="761" ht="15" customHeight="1" s="11">
      <c r="A761" s="10" t="inlineStr">
        <is>
          <t>USR-100760</t>
        </is>
      </c>
      <c r="B761" s="14" t="n">
        <v>45731</v>
      </c>
      <c r="C761" s="10" t="inlineStr">
        <is>
          <t>Treatment</t>
        </is>
      </c>
      <c r="D761" s="10" t="inlineStr">
        <is>
          <t>West</t>
        </is>
      </c>
      <c r="E761" s="10" t="inlineStr">
        <is>
          <t>Desktop</t>
        </is>
      </c>
      <c r="F761" s="10" t="inlineStr">
        <is>
          <t>Social</t>
        </is>
      </c>
      <c r="G761" s="10" t="inlineStr">
        <is>
          <t>Free</t>
        </is>
      </c>
      <c r="H761" s="10" t="n">
        <v>1</v>
      </c>
      <c r="I761" s="10" t="n">
        <v>1</v>
      </c>
      <c r="J761" s="10" t="n">
        <v>1</v>
      </c>
      <c r="K761" s="10" t="n">
        <v>0</v>
      </c>
      <c r="L761" s="10" t="n">
        <v>0</v>
      </c>
      <c r="M761" s="10" t="n">
        <v>0</v>
      </c>
      <c r="N761" s="10" t="n">
        <v>0</v>
      </c>
      <c r="P761" s="10" t="n">
        <v>76.3</v>
      </c>
      <c r="Q761" s="10">
        <f>A761&amp;"|"&amp;B761&amp;"|"&amp;C761&amp;"|"&amp;D761&amp;"|"&amp;E761&amp;"|"&amp;F761&amp;"|"&amp;G761&amp;"|"&amp;H761&amp;"|"&amp;I761&amp;"|"&amp;J761&amp;"|"&amp;K761&amp;"|"&amp;L761&amp;"|"&amp;M761&amp;"|"&amp;N761&amp;"|"&amp;O761&amp;"|"&amp;P761</f>
        <v/>
      </c>
      <c r="R761" s="10">
        <f>IF(COUNTIF($Q$2:$Q$1409,Q761)&gt;1,IF(COUNTIF($Q$2:Q761,Q761)=1,"Exact Duplicate - Keep First","Exact Duplicate - Remove"),"Unique")</f>
        <v/>
      </c>
    </row>
    <row r="762" ht="15" customHeight="1" s="11">
      <c r="A762" s="10" t="inlineStr">
        <is>
          <t>USR-100761</t>
        </is>
      </c>
      <c r="B762" s="14" t="n">
        <v>45750</v>
      </c>
      <c r="C762" s="10" t="inlineStr">
        <is>
          <t>Treatment</t>
        </is>
      </c>
      <c r="D762" s="10" t="inlineStr">
        <is>
          <t>North</t>
        </is>
      </c>
      <c r="E762" s="10" t="inlineStr">
        <is>
          <t>Mobile</t>
        </is>
      </c>
      <c r="F762" s="10" t="inlineStr">
        <is>
          <t>Paid Search</t>
        </is>
      </c>
      <c r="G762" s="10" t="inlineStr">
        <is>
          <t>Free</t>
        </is>
      </c>
      <c r="H762" s="10" t="n">
        <v>0</v>
      </c>
      <c r="I762" s="10" t="n">
        <v>0</v>
      </c>
      <c r="J762" s="10" t="n">
        <v>0</v>
      </c>
      <c r="K762" s="10" t="n">
        <v>0</v>
      </c>
      <c r="L762" s="10" t="n">
        <v>0</v>
      </c>
      <c r="M762" s="10" t="n">
        <v>0</v>
      </c>
      <c r="N762" s="10" t="n">
        <v>0</v>
      </c>
      <c r="P762" s="10" t="n">
        <v>47.5</v>
      </c>
      <c r="Q762" s="10">
        <f>A762&amp;"|"&amp;B762&amp;"|"&amp;C762&amp;"|"&amp;D762&amp;"|"&amp;E762&amp;"|"&amp;F762&amp;"|"&amp;G762&amp;"|"&amp;H762&amp;"|"&amp;I762&amp;"|"&amp;J762&amp;"|"&amp;K762&amp;"|"&amp;L762&amp;"|"&amp;M762&amp;"|"&amp;N762&amp;"|"&amp;O762&amp;"|"&amp;P762</f>
        <v/>
      </c>
      <c r="R762" s="10">
        <f>IF(COUNTIF($Q$2:$Q$1409,Q762)&gt;1,IF(COUNTIF($Q$2:Q762,Q762)=1,"Exact Duplicate - Keep First","Exact Duplicate - Remove"),"Unique")</f>
        <v/>
      </c>
    </row>
    <row r="763" ht="15" customHeight="1" s="11">
      <c r="A763" s="10" t="inlineStr">
        <is>
          <t>USR-100762</t>
        </is>
      </c>
      <c r="B763" s="14" t="n">
        <v>45742</v>
      </c>
      <c r="C763" s="10" t="inlineStr">
        <is>
          <t>Treatment</t>
        </is>
      </c>
      <c r="D763" s="10" t="inlineStr">
        <is>
          <t>South</t>
        </is>
      </c>
      <c r="E763" s="10" t="inlineStr">
        <is>
          <t>Mobile</t>
        </is>
      </c>
      <c r="F763" s="10" t="inlineStr">
        <is>
          <t>Paid Search</t>
        </is>
      </c>
      <c r="G763" s="10" t="inlineStr">
        <is>
          <t>Free</t>
        </is>
      </c>
      <c r="H763" s="10" t="n">
        <v>0</v>
      </c>
      <c r="I763" s="10" t="n">
        <v>0</v>
      </c>
      <c r="J763" s="10" t="n">
        <v>0</v>
      </c>
      <c r="K763" s="10" t="n">
        <v>0</v>
      </c>
      <c r="L763" s="10" t="n">
        <v>0</v>
      </c>
      <c r="M763" s="10" t="n">
        <v>0</v>
      </c>
      <c r="N763" s="10" t="n">
        <v>0</v>
      </c>
      <c r="Q763" s="10">
        <f>A763&amp;"|"&amp;B763&amp;"|"&amp;C763&amp;"|"&amp;D763&amp;"|"&amp;E763&amp;"|"&amp;F763&amp;"|"&amp;G763&amp;"|"&amp;H763&amp;"|"&amp;I763&amp;"|"&amp;J763&amp;"|"&amp;K763&amp;"|"&amp;L763&amp;"|"&amp;M763&amp;"|"&amp;N763&amp;"|"&amp;O763&amp;"|"&amp;P763</f>
        <v/>
      </c>
      <c r="R763" s="10">
        <f>IF(COUNTIF($Q$2:$Q$1409,Q763)&gt;1,IF(COUNTIF($Q$2:Q763,Q763)=1,"Exact Duplicate - Keep First","Exact Duplicate - Remove"),"Unique")</f>
        <v/>
      </c>
    </row>
    <row r="764" ht="15" customHeight="1" s="11">
      <c r="A764" s="10" t="inlineStr">
        <is>
          <t>USR-100763</t>
        </is>
      </c>
      <c r="B764" s="14" t="n">
        <v>45693</v>
      </c>
      <c r="C764" s="10" t="inlineStr">
        <is>
          <t>Treatment</t>
        </is>
      </c>
      <c r="D764" s="10" t="inlineStr">
        <is>
          <t>West</t>
        </is>
      </c>
      <c r="E764" s="10" t="inlineStr">
        <is>
          <t>Desktop</t>
        </is>
      </c>
      <c r="F764" s="10" t="inlineStr">
        <is>
          <t>Organic</t>
        </is>
      </c>
      <c r="G764" s="10" t="inlineStr">
        <is>
          <t>Basic</t>
        </is>
      </c>
      <c r="H764" s="10" t="n">
        <v>1</v>
      </c>
      <c r="I764" s="10" t="n">
        <v>1</v>
      </c>
      <c r="J764" s="10" t="n">
        <v>0</v>
      </c>
      <c r="K764" s="10" t="n">
        <v>0</v>
      </c>
      <c r="L764" s="10" t="n">
        <v>0</v>
      </c>
      <c r="M764" s="10" t="n">
        <v>2</v>
      </c>
      <c r="N764" s="10" t="n">
        <v>0</v>
      </c>
      <c r="P764" s="10" t="n">
        <v>71.59999999999999</v>
      </c>
      <c r="Q764" s="10">
        <f>A764&amp;"|"&amp;B764&amp;"|"&amp;C764&amp;"|"&amp;D764&amp;"|"&amp;E764&amp;"|"&amp;F764&amp;"|"&amp;G764&amp;"|"&amp;H764&amp;"|"&amp;I764&amp;"|"&amp;J764&amp;"|"&amp;K764&amp;"|"&amp;L764&amp;"|"&amp;M764&amp;"|"&amp;N764&amp;"|"&amp;O764&amp;"|"&amp;P764</f>
        <v/>
      </c>
      <c r="R764" s="10">
        <f>IF(COUNTIF($Q$2:$Q$1409,Q764)&gt;1,IF(COUNTIF($Q$2:Q764,Q764)=1,"Exact Duplicate - Keep First","Exact Duplicate - Remove"),"Unique")</f>
        <v/>
      </c>
    </row>
    <row r="765" ht="15" customHeight="1" s="11">
      <c r="A765" s="10" t="inlineStr">
        <is>
          <t>USR-100764</t>
        </is>
      </c>
      <c r="B765" s="14" t="n">
        <v>45785</v>
      </c>
      <c r="C765" s="10" t="inlineStr">
        <is>
          <t>Treatment</t>
        </is>
      </c>
      <c r="D765" s="10" t="inlineStr">
        <is>
          <t>South</t>
        </is>
      </c>
      <c r="E765" s="10" t="inlineStr">
        <is>
          <t>Mobile</t>
        </is>
      </c>
      <c r="F765" s="10" t="inlineStr">
        <is>
          <t>Social</t>
        </is>
      </c>
      <c r="G765" s="10" t="inlineStr">
        <is>
          <t>Basic</t>
        </is>
      </c>
      <c r="H765" s="10" t="n">
        <v>1</v>
      </c>
      <c r="I765" s="10" t="n">
        <v>1</v>
      </c>
      <c r="J765" s="10" t="n">
        <v>0</v>
      </c>
      <c r="K765" s="10" t="n">
        <v>0</v>
      </c>
      <c r="L765" s="10" t="n">
        <v>0</v>
      </c>
      <c r="M765" s="10" t="n">
        <v>0</v>
      </c>
      <c r="N765" s="10" t="n">
        <v>0</v>
      </c>
      <c r="P765" s="10" t="n">
        <v>55.8</v>
      </c>
      <c r="Q765" s="10">
        <f>A765&amp;"|"&amp;B765&amp;"|"&amp;C765&amp;"|"&amp;D765&amp;"|"&amp;E765&amp;"|"&amp;F765&amp;"|"&amp;G765&amp;"|"&amp;H765&amp;"|"&amp;I765&amp;"|"&amp;J765&amp;"|"&amp;K765&amp;"|"&amp;L765&amp;"|"&amp;M765&amp;"|"&amp;N765&amp;"|"&amp;O765&amp;"|"&amp;P765</f>
        <v/>
      </c>
      <c r="R765" s="10">
        <f>IF(COUNTIF($Q$2:$Q$1409,Q765)&gt;1,IF(COUNTIF($Q$2:Q765,Q765)=1,"Exact Duplicate - Keep First","Exact Duplicate - Remove"),"Unique")</f>
        <v/>
      </c>
    </row>
    <row r="766" ht="15" customHeight="1" s="11">
      <c r="A766" s="10" t="inlineStr">
        <is>
          <t>USR-100765</t>
        </is>
      </c>
      <c r="B766" s="14" t="n">
        <v>45741</v>
      </c>
      <c r="C766" s="10" t="inlineStr">
        <is>
          <t>Treatment</t>
        </is>
      </c>
      <c r="D766" s="10" t="inlineStr">
        <is>
          <t>South</t>
        </is>
      </c>
      <c r="E766" s="10" t="inlineStr">
        <is>
          <t>Desktop</t>
        </is>
      </c>
      <c r="F766" s="10" t="inlineStr">
        <is>
          <t>Organic</t>
        </is>
      </c>
      <c r="G766" s="10" t="inlineStr">
        <is>
          <t>Basic</t>
        </is>
      </c>
      <c r="H766" s="10" t="n">
        <v>0</v>
      </c>
      <c r="I766" s="10" t="n">
        <v>0</v>
      </c>
      <c r="J766" s="10" t="n">
        <v>0</v>
      </c>
      <c r="K766" s="10" t="n">
        <v>0</v>
      </c>
      <c r="L766" s="10" t="n">
        <v>0</v>
      </c>
      <c r="M766" s="10" t="n">
        <v>1</v>
      </c>
      <c r="N766" s="10" t="n">
        <v>0</v>
      </c>
      <c r="P766" s="10" t="n">
        <v>60.1</v>
      </c>
      <c r="Q766" s="10">
        <f>A766&amp;"|"&amp;B766&amp;"|"&amp;C766&amp;"|"&amp;D766&amp;"|"&amp;E766&amp;"|"&amp;F766&amp;"|"&amp;G766&amp;"|"&amp;H766&amp;"|"&amp;I766&amp;"|"&amp;J766&amp;"|"&amp;K766&amp;"|"&amp;L766&amp;"|"&amp;M766&amp;"|"&amp;N766&amp;"|"&amp;O766&amp;"|"&amp;P766</f>
        <v/>
      </c>
      <c r="R766" s="10">
        <f>IF(COUNTIF($Q$2:$Q$1409,Q766)&gt;1,IF(COUNTIF($Q$2:Q766,Q766)=1,"Exact Duplicate - Keep First","Exact Duplicate - Remove"),"Unique")</f>
        <v/>
      </c>
    </row>
    <row r="767" ht="15" customHeight="1" s="11">
      <c r="A767" s="10" t="inlineStr">
        <is>
          <t>USR-100766</t>
        </is>
      </c>
      <c r="B767" s="14" t="n">
        <v>45671</v>
      </c>
      <c r="C767" s="10" t="inlineStr">
        <is>
          <t>Treatment</t>
        </is>
      </c>
      <c r="D767" s="10" t="inlineStr">
        <is>
          <t>West</t>
        </is>
      </c>
      <c r="F767" s="10" t="inlineStr">
        <is>
          <t>Email</t>
        </is>
      </c>
      <c r="G767" s="10" t="inlineStr">
        <is>
          <t>Basic</t>
        </is>
      </c>
      <c r="H767" s="10" t="n">
        <v>1</v>
      </c>
      <c r="I767" s="10" t="n">
        <v>1</v>
      </c>
      <c r="J767" s="10" t="n">
        <v>1</v>
      </c>
      <c r="K767" s="10" t="n">
        <v>0</v>
      </c>
      <c r="L767" s="10" t="n">
        <v>0</v>
      </c>
      <c r="M767" s="10" t="n">
        <v>1</v>
      </c>
      <c r="N767" s="10" t="n">
        <v>0</v>
      </c>
      <c r="P767" s="10" t="n">
        <v>59.3</v>
      </c>
      <c r="Q767" s="10">
        <f>A767&amp;"|"&amp;B767&amp;"|"&amp;C767&amp;"|"&amp;D767&amp;"|"&amp;E767&amp;"|"&amp;F767&amp;"|"&amp;G767&amp;"|"&amp;H767&amp;"|"&amp;I767&amp;"|"&amp;J767&amp;"|"&amp;K767&amp;"|"&amp;L767&amp;"|"&amp;M767&amp;"|"&amp;N767&amp;"|"&amp;O767&amp;"|"&amp;P767</f>
        <v/>
      </c>
      <c r="R767" s="10">
        <f>IF(COUNTIF($Q$2:$Q$1409,Q767)&gt;1,IF(COUNTIF($Q$2:Q767,Q767)=1,"Exact Duplicate - Keep First","Exact Duplicate - Remove"),"Unique")</f>
        <v/>
      </c>
    </row>
    <row r="768" ht="15" customHeight="1" s="11">
      <c r="A768" s="10" t="inlineStr">
        <is>
          <t>USR-100767</t>
        </is>
      </c>
      <c r="B768" s="14" t="n">
        <v>45742</v>
      </c>
      <c r="C768" s="10" t="inlineStr">
        <is>
          <t>Treatment</t>
        </is>
      </c>
      <c r="D768" s="10" t="inlineStr">
        <is>
          <t>North</t>
        </is>
      </c>
      <c r="E768" s="10" t="inlineStr">
        <is>
          <t>Mobile</t>
        </is>
      </c>
      <c r="F768" s="10" t="inlineStr">
        <is>
          <t>Organic</t>
        </is>
      </c>
      <c r="G768" s="10" t="inlineStr">
        <is>
          <t>Free</t>
        </is>
      </c>
      <c r="H768" s="10" t="n">
        <v>1</v>
      </c>
      <c r="I768" s="10" t="n">
        <v>1</v>
      </c>
      <c r="J768" s="10" t="n">
        <v>0</v>
      </c>
      <c r="K768" s="10" t="n">
        <v>0</v>
      </c>
      <c r="L768" s="10" t="n">
        <v>0</v>
      </c>
      <c r="M768" s="10" t="n">
        <v>2</v>
      </c>
      <c r="N768" s="10" t="n">
        <v>0</v>
      </c>
      <c r="P768" s="10" t="n">
        <v>49.3</v>
      </c>
      <c r="Q768" s="10">
        <f>A768&amp;"|"&amp;B768&amp;"|"&amp;C768&amp;"|"&amp;D768&amp;"|"&amp;E768&amp;"|"&amp;F768&amp;"|"&amp;G768&amp;"|"&amp;H768&amp;"|"&amp;I768&amp;"|"&amp;J768&amp;"|"&amp;K768&amp;"|"&amp;L768&amp;"|"&amp;M768&amp;"|"&amp;N768&amp;"|"&amp;O768&amp;"|"&amp;P768</f>
        <v/>
      </c>
      <c r="R768" s="10">
        <f>IF(COUNTIF($Q$2:$Q$1409,Q768)&gt;1,IF(COUNTIF($Q$2:Q768,Q768)=1,"Exact Duplicate - Keep First","Exact Duplicate - Remove"),"Unique")</f>
        <v/>
      </c>
    </row>
    <row r="769" ht="15" customHeight="1" s="11">
      <c r="A769" s="10" t="inlineStr">
        <is>
          <t>USR-100768</t>
        </is>
      </c>
      <c r="B769" s="14" t="n">
        <v>45673</v>
      </c>
      <c r="C769" s="10" t="inlineStr">
        <is>
          <t>Treatment</t>
        </is>
      </c>
      <c r="D769" s="10" t="inlineStr">
        <is>
          <t>East</t>
        </is>
      </c>
      <c r="E769" s="10" t="inlineStr">
        <is>
          <t>Mobile</t>
        </is>
      </c>
      <c r="F769" s="10" t="inlineStr">
        <is>
          <t>Referral</t>
        </is>
      </c>
      <c r="G769" s="10" t="inlineStr">
        <is>
          <t>Free</t>
        </is>
      </c>
      <c r="H769" s="10" t="n">
        <v>1</v>
      </c>
      <c r="I769" s="10" t="n">
        <v>0</v>
      </c>
      <c r="J769" s="10" t="n">
        <v>0</v>
      </c>
      <c r="K769" s="10" t="n">
        <v>0</v>
      </c>
      <c r="L769" s="10" t="n">
        <v>0</v>
      </c>
      <c r="M769" s="10" t="n">
        <v>0</v>
      </c>
      <c r="N769" s="10" t="n">
        <v>0</v>
      </c>
      <c r="P769" s="10" t="n">
        <v>75</v>
      </c>
      <c r="Q769" s="10">
        <f>A769&amp;"|"&amp;B769&amp;"|"&amp;C769&amp;"|"&amp;D769&amp;"|"&amp;E769&amp;"|"&amp;F769&amp;"|"&amp;G769&amp;"|"&amp;H769&amp;"|"&amp;I769&amp;"|"&amp;J769&amp;"|"&amp;K769&amp;"|"&amp;L769&amp;"|"&amp;M769&amp;"|"&amp;N769&amp;"|"&amp;O769&amp;"|"&amp;P769</f>
        <v/>
      </c>
      <c r="R769" s="10">
        <f>IF(COUNTIF($Q$2:$Q$1409,Q769)&gt;1,IF(COUNTIF($Q$2:Q769,Q769)=1,"Exact Duplicate - Keep First","Exact Duplicate - Remove"),"Unique")</f>
        <v/>
      </c>
    </row>
    <row r="770" ht="15" customHeight="1" s="11">
      <c r="A770" s="10" t="inlineStr">
        <is>
          <t>USR-100769</t>
        </is>
      </c>
      <c r="B770" s="14" t="n">
        <v>45661</v>
      </c>
      <c r="C770" s="10" t="inlineStr">
        <is>
          <t>Treatment</t>
        </is>
      </c>
      <c r="D770" s="10" t="inlineStr">
        <is>
          <t>East</t>
        </is>
      </c>
      <c r="E770" s="10" t="inlineStr">
        <is>
          <t>Mobile</t>
        </is>
      </c>
      <c r="F770" s="10" t="inlineStr">
        <is>
          <t>Social</t>
        </is>
      </c>
      <c r="G770" s="10" t="inlineStr">
        <is>
          <t>Free</t>
        </is>
      </c>
      <c r="H770" s="10" t="n">
        <v>1</v>
      </c>
      <c r="I770" s="10" t="n">
        <v>0</v>
      </c>
      <c r="J770" s="10" t="n">
        <v>0</v>
      </c>
      <c r="K770" s="10" t="n">
        <v>0</v>
      </c>
      <c r="L770" s="10" t="n">
        <v>0</v>
      </c>
      <c r="M770" s="10" t="n">
        <v>0</v>
      </c>
      <c r="N770" s="10" t="n">
        <v>0</v>
      </c>
      <c r="P770" s="10" t="n">
        <v>70.2</v>
      </c>
      <c r="Q770" s="10">
        <f>A770&amp;"|"&amp;B770&amp;"|"&amp;C770&amp;"|"&amp;D770&amp;"|"&amp;E770&amp;"|"&amp;F770&amp;"|"&amp;G770&amp;"|"&amp;H770&amp;"|"&amp;I770&amp;"|"&amp;J770&amp;"|"&amp;K770&amp;"|"&amp;L770&amp;"|"&amp;M770&amp;"|"&amp;N770&amp;"|"&amp;O770&amp;"|"&amp;P770</f>
        <v/>
      </c>
      <c r="R770" s="10">
        <f>IF(COUNTIF($Q$2:$Q$1409,Q770)&gt;1,IF(COUNTIF($Q$2:Q770,Q770)=1,"Exact Duplicate - Keep First","Exact Duplicate - Remove"),"Unique")</f>
        <v/>
      </c>
    </row>
    <row r="771" ht="15" customHeight="1" s="11">
      <c r="A771" s="10" t="inlineStr">
        <is>
          <t>USR-100770</t>
        </is>
      </c>
      <c r="B771" s="14" t="n">
        <v>45697</v>
      </c>
      <c r="C771" s="10" t="inlineStr">
        <is>
          <t>Treatment</t>
        </is>
      </c>
      <c r="D771" s="10" t="inlineStr">
        <is>
          <t>South</t>
        </is>
      </c>
      <c r="E771" s="10" t="inlineStr">
        <is>
          <t>Desktop</t>
        </is>
      </c>
      <c r="F771" s="10" t="inlineStr">
        <is>
          <t>Organic</t>
        </is>
      </c>
      <c r="G771" s="10" t="inlineStr">
        <is>
          <t>Premium</t>
        </is>
      </c>
      <c r="H771" s="10" t="n">
        <v>1</v>
      </c>
      <c r="I771" s="10" t="n">
        <v>1</v>
      </c>
      <c r="J771" s="10" t="n">
        <v>1</v>
      </c>
      <c r="K771" s="10" t="n">
        <v>0</v>
      </c>
      <c r="L771" s="10" t="n">
        <v>0</v>
      </c>
      <c r="M771" s="10" t="n">
        <v>0</v>
      </c>
      <c r="N771" s="10" t="n">
        <v>0</v>
      </c>
      <c r="P771" s="10" t="n">
        <v>56.6</v>
      </c>
      <c r="Q771" s="10">
        <f>A771&amp;"|"&amp;B771&amp;"|"&amp;C771&amp;"|"&amp;D771&amp;"|"&amp;E771&amp;"|"&amp;F771&amp;"|"&amp;G771&amp;"|"&amp;H771&amp;"|"&amp;I771&amp;"|"&amp;J771&amp;"|"&amp;K771&amp;"|"&amp;L771&amp;"|"&amp;M771&amp;"|"&amp;N771&amp;"|"&amp;O771&amp;"|"&amp;P771</f>
        <v/>
      </c>
      <c r="R771" s="10">
        <f>IF(COUNTIF($Q$2:$Q$1409,Q771)&gt;1,IF(COUNTIF($Q$2:Q771,Q771)=1,"Exact Duplicate - Keep First","Exact Duplicate - Remove"),"Unique")</f>
        <v/>
      </c>
    </row>
    <row r="772" ht="15" customHeight="1" s="11">
      <c r="A772" s="10" t="inlineStr">
        <is>
          <t>USR-100771</t>
        </is>
      </c>
      <c r="B772" s="14" t="n">
        <v>45721</v>
      </c>
      <c r="C772" s="10" t="inlineStr">
        <is>
          <t>Treatment</t>
        </is>
      </c>
      <c r="D772" s="10" t="inlineStr">
        <is>
          <t>East</t>
        </is>
      </c>
      <c r="E772" s="10" t="inlineStr">
        <is>
          <t>Desktop</t>
        </is>
      </c>
      <c r="F772" s="10" t="inlineStr">
        <is>
          <t>Organic</t>
        </is>
      </c>
      <c r="G772" s="10" t="inlineStr">
        <is>
          <t>Free</t>
        </is>
      </c>
      <c r="H772" s="10" t="n">
        <v>1</v>
      </c>
      <c r="I772" s="10" t="n">
        <v>0</v>
      </c>
      <c r="J772" s="10" t="n">
        <v>0</v>
      </c>
      <c r="K772" s="10" t="n">
        <v>0</v>
      </c>
      <c r="L772" s="10" t="n">
        <v>0</v>
      </c>
      <c r="M772" s="10" t="n">
        <v>0</v>
      </c>
      <c r="N772" s="10" t="n">
        <v>0</v>
      </c>
      <c r="P772" s="10" t="n">
        <v>65.40000000000001</v>
      </c>
      <c r="Q772" s="10">
        <f>A772&amp;"|"&amp;B772&amp;"|"&amp;C772&amp;"|"&amp;D772&amp;"|"&amp;E772&amp;"|"&amp;F772&amp;"|"&amp;G772&amp;"|"&amp;H772&amp;"|"&amp;I772&amp;"|"&amp;J772&amp;"|"&amp;K772&amp;"|"&amp;L772&amp;"|"&amp;M772&amp;"|"&amp;N772&amp;"|"&amp;O772&amp;"|"&amp;P772</f>
        <v/>
      </c>
      <c r="R772" s="10">
        <f>IF(COUNTIF($Q$2:$Q$1409,Q772)&gt;1,IF(COUNTIF($Q$2:Q772,Q772)=1,"Exact Duplicate - Keep First","Exact Duplicate - Remove"),"Unique")</f>
        <v/>
      </c>
    </row>
    <row r="773" ht="15" customHeight="1" s="11">
      <c r="A773" s="10" t="inlineStr">
        <is>
          <t>USR-100772</t>
        </is>
      </c>
      <c r="B773" s="14" t="n">
        <v>45726</v>
      </c>
      <c r="C773" s="10" t="inlineStr">
        <is>
          <t>Treatment</t>
        </is>
      </c>
      <c r="D773" s="10" t="inlineStr">
        <is>
          <t>East</t>
        </is>
      </c>
      <c r="E773" s="10" t="inlineStr">
        <is>
          <t>Mobile</t>
        </is>
      </c>
      <c r="F773" s="10" t="inlineStr">
        <is>
          <t>Referral</t>
        </is>
      </c>
      <c r="G773" s="10" t="inlineStr">
        <is>
          <t>Basic</t>
        </is>
      </c>
      <c r="H773" s="10" t="n">
        <v>1</v>
      </c>
      <c r="I773" s="10" t="n">
        <v>0</v>
      </c>
      <c r="J773" s="10" t="n">
        <v>0</v>
      </c>
      <c r="K773" s="10" t="n">
        <v>0</v>
      </c>
      <c r="L773" s="10" t="n">
        <v>0</v>
      </c>
      <c r="M773" s="10" t="n">
        <v>0</v>
      </c>
      <c r="N773" s="10" t="n">
        <v>0</v>
      </c>
      <c r="P773" s="10" t="n">
        <v>47.6</v>
      </c>
      <c r="Q773" s="10">
        <f>A773&amp;"|"&amp;B773&amp;"|"&amp;C773&amp;"|"&amp;D773&amp;"|"&amp;E773&amp;"|"&amp;F773&amp;"|"&amp;G773&amp;"|"&amp;H773&amp;"|"&amp;I773&amp;"|"&amp;J773&amp;"|"&amp;K773&amp;"|"&amp;L773&amp;"|"&amp;M773&amp;"|"&amp;N773&amp;"|"&amp;O773&amp;"|"&amp;P773</f>
        <v/>
      </c>
      <c r="R773" s="10">
        <f>IF(COUNTIF($Q$2:$Q$1409,Q773)&gt;1,IF(COUNTIF($Q$2:Q773,Q773)=1,"Exact Duplicate - Keep First","Exact Duplicate - Remove"),"Unique")</f>
        <v/>
      </c>
    </row>
    <row r="774" ht="15" customHeight="1" s="11">
      <c r="A774" s="10" t="inlineStr">
        <is>
          <t>USR-100773</t>
        </is>
      </c>
      <c r="B774" s="14" t="n">
        <v>45715</v>
      </c>
      <c r="C774" s="10" t="inlineStr">
        <is>
          <t>Treatment</t>
        </is>
      </c>
      <c r="D774" s="10" t="inlineStr">
        <is>
          <t>East</t>
        </is>
      </c>
      <c r="E774" s="10" t="inlineStr">
        <is>
          <t>Desktop</t>
        </is>
      </c>
      <c r="F774" s="10" t="inlineStr">
        <is>
          <t>Paid Search</t>
        </is>
      </c>
      <c r="G774" s="10" t="inlineStr">
        <is>
          <t>Free</t>
        </is>
      </c>
      <c r="H774" s="10" t="n">
        <v>1</v>
      </c>
      <c r="I774" s="10" t="n">
        <v>0</v>
      </c>
      <c r="J774" s="10" t="n">
        <v>0</v>
      </c>
      <c r="K774" s="10" t="n">
        <v>0</v>
      </c>
      <c r="L774" s="10" t="n">
        <v>0</v>
      </c>
      <c r="M774" s="10" t="n">
        <v>0</v>
      </c>
      <c r="N774" s="10" t="n">
        <v>0</v>
      </c>
      <c r="P774" s="10" t="n">
        <v>56.7</v>
      </c>
      <c r="Q774" s="10">
        <f>A774&amp;"|"&amp;B774&amp;"|"&amp;C774&amp;"|"&amp;D774&amp;"|"&amp;E774&amp;"|"&amp;F774&amp;"|"&amp;G774&amp;"|"&amp;H774&amp;"|"&amp;I774&amp;"|"&amp;J774&amp;"|"&amp;K774&amp;"|"&amp;L774&amp;"|"&amp;M774&amp;"|"&amp;N774&amp;"|"&amp;O774&amp;"|"&amp;P774</f>
        <v/>
      </c>
      <c r="R774" s="10">
        <f>IF(COUNTIF($Q$2:$Q$1409,Q774)&gt;1,IF(COUNTIF($Q$2:Q774,Q774)=1,"Exact Duplicate - Keep First","Exact Duplicate - Remove"),"Unique")</f>
        <v/>
      </c>
    </row>
    <row r="775" ht="15" customHeight="1" s="11">
      <c r="A775" s="10" t="inlineStr">
        <is>
          <t>USR-100774</t>
        </is>
      </c>
      <c r="B775" s="14" t="n">
        <v>45726</v>
      </c>
      <c r="C775" s="10" t="inlineStr">
        <is>
          <t>Treatment</t>
        </is>
      </c>
      <c r="D775" s="10" t="inlineStr">
        <is>
          <t>North</t>
        </is>
      </c>
      <c r="E775" s="10" t="inlineStr">
        <is>
          <t>Desktop</t>
        </is>
      </c>
      <c r="F775" s="10" t="inlineStr">
        <is>
          <t>Referral</t>
        </is>
      </c>
      <c r="G775" s="10" t="inlineStr">
        <is>
          <t>Basic</t>
        </is>
      </c>
      <c r="H775" s="10" t="n">
        <v>1</v>
      </c>
      <c r="I775" s="10" t="n">
        <v>1</v>
      </c>
      <c r="J775" s="10" t="n">
        <v>0</v>
      </c>
      <c r="K775" s="10" t="n">
        <v>0</v>
      </c>
      <c r="L775" s="10" t="n">
        <v>0</v>
      </c>
      <c r="M775" s="10" t="n">
        <v>0</v>
      </c>
      <c r="N775" s="10" t="n">
        <v>0</v>
      </c>
      <c r="P775" s="10" t="n">
        <v>71.40000000000001</v>
      </c>
      <c r="Q775" s="10">
        <f>A775&amp;"|"&amp;B775&amp;"|"&amp;C775&amp;"|"&amp;D775&amp;"|"&amp;E775&amp;"|"&amp;F775&amp;"|"&amp;G775&amp;"|"&amp;H775&amp;"|"&amp;I775&amp;"|"&amp;J775&amp;"|"&amp;K775&amp;"|"&amp;L775&amp;"|"&amp;M775&amp;"|"&amp;N775&amp;"|"&amp;O775&amp;"|"&amp;P775</f>
        <v/>
      </c>
      <c r="R775" s="10">
        <f>IF(COUNTIF($Q$2:$Q$1409,Q775)&gt;1,IF(COUNTIF($Q$2:Q775,Q775)=1,"Exact Duplicate - Keep First","Exact Duplicate - Remove"),"Unique")</f>
        <v/>
      </c>
    </row>
    <row r="776" ht="15" customHeight="1" s="11">
      <c r="A776" s="10" t="inlineStr">
        <is>
          <t>USR-100775</t>
        </is>
      </c>
      <c r="B776" s="14" t="n">
        <v>45770</v>
      </c>
      <c r="C776" s="10" t="inlineStr">
        <is>
          <t>Treatment</t>
        </is>
      </c>
      <c r="D776" s="10" t="inlineStr">
        <is>
          <t>West</t>
        </is>
      </c>
      <c r="E776" s="10" t="inlineStr">
        <is>
          <t>Mobile</t>
        </is>
      </c>
      <c r="F776" s="10" t="inlineStr">
        <is>
          <t>Social</t>
        </is>
      </c>
      <c r="G776" s="10" t="inlineStr">
        <is>
          <t>Free</t>
        </is>
      </c>
      <c r="H776" s="10" t="n">
        <v>0</v>
      </c>
      <c r="I776" s="10" t="n">
        <v>0</v>
      </c>
      <c r="J776" s="10" t="n">
        <v>0</v>
      </c>
      <c r="K776" s="10" t="n">
        <v>0</v>
      </c>
      <c r="L776" s="10" t="n">
        <v>0</v>
      </c>
      <c r="M776" s="10" t="n">
        <v>2</v>
      </c>
      <c r="N776" s="10" t="n">
        <v>0</v>
      </c>
      <c r="P776" s="10" t="n">
        <v>60.5</v>
      </c>
      <c r="Q776" s="10">
        <f>A776&amp;"|"&amp;B776&amp;"|"&amp;C776&amp;"|"&amp;D776&amp;"|"&amp;E776&amp;"|"&amp;F776&amp;"|"&amp;G776&amp;"|"&amp;H776&amp;"|"&amp;I776&amp;"|"&amp;J776&amp;"|"&amp;K776&amp;"|"&amp;L776&amp;"|"&amp;M776&amp;"|"&amp;N776&amp;"|"&amp;O776&amp;"|"&amp;P776</f>
        <v/>
      </c>
      <c r="R776" s="10">
        <f>IF(COUNTIF($Q$2:$Q$1409,Q776)&gt;1,IF(COUNTIF($Q$2:Q776,Q776)=1,"Exact Duplicate - Keep First","Exact Duplicate - Remove"),"Unique")</f>
        <v/>
      </c>
    </row>
    <row r="777" ht="15" customHeight="1" s="11">
      <c r="A777" s="10" t="inlineStr">
        <is>
          <t>USR-100776</t>
        </is>
      </c>
      <c r="B777" s="14" t="n">
        <v>45759</v>
      </c>
      <c r="C777" s="10" t="inlineStr">
        <is>
          <t>Treatment</t>
        </is>
      </c>
      <c r="D777" s="10" t="inlineStr">
        <is>
          <t>North</t>
        </is>
      </c>
      <c r="E777" s="10" t="inlineStr">
        <is>
          <t>Desktop</t>
        </is>
      </c>
      <c r="F777" s="10" t="inlineStr">
        <is>
          <t>Paid Search</t>
        </is>
      </c>
      <c r="G777" s="10" t="inlineStr">
        <is>
          <t>Free</t>
        </is>
      </c>
      <c r="H777" s="10" t="n">
        <v>1</v>
      </c>
      <c r="I777" s="10" t="n">
        <v>0</v>
      </c>
      <c r="J777" s="10" t="n">
        <v>0</v>
      </c>
      <c r="K777" s="10" t="n">
        <v>0</v>
      </c>
      <c r="L777" s="10" t="n">
        <v>0</v>
      </c>
      <c r="M777" s="10" t="n">
        <v>0</v>
      </c>
      <c r="N777" s="10" t="n">
        <v>0</v>
      </c>
      <c r="P777" s="10" t="n">
        <v>46.7</v>
      </c>
      <c r="Q777" s="10">
        <f>A777&amp;"|"&amp;B777&amp;"|"&amp;C777&amp;"|"&amp;D777&amp;"|"&amp;E777&amp;"|"&amp;F777&amp;"|"&amp;G777&amp;"|"&amp;H777&amp;"|"&amp;I777&amp;"|"&amp;J777&amp;"|"&amp;K777&amp;"|"&amp;L777&amp;"|"&amp;M777&amp;"|"&amp;N777&amp;"|"&amp;O777&amp;"|"&amp;P777</f>
        <v/>
      </c>
      <c r="R777" s="10">
        <f>IF(COUNTIF($Q$2:$Q$1409,Q777)&gt;1,IF(COUNTIF($Q$2:Q777,Q777)=1,"Exact Duplicate - Keep First","Exact Duplicate - Remove"),"Unique")</f>
        <v/>
      </c>
    </row>
    <row r="778" ht="15" customHeight="1" s="11">
      <c r="A778" s="10" t="inlineStr">
        <is>
          <t>USR-100777</t>
        </is>
      </c>
      <c r="B778" s="14" t="n">
        <v>45683</v>
      </c>
      <c r="C778" s="10" t="inlineStr">
        <is>
          <t>Treatment</t>
        </is>
      </c>
      <c r="D778" s="10" t="inlineStr">
        <is>
          <t>East</t>
        </is>
      </c>
      <c r="E778" s="10" t="inlineStr">
        <is>
          <t>Desktop</t>
        </is>
      </c>
      <c r="F778" s="10" t="inlineStr">
        <is>
          <t>Referral</t>
        </is>
      </c>
      <c r="G778" s="10" t="inlineStr">
        <is>
          <t>Free</t>
        </is>
      </c>
      <c r="H778" s="10" t="n">
        <v>0</v>
      </c>
      <c r="I778" s="10" t="n">
        <v>0</v>
      </c>
      <c r="J778" s="10" t="n">
        <v>0</v>
      </c>
      <c r="K778" s="10" t="n">
        <v>0</v>
      </c>
      <c r="L778" s="10" t="n">
        <v>0</v>
      </c>
      <c r="M778" s="10" t="n">
        <v>0</v>
      </c>
      <c r="N778" s="10" t="n">
        <v>0</v>
      </c>
      <c r="P778" s="10" t="n">
        <v>61</v>
      </c>
      <c r="Q778" s="10">
        <f>A778&amp;"|"&amp;B778&amp;"|"&amp;C778&amp;"|"&amp;D778&amp;"|"&amp;E778&amp;"|"&amp;F778&amp;"|"&amp;G778&amp;"|"&amp;H778&amp;"|"&amp;I778&amp;"|"&amp;J778&amp;"|"&amp;K778&amp;"|"&amp;L778&amp;"|"&amp;M778&amp;"|"&amp;N778&amp;"|"&amp;O778&amp;"|"&amp;P778</f>
        <v/>
      </c>
      <c r="R778" s="10">
        <f>IF(COUNTIF($Q$2:$Q$1409,Q778)&gt;1,IF(COUNTIF($Q$2:Q778,Q778)=1,"Exact Duplicate - Keep First","Exact Duplicate - Remove"),"Unique")</f>
        <v/>
      </c>
    </row>
    <row r="779" ht="15" customHeight="1" s="11">
      <c r="A779" s="10" t="inlineStr">
        <is>
          <t>USR-100778</t>
        </is>
      </c>
      <c r="B779" s="14" t="n">
        <v>45801</v>
      </c>
      <c r="C779" s="10" t="inlineStr">
        <is>
          <t>Treatment</t>
        </is>
      </c>
      <c r="D779" s="10" t="inlineStr">
        <is>
          <t>West</t>
        </is>
      </c>
      <c r="E779" s="10" t="inlineStr">
        <is>
          <t>Tablet</t>
        </is>
      </c>
      <c r="F779" s="10" t="inlineStr">
        <is>
          <t>Paid Search</t>
        </is>
      </c>
      <c r="G779" s="10" t="inlineStr">
        <is>
          <t>Free</t>
        </is>
      </c>
      <c r="H779" s="10" t="n">
        <v>0</v>
      </c>
      <c r="I779" s="10" t="n">
        <v>0</v>
      </c>
      <c r="J779" s="10" t="n">
        <v>0</v>
      </c>
      <c r="K779" s="10" t="n">
        <v>0</v>
      </c>
      <c r="L779" s="10" t="n">
        <v>0</v>
      </c>
      <c r="M779" s="10" t="n">
        <v>0</v>
      </c>
      <c r="N779" s="10" t="n">
        <v>0</v>
      </c>
      <c r="P779" s="10" t="n">
        <v>60.9</v>
      </c>
      <c r="Q779" s="10">
        <f>A779&amp;"|"&amp;B779&amp;"|"&amp;C779&amp;"|"&amp;D779&amp;"|"&amp;E779&amp;"|"&amp;F779&amp;"|"&amp;G779&amp;"|"&amp;H779&amp;"|"&amp;I779&amp;"|"&amp;J779&amp;"|"&amp;K779&amp;"|"&amp;L779&amp;"|"&amp;M779&amp;"|"&amp;N779&amp;"|"&amp;O779&amp;"|"&amp;P779</f>
        <v/>
      </c>
      <c r="R779" s="10">
        <f>IF(COUNTIF($Q$2:$Q$1409,Q779)&gt;1,IF(COUNTIF($Q$2:Q779,Q779)=1,"Exact Duplicate - Keep First","Exact Duplicate - Remove"),"Unique")</f>
        <v/>
      </c>
    </row>
    <row r="780" ht="15" customHeight="1" s="11">
      <c r="A780" s="10" t="inlineStr">
        <is>
          <t>USR-100779</t>
        </is>
      </c>
      <c r="B780" s="14" t="n">
        <v>45665</v>
      </c>
      <c r="C780" s="10" t="inlineStr">
        <is>
          <t>Treatment</t>
        </is>
      </c>
      <c r="D780" s="10" t="inlineStr">
        <is>
          <t>South</t>
        </is>
      </c>
      <c r="E780" s="10" t="inlineStr">
        <is>
          <t>Mobile</t>
        </is>
      </c>
      <c r="F780" s="10" t="inlineStr">
        <is>
          <t>Organic</t>
        </is>
      </c>
      <c r="G780" s="10" t="inlineStr">
        <is>
          <t>Free</t>
        </is>
      </c>
      <c r="H780" s="10" t="n">
        <v>1</v>
      </c>
      <c r="I780" s="10" t="n">
        <v>0</v>
      </c>
      <c r="J780" s="10" t="n">
        <v>0</v>
      </c>
      <c r="K780" s="10" t="n">
        <v>0</v>
      </c>
      <c r="L780" s="10" t="n">
        <v>0</v>
      </c>
      <c r="M780" s="10" t="n">
        <v>0</v>
      </c>
      <c r="N780" s="10" t="n">
        <v>0</v>
      </c>
      <c r="P780" s="10" t="n">
        <v>67.09999999999999</v>
      </c>
      <c r="Q780" s="10">
        <f>A780&amp;"|"&amp;B780&amp;"|"&amp;C780&amp;"|"&amp;D780&amp;"|"&amp;E780&amp;"|"&amp;F780&amp;"|"&amp;G780&amp;"|"&amp;H780&amp;"|"&amp;I780&amp;"|"&amp;J780&amp;"|"&amp;K780&amp;"|"&amp;L780&amp;"|"&amp;M780&amp;"|"&amp;N780&amp;"|"&amp;O780&amp;"|"&amp;P780</f>
        <v/>
      </c>
      <c r="R780" s="10">
        <f>IF(COUNTIF($Q$2:$Q$1409,Q780)&gt;1,IF(COUNTIF($Q$2:Q780,Q780)=1,"Exact Duplicate - Keep First","Exact Duplicate - Remove"),"Unique")</f>
        <v/>
      </c>
    </row>
    <row r="781" ht="15" customHeight="1" s="11">
      <c r="A781" s="10" t="inlineStr">
        <is>
          <t>USR-100780</t>
        </is>
      </c>
      <c r="B781" s="14" t="n">
        <v>45762</v>
      </c>
      <c r="C781" s="10" t="inlineStr">
        <is>
          <t>Treatment</t>
        </is>
      </c>
      <c r="D781" s="10" t="inlineStr">
        <is>
          <t>North</t>
        </is>
      </c>
      <c r="E781" s="10" t="inlineStr">
        <is>
          <t>Mobile</t>
        </is>
      </c>
      <c r="F781" s="10" t="inlineStr">
        <is>
          <t>Referral</t>
        </is>
      </c>
      <c r="G781" s="10" t="inlineStr">
        <is>
          <t>Free</t>
        </is>
      </c>
      <c r="H781" s="10" t="n">
        <v>1</v>
      </c>
      <c r="I781" s="10" t="n">
        <v>1</v>
      </c>
      <c r="J781" s="10" t="n">
        <v>0</v>
      </c>
      <c r="K781" s="10" t="n">
        <v>0</v>
      </c>
      <c r="L781" s="10" t="n">
        <v>0</v>
      </c>
      <c r="M781" s="10" t="n">
        <v>0</v>
      </c>
      <c r="N781" s="10" t="n">
        <v>0</v>
      </c>
      <c r="P781" s="10" t="n">
        <v>59.6</v>
      </c>
      <c r="Q781" s="10">
        <f>A781&amp;"|"&amp;B781&amp;"|"&amp;C781&amp;"|"&amp;D781&amp;"|"&amp;E781&amp;"|"&amp;F781&amp;"|"&amp;G781&amp;"|"&amp;H781&amp;"|"&amp;I781&amp;"|"&amp;J781&amp;"|"&amp;K781&amp;"|"&amp;L781&amp;"|"&amp;M781&amp;"|"&amp;N781&amp;"|"&amp;O781&amp;"|"&amp;P781</f>
        <v/>
      </c>
      <c r="R781" s="10">
        <f>IF(COUNTIF($Q$2:$Q$1409,Q781)&gt;1,IF(COUNTIF($Q$2:Q781,Q781)=1,"Exact Duplicate - Keep First","Exact Duplicate - Remove"),"Unique")</f>
        <v/>
      </c>
    </row>
    <row r="782" ht="15" customHeight="1" s="11">
      <c r="A782" s="10" t="inlineStr">
        <is>
          <t>USR-100781</t>
        </is>
      </c>
      <c r="B782" s="14" t="n">
        <v>45672</v>
      </c>
      <c r="C782" s="10" t="inlineStr">
        <is>
          <t>Treatment</t>
        </is>
      </c>
      <c r="D782" s="10" t="inlineStr">
        <is>
          <t>South</t>
        </is>
      </c>
      <c r="E782" s="10" t="inlineStr">
        <is>
          <t>Desktop</t>
        </is>
      </c>
      <c r="F782" s="10" t="inlineStr">
        <is>
          <t>Paid Search</t>
        </is>
      </c>
      <c r="G782" s="10" t="inlineStr">
        <is>
          <t>Free</t>
        </is>
      </c>
      <c r="H782" s="10" t="n">
        <v>1</v>
      </c>
      <c r="I782" s="10" t="n">
        <v>0</v>
      </c>
      <c r="J782" s="10" t="n">
        <v>0</v>
      </c>
      <c r="K782" s="10" t="n">
        <v>0</v>
      </c>
      <c r="L782" s="10" t="n">
        <v>0</v>
      </c>
      <c r="M782" s="10" t="n">
        <v>0</v>
      </c>
      <c r="N782" s="10" t="n">
        <v>0</v>
      </c>
      <c r="P782" s="10" t="n">
        <v>83.8</v>
      </c>
      <c r="Q782" s="10">
        <f>A782&amp;"|"&amp;B782&amp;"|"&amp;C782&amp;"|"&amp;D782&amp;"|"&amp;E782&amp;"|"&amp;F782&amp;"|"&amp;G782&amp;"|"&amp;H782&amp;"|"&amp;I782&amp;"|"&amp;J782&amp;"|"&amp;K782&amp;"|"&amp;L782&amp;"|"&amp;M782&amp;"|"&amp;N782&amp;"|"&amp;O782&amp;"|"&amp;P782</f>
        <v/>
      </c>
      <c r="R782" s="10">
        <f>IF(COUNTIF($Q$2:$Q$1409,Q782)&gt;1,IF(COUNTIF($Q$2:Q782,Q782)=1,"Exact Duplicate - Keep First","Exact Duplicate - Remove"),"Unique")</f>
        <v/>
      </c>
    </row>
    <row r="783" ht="15" customHeight="1" s="11">
      <c r="A783" s="10" t="inlineStr">
        <is>
          <t>USR-100782</t>
        </is>
      </c>
      <c r="B783" s="14" t="n">
        <v>45716</v>
      </c>
      <c r="C783" s="10" t="inlineStr">
        <is>
          <t>Treatment</t>
        </is>
      </c>
      <c r="D783" s="10" t="inlineStr">
        <is>
          <t>North</t>
        </is>
      </c>
      <c r="E783" s="10" t="inlineStr">
        <is>
          <t>Mobile</t>
        </is>
      </c>
      <c r="F783" s="10" t="inlineStr">
        <is>
          <t>Organic</t>
        </is>
      </c>
      <c r="G783" s="10" t="inlineStr">
        <is>
          <t>Basic</t>
        </is>
      </c>
      <c r="H783" s="10" t="n">
        <v>1</v>
      </c>
      <c r="I783" s="10" t="n">
        <v>1</v>
      </c>
      <c r="J783" s="10" t="n">
        <v>1</v>
      </c>
      <c r="K783" s="10" t="n">
        <v>0</v>
      </c>
      <c r="L783" s="10" t="n">
        <v>0</v>
      </c>
      <c r="M783" s="10" t="n">
        <v>0</v>
      </c>
      <c r="N783" s="10" t="n">
        <v>0</v>
      </c>
      <c r="P783" s="10" t="n">
        <v>70.8</v>
      </c>
      <c r="Q783" s="10">
        <f>A783&amp;"|"&amp;B783&amp;"|"&amp;C783&amp;"|"&amp;D783&amp;"|"&amp;E783&amp;"|"&amp;F783&amp;"|"&amp;G783&amp;"|"&amp;H783&amp;"|"&amp;I783&amp;"|"&amp;J783&amp;"|"&amp;K783&amp;"|"&amp;L783&amp;"|"&amp;M783&amp;"|"&amp;N783&amp;"|"&amp;O783&amp;"|"&amp;P783</f>
        <v/>
      </c>
      <c r="R783" s="10">
        <f>IF(COUNTIF($Q$2:$Q$1409,Q783)&gt;1,IF(COUNTIF($Q$2:Q783,Q783)=1,"Exact Duplicate - Keep First","Exact Duplicate - Remove"),"Unique")</f>
        <v/>
      </c>
    </row>
    <row r="784" ht="15" customHeight="1" s="11">
      <c r="A784" s="10" t="inlineStr">
        <is>
          <t>USR-100783</t>
        </is>
      </c>
      <c r="B784" s="14" t="n">
        <v>45658</v>
      </c>
      <c r="C784" s="10" t="inlineStr">
        <is>
          <t>Treatment</t>
        </is>
      </c>
      <c r="D784" s="10" t="inlineStr">
        <is>
          <t>North</t>
        </is>
      </c>
      <c r="E784" s="10" t="inlineStr">
        <is>
          <t>Tablet</t>
        </is>
      </c>
      <c r="F784" s="10" t="inlineStr">
        <is>
          <t>Organic</t>
        </is>
      </c>
      <c r="G784" s="10" t="inlineStr">
        <is>
          <t>Basic</t>
        </is>
      </c>
      <c r="H784" s="10" t="n">
        <v>0</v>
      </c>
      <c r="I784" s="10" t="n">
        <v>0</v>
      </c>
      <c r="J784" s="10" t="n">
        <v>0</v>
      </c>
      <c r="K784" s="10" t="n">
        <v>0</v>
      </c>
      <c r="L784" s="10" t="n">
        <v>0</v>
      </c>
      <c r="M784" s="10" t="n">
        <v>0</v>
      </c>
      <c r="N784" s="10" t="n">
        <v>0</v>
      </c>
      <c r="P784" s="10" t="n">
        <v>65.90000000000001</v>
      </c>
      <c r="Q784" s="10">
        <f>A784&amp;"|"&amp;B784&amp;"|"&amp;C784&amp;"|"&amp;D784&amp;"|"&amp;E784&amp;"|"&amp;F784&amp;"|"&amp;G784&amp;"|"&amp;H784&amp;"|"&amp;I784&amp;"|"&amp;J784&amp;"|"&amp;K784&amp;"|"&amp;L784&amp;"|"&amp;M784&amp;"|"&amp;N784&amp;"|"&amp;O784&amp;"|"&amp;P784</f>
        <v/>
      </c>
      <c r="R784" s="10">
        <f>IF(COUNTIF($Q$2:$Q$1409,Q784)&gt;1,IF(COUNTIF($Q$2:Q784,Q784)=1,"Exact Duplicate - Keep First","Exact Duplicate - Remove"),"Unique")</f>
        <v/>
      </c>
    </row>
    <row r="785" ht="15" customHeight="1" s="11">
      <c r="A785" s="10" t="inlineStr">
        <is>
          <t>USR-100784</t>
        </is>
      </c>
      <c r="B785" s="14" t="n">
        <v>45764</v>
      </c>
      <c r="C785" s="10" t="inlineStr">
        <is>
          <t>Treatment</t>
        </is>
      </c>
      <c r="D785" s="10" t="inlineStr">
        <is>
          <t>West</t>
        </is>
      </c>
      <c r="E785" s="10" t="inlineStr">
        <is>
          <t>Mobile</t>
        </is>
      </c>
      <c r="F785" s="10" t="inlineStr">
        <is>
          <t>Referral</t>
        </is>
      </c>
      <c r="G785" s="10" t="inlineStr">
        <is>
          <t>Free</t>
        </is>
      </c>
      <c r="H785" s="10" t="n">
        <v>1</v>
      </c>
      <c r="I785" s="10" t="n">
        <v>0</v>
      </c>
      <c r="J785" s="10" t="n">
        <v>0</v>
      </c>
      <c r="K785" s="10" t="n">
        <v>0</v>
      </c>
      <c r="L785" s="10" t="n">
        <v>0</v>
      </c>
      <c r="M785" s="10" t="n">
        <v>0</v>
      </c>
      <c r="N785" s="10" t="n">
        <v>0</v>
      </c>
      <c r="P785" s="10" t="n">
        <v>58</v>
      </c>
      <c r="Q785" s="10">
        <f>A785&amp;"|"&amp;B785&amp;"|"&amp;C785&amp;"|"&amp;D785&amp;"|"&amp;E785&amp;"|"&amp;F785&amp;"|"&amp;G785&amp;"|"&amp;H785&amp;"|"&amp;I785&amp;"|"&amp;J785&amp;"|"&amp;K785&amp;"|"&amp;L785&amp;"|"&amp;M785&amp;"|"&amp;N785&amp;"|"&amp;O785&amp;"|"&amp;P785</f>
        <v/>
      </c>
      <c r="R785" s="10">
        <f>IF(COUNTIF($Q$2:$Q$1409,Q785)&gt;1,IF(COUNTIF($Q$2:Q785,Q785)=1,"Exact Duplicate - Keep First","Exact Duplicate - Remove"),"Unique")</f>
        <v/>
      </c>
    </row>
    <row r="786" ht="15" customHeight="1" s="11">
      <c r="A786" s="10" t="inlineStr">
        <is>
          <t>USR-100785</t>
        </is>
      </c>
      <c r="B786" s="14" t="n">
        <v>45707</v>
      </c>
      <c r="C786" s="10" t="inlineStr">
        <is>
          <t>Treatment</t>
        </is>
      </c>
      <c r="D786" s="10" t="inlineStr">
        <is>
          <t>North</t>
        </is>
      </c>
      <c r="E786" s="10" t="inlineStr">
        <is>
          <t>Mobile</t>
        </is>
      </c>
      <c r="F786" s="10" t="inlineStr">
        <is>
          <t>Email</t>
        </is>
      </c>
      <c r="G786" s="10" t="inlineStr">
        <is>
          <t>Basic</t>
        </is>
      </c>
      <c r="H786" s="10" t="n">
        <v>1</v>
      </c>
      <c r="I786" s="10" t="n">
        <v>1</v>
      </c>
      <c r="J786" s="10" t="n">
        <v>0</v>
      </c>
      <c r="K786" s="10" t="n">
        <v>0</v>
      </c>
      <c r="L786" s="10" t="n">
        <v>0</v>
      </c>
      <c r="M786" s="10" t="n">
        <v>0</v>
      </c>
      <c r="N786" s="10" t="n">
        <v>0</v>
      </c>
      <c r="P786" s="10" t="n">
        <v>80.3</v>
      </c>
      <c r="Q786" s="10">
        <f>A786&amp;"|"&amp;B786&amp;"|"&amp;C786&amp;"|"&amp;D786&amp;"|"&amp;E786&amp;"|"&amp;F786&amp;"|"&amp;G786&amp;"|"&amp;H786&amp;"|"&amp;I786&amp;"|"&amp;J786&amp;"|"&amp;K786&amp;"|"&amp;L786&amp;"|"&amp;M786&amp;"|"&amp;N786&amp;"|"&amp;O786&amp;"|"&amp;P786</f>
        <v/>
      </c>
      <c r="R786" s="10">
        <f>IF(COUNTIF($Q$2:$Q$1409,Q786)&gt;1,IF(COUNTIF($Q$2:Q786,Q786)=1,"Exact Duplicate - Keep First","Exact Duplicate - Remove"),"Unique")</f>
        <v/>
      </c>
    </row>
    <row r="787" ht="15" customHeight="1" s="11">
      <c r="A787" s="10" t="inlineStr">
        <is>
          <t>USR-100786</t>
        </is>
      </c>
      <c r="B787" s="14" t="n">
        <v>45730</v>
      </c>
      <c r="C787" s="10" t="inlineStr">
        <is>
          <t>Treatment</t>
        </is>
      </c>
      <c r="D787" s="10" t="inlineStr">
        <is>
          <t>North</t>
        </is>
      </c>
      <c r="E787" s="10" t="inlineStr">
        <is>
          <t>Desktop</t>
        </is>
      </c>
      <c r="F787" s="10" t="inlineStr">
        <is>
          <t>Organic</t>
        </is>
      </c>
      <c r="G787" s="10" t="inlineStr">
        <is>
          <t>Free</t>
        </is>
      </c>
      <c r="H787" s="10" t="n">
        <v>1</v>
      </c>
      <c r="I787" s="10" t="n">
        <v>0</v>
      </c>
      <c r="J787" s="10" t="n">
        <v>0</v>
      </c>
      <c r="K787" s="10" t="n">
        <v>0</v>
      </c>
      <c r="L787" s="10" t="n">
        <v>0</v>
      </c>
      <c r="M787" s="10" t="n">
        <v>0</v>
      </c>
      <c r="N787" s="10" t="n">
        <v>0</v>
      </c>
      <c r="P787" s="10" t="n">
        <v>55.7</v>
      </c>
      <c r="Q787" s="10">
        <f>A787&amp;"|"&amp;B787&amp;"|"&amp;C787&amp;"|"&amp;D787&amp;"|"&amp;E787&amp;"|"&amp;F787&amp;"|"&amp;G787&amp;"|"&amp;H787&amp;"|"&amp;I787&amp;"|"&amp;J787&amp;"|"&amp;K787&amp;"|"&amp;L787&amp;"|"&amp;M787&amp;"|"&amp;N787&amp;"|"&amp;O787&amp;"|"&amp;P787</f>
        <v/>
      </c>
      <c r="R787" s="10">
        <f>IF(COUNTIF($Q$2:$Q$1409,Q787)&gt;1,IF(COUNTIF($Q$2:Q787,Q787)=1,"Exact Duplicate - Keep First","Exact Duplicate - Remove"),"Unique")</f>
        <v/>
      </c>
    </row>
    <row r="788" ht="15" customHeight="1" s="11">
      <c r="A788" s="10" t="inlineStr">
        <is>
          <t>USR-100787</t>
        </is>
      </c>
      <c r="B788" s="14" t="n">
        <v>45768</v>
      </c>
      <c r="C788" s="10" t="inlineStr">
        <is>
          <t>Treatment</t>
        </is>
      </c>
      <c r="D788" s="10" t="inlineStr">
        <is>
          <t>North</t>
        </is>
      </c>
      <c r="E788" s="10" t="inlineStr">
        <is>
          <t>Mobile</t>
        </is>
      </c>
      <c r="F788" s="10" t="inlineStr">
        <is>
          <t>Organic</t>
        </is>
      </c>
      <c r="G788" s="10" t="inlineStr">
        <is>
          <t>Free</t>
        </is>
      </c>
      <c r="H788" s="10" t="n">
        <v>1</v>
      </c>
      <c r="I788" s="10" t="n">
        <v>1</v>
      </c>
      <c r="J788" s="10" t="n">
        <v>0</v>
      </c>
      <c r="K788" s="10" t="n">
        <v>0</v>
      </c>
      <c r="L788" s="10" t="n">
        <v>0</v>
      </c>
      <c r="M788" s="10" t="n">
        <v>0</v>
      </c>
      <c r="N788" s="10" t="n">
        <v>0</v>
      </c>
      <c r="P788" s="10" t="n">
        <v>84.90000000000001</v>
      </c>
      <c r="Q788" s="10">
        <f>A788&amp;"|"&amp;B788&amp;"|"&amp;C788&amp;"|"&amp;D788&amp;"|"&amp;E788&amp;"|"&amp;F788&amp;"|"&amp;G788&amp;"|"&amp;H788&amp;"|"&amp;I788&amp;"|"&amp;J788&amp;"|"&amp;K788&amp;"|"&amp;L788&amp;"|"&amp;M788&amp;"|"&amp;N788&amp;"|"&amp;O788&amp;"|"&amp;P788</f>
        <v/>
      </c>
      <c r="R788" s="10">
        <f>IF(COUNTIF($Q$2:$Q$1409,Q788)&gt;1,IF(COUNTIF($Q$2:Q788,Q788)=1,"Exact Duplicate - Keep First","Exact Duplicate - Remove"),"Unique")</f>
        <v/>
      </c>
    </row>
    <row r="789" ht="15" customHeight="1" s="11">
      <c r="A789" s="10" t="inlineStr">
        <is>
          <t>USR-100788</t>
        </is>
      </c>
      <c r="B789" s="14" t="n">
        <v>45702</v>
      </c>
      <c r="C789" s="10" t="inlineStr">
        <is>
          <t>Treatment</t>
        </is>
      </c>
      <c r="D789" s="10" t="inlineStr">
        <is>
          <t>North</t>
        </is>
      </c>
      <c r="E789" s="10" t="inlineStr">
        <is>
          <t>Mobile</t>
        </is>
      </c>
      <c r="F789" s="10" t="inlineStr">
        <is>
          <t>Organic</t>
        </is>
      </c>
      <c r="G789" s="10" t="inlineStr">
        <is>
          <t>Free</t>
        </is>
      </c>
      <c r="H789" s="10" t="n">
        <v>1</v>
      </c>
      <c r="I789" s="10" t="n">
        <v>0</v>
      </c>
      <c r="J789" s="10" t="n">
        <v>0</v>
      </c>
      <c r="K789" s="10" t="n">
        <v>0</v>
      </c>
      <c r="L789" s="10" t="n">
        <v>0</v>
      </c>
      <c r="M789" s="10" t="n">
        <v>0</v>
      </c>
      <c r="N789" s="10" t="n">
        <v>0</v>
      </c>
      <c r="P789" s="10" t="n">
        <v>63.3</v>
      </c>
      <c r="Q789" s="10">
        <f>A789&amp;"|"&amp;B789&amp;"|"&amp;C789&amp;"|"&amp;D789&amp;"|"&amp;E789&amp;"|"&amp;F789&amp;"|"&amp;G789&amp;"|"&amp;H789&amp;"|"&amp;I789&amp;"|"&amp;J789&amp;"|"&amp;K789&amp;"|"&amp;L789&amp;"|"&amp;M789&amp;"|"&amp;N789&amp;"|"&amp;O789&amp;"|"&amp;P789</f>
        <v/>
      </c>
      <c r="R789" s="10">
        <f>IF(COUNTIF($Q$2:$Q$1409,Q789)&gt;1,IF(COUNTIF($Q$2:Q789,Q789)=1,"Exact Duplicate - Keep First","Exact Duplicate - Remove"),"Unique")</f>
        <v/>
      </c>
    </row>
    <row r="790" ht="15" customHeight="1" s="11">
      <c r="A790" s="10" t="inlineStr">
        <is>
          <t>USR-100789</t>
        </is>
      </c>
      <c r="B790" s="14" t="n">
        <v>45807</v>
      </c>
      <c r="C790" s="10" t="inlineStr">
        <is>
          <t>Treatment</t>
        </is>
      </c>
      <c r="D790" s="10" t="inlineStr">
        <is>
          <t>West</t>
        </is>
      </c>
      <c r="E790" s="10" t="inlineStr">
        <is>
          <t>Mobile</t>
        </is>
      </c>
      <c r="F790" s="10" t="inlineStr">
        <is>
          <t>Organic</t>
        </is>
      </c>
      <c r="G790" s="10" t="inlineStr">
        <is>
          <t>Free</t>
        </is>
      </c>
      <c r="H790" s="10" t="n">
        <v>0</v>
      </c>
      <c r="I790" s="10" t="n">
        <v>0</v>
      </c>
      <c r="J790" s="10" t="n">
        <v>0</v>
      </c>
      <c r="K790" s="10" t="n">
        <v>0</v>
      </c>
      <c r="L790" s="10" t="n">
        <v>0</v>
      </c>
      <c r="M790" s="10" t="n">
        <v>0</v>
      </c>
      <c r="N790" s="10" t="n">
        <v>0</v>
      </c>
      <c r="P790" s="10" t="n">
        <v>53.1</v>
      </c>
      <c r="Q790" s="10">
        <f>A790&amp;"|"&amp;B790&amp;"|"&amp;C790&amp;"|"&amp;D790&amp;"|"&amp;E790&amp;"|"&amp;F790&amp;"|"&amp;G790&amp;"|"&amp;H790&amp;"|"&amp;I790&amp;"|"&amp;J790&amp;"|"&amp;K790&amp;"|"&amp;L790&amp;"|"&amp;M790&amp;"|"&amp;N790&amp;"|"&amp;O790&amp;"|"&amp;P790</f>
        <v/>
      </c>
      <c r="R790" s="10">
        <f>IF(COUNTIF($Q$2:$Q$1409,Q790)&gt;1,IF(COUNTIF($Q$2:Q790,Q790)=1,"Exact Duplicate - Keep First","Exact Duplicate - Remove"),"Unique")</f>
        <v/>
      </c>
    </row>
    <row r="791" ht="15" customHeight="1" s="11">
      <c r="A791" s="10" t="inlineStr">
        <is>
          <t>USR-100790</t>
        </is>
      </c>
      <c r="B791" s="14" t="n">
        <v>45677</v>
      </c>
      <c r="C791" s="10" t="inlineStr">
        <is>
          <t>Treatment</t>
        </is>
      </c>
      <c r="D791" s="10" t="inlineStr">
        <is>
          <t>West</t>
        </is>
      </c>
      <c r="E791" s="10" t="inlineStr">
        <is>
          <t>Mobile</t>
        </is>
      </c>
      <c r="F791" s="10" t="inlineStr">
        <is>
          <t>Organic</t>
        </is>
      </c>
      <c r="G791" s="10" t="inlineStr">
        <is>
          <t>Free</t>
        </is>
      </c>
      <c r="H791" s="10" t="n">
        <v>0</v>
      </c>
      <c r="I791" s="10" t="n">
        <v>0</v>
      </c>
      <c r="J791" s="10" t="n">
        <v>0</v>
      </c>
      <c r="K791" s="10" t="n">
        <v>0</v>
      </c>
      <c r="L791" s="10" t="n">
        <v>0</v>
      </c>
      <c r="M791" s="10" t="n">
        <v>0</v>
      </c>
      <c r="N791" s="10" t="n">
        <v>0</v>
      </c>
      <c r="P791" s="10" t="n">
        <v>66</v>
      </c>
      <c r="Q791" s="10">
        <f>A791&amp;"|"&amp;B791&amp;"|"&amp;C791&amp;"|"&amp;D791&amp;"|"&amp;E791&amp;"|"&amp;F791&amp;"|"&amp;G791&amp;"|"&amp;H791&amp;"|"&amp;I791&amp;"|"&amp;J791&amp;"|"&amp;K791&amp;"|"&amp;L791&amp;"|"&amp;M791&amp;"|"&amp;N791&amp;"|"&amp;O791&amp;"|"&amp;P791</f>
        <v/>
      </c>
      <c r="R791" s="10">
        <f>IF(COUNTIF($Q$2:$Q$1409,Q791)&gt;1,IF(COUNTIF($Q$2:Q791,Q791)=1,"Exact Duplicate - Keep First","Exact Duplicate - Remove"),"Unique")</f>
        <v/>
      </c>
    </row>
    <row r="792" ht="15" customHeight="1" s="11">
      <c r="A792" s="10" t="inlineStr">
        <is>
          <t>USR-100791</t>
        </is>
      </c>
      <c r="B792" s="14" t="n">
        <v>45733</v>
      </c>
      <c r="C792" s="10" t="inlineStr">
        <is>
          <t>Treatment</t>
        </is>
      </c>
      <c r="D792" s="10" t="inlineStr">
        <is>
          <t>West</t>
        </is>
      </c>
      <c r="E792" s="10" t="inlineStr">
        <is>
          <t>Mobile</t>
        </is>
      </c>
      <c r="F792" s="10" t="inlineStr">
        <is>
          <t>Social</t>
        </is>
      </c>
      <c r="G792" s="10" t="inlineStr">
        <is>
          <t>Premium</t>
        </is>
      </c>
      <c r="H792" s="10" t="n">
        <v>0</v>
      </c>
      <c r="I792" s="10" t="n">
        <v>0</v>
      </c>
      <c r="J792" s="10" t="n">
        <v>0</v>
      </c>
      <c r="K792" s="10" t="n">
        <v>0</v>
      </c>
      <c r="L792" s="10" t="n">
        <v>0</v>
      </c>
      <c r="M792" s="10" t="n">
        <v>0</v>
      </c>
      <c r="N792" s="10" t="n">
        <v>0</v>
      </c>
      <c r="P792" s="10" t="n">
        <v>54.7</v>
      </c>
      <c r="Q792" s="10">
        <f>A792&amp;"|"&amp;B792&amp;"|"&amp;C792&amp;"|"&amp;D792&amp;"|"&amp;E792&amp;"|"&amp;F792&amp;"|"&amp;G792&amp;"|"&amp;H792&amp;"|"&amp;I792&amp;"|"&amp;J792&amp;"|"&amp;K792&amp;"|"&amp;L792&amp;"|"&amp;M792&amp;"|"&amp;N792&amp;"|"&amp;O792&amp;"|"&amp;P792</f>
        <v/>
      </c>
      <c r="R792" s="10">
        <f>IF(COUNTIF($Q$2:$Q$1409,Q792)&gt;1,IF(COUNTIF($Q$2:Q792,Q792)=1,"Exact Duplicate - Keep First","Exact Duplicate - Remove"),"Unique")</f>
        <v/>
      </c>
    </row>
    <row r="793" ht="15" customHeight="1" s="11">
      <c r="A793" s="10" t="inlineStr">
        <is>
          <t>USR-100792</t>
        </is>
      </c>
      <c r="B793" s="14" t="n">
        <v>45720</v>
      </c>
      <c r="C793" s="10" t="inlineStr">
        <is>
          <t>Treatment</t>
        </is>
      </c>
      <c r="D793" s="10" t="inlineStr">
        <is>
          <t>West</t>
        </is>
      </c>
      <c r="E793" s="10" t="inlineStr">
        <is>
          <t>Mobile</t>
        </is>
      </c>
      <c r="F793" s="10" t="inlineStr">
        <is>
          <t>Social</t>
        </is>
      </c>
      <c r="G793" s="10" t="inlineStr">
        <is>
          <t>Free</t>
        </is>
      </c>
      <c r="H793" s="10" t="n">
        <v>1</v>
      </c>
      <c r="I793" s="10" t="n">
        <v>1</v>
      </c>
      <c r="J793" s="10" t="n">
        <v>0</v>
      </c>
      <c r="K793" s="10" t="n">
        <v>0</v>
      </c>
      <c r="L793" s="10" t="n">
        <v>0</v>
      </c>
      <c r="M793" s="10" t="n">
        <v>1</v>
      </c>
      <c r="N793" s="10" t="n">
        <v>0</v>
      </c>
      <c r="P793" s="10" t="n">
        <v>41.2</v>
      </c>
      <c r="Q793" s="10">
        <f>A793&amp;"|"&amp;B793&amp;"|"&amp;C793&amp;"|"&amp;D793&amp;"|"&amp;E793&amp;"|"&amp;F793&amp;"|"&amp;G793&amp;"|"&amp;H793&amp;"|"&amp;I793&amp;"|"&amp;J793&amp;"|"&amp;K793&amp;"|"&amp;L793&amp;"|"&amp;M793&amp;"|"&amp;N793&amp;"|"&amp;O793&amp;"|"&amp;P793</f>
        <v/>
      </c>
      <c r="R793" s="10">
        <f>IF(COUNTIF($Q$2:$Q$1409,Q793)&gt;1,IF(COUNTIF($Q$2:Q793,Q793)=1,"Exact Duplicate - Keep First","Exact Duplicate - Remove"),"Unique")</f>
        <v/>
      </c>
    </row>
    <row r="794" ht="15" customHeight="1" s="11">
      <c r="A794" s="10" t="inlineStr">
        <is>
          <t>USR-100793</t>
        </is>
      </c>
      <c r="B794" s="14" t="n">
        <v>45710</v>
      </c>
      <c r="C794" s="10" t="inlineStr">
        <is>
          <t>Treatment</t>
        </is>
      </c>
      <c r="D794" s="10" t="inlineStr">
        <is>
          <t>South</t>
        </is>
      </c>
      <c r="E794" s="10" t="inlineStr">
        <is>
          <t>Mobile</t>
        </is>
      </c>
      <c r="F794" s="10" t="inlineStr">
        <is>
          <t>Organic</t>
        </is>
      </c>
      <c r="G794" s="10" t="inlineStr">
        <is>
          <t>Premium</t>
        </is>
      </c>
      <c r="H794" s="10" t="n">
        <v>0</v>
      </c>
      <c r="I794" s="10" t="n">
        <v>0</v>
      </c>
      <c r="J794" s="10" t="n">
        <v>0</v>
      </c>
      <c r="K794" s="10" t="n">
        <v>0</v>
      </c>
      <c r="L794" s="10" t="n">
        <v>0</v>
      </c>
      <c r="M794" s="10" t="n">
        <v>0</v>
      </c>
      <c r="N794" s="10" t="n">
        <v>0</v>
      </c>
      <c r="P794" s="10" t="n">
        <v>66.7</v>
      </c>
      <c r="Q794" s="10">
        <f>A794&amp;"|"&amp;B794&amp;"|"&amp;C794&amp;"|"&amp;D794&amp;"|"&amp;E794&amp;"|"&amp;F794&amp;"|"&amp;G794&amp;"|"&amp;H794&amp;"|"&amp;I794&amp;"|"&amp;J794&amp;"|"&amp;K794&amp;"|"&amp;L794&amp;"|"&amp;M794&amp;"|"&amp;N794&amp;"|"&amp;O794&amp;"|"&amp;P794</f>
        <v/>
      </c>
      <c r="R794" s="10">
        <f>IF(COUNTIF($Q$2:$Q$1409,Q794)&gt;1,IF(COUNTIF($Q$2:Q794,Q794)=1,"Exact Duplicate - Keep First","Exact Duplicate - Remove"),"Unique")</f>
        <v/>
      </c>
    </row>
    <row r="795" ht="15" customHeight="1" s="11">
      <c r="A795" s="10" t="inlineStr">
        <is>
          <t>USR-100794</t>
        </is>
      </c>
      <c r="B795" s="14" t="n">
        <v>45779</v>
      </c>
      <c r="C795" s="10" t="inlineStr">
        <is>
          <t>Treatment</t>
        </is>
      </c>
      <c r="D795" s="10" t="inlineStr">
        <is>
          <t>North</t>
        </is>
      </c>
      <c r="E795" s="10" t="inlineStr">
        <is>
          <t>Mobile</t>
        </is>
      </c>
      <c r="F795" s="10" t="inlineStr">
        <is>
          <t>Paid Search</t>
        </is>
      </c>
      <c r="G795" s="10" t="inlineStr">
        <is>
          <t>Premium</t>
        </is>
      </c>
      <c r="H795" s="10" t="n">
        <v>0</v>
      </c>
      <c r="I795" s="10" t="n">
        <v>0</v>
      </c>
      <c r="J795" s="10" t="n">
        <v>0</v>
      </c>
      <c r="K795" s="10" t="n">
        <v>0</v>
      </c>
      <c r="L795" s="10" t="n">
        <v>0</v>
      </c>
      <c r="M795" s="10" t="n">
        <v>0</v>
      </c>
      <c r="N795" s="10" t="n">
        <v>0</v>
      </c>
      <c r="P795" s="10" t="n">
        <v>39.4</v>
      </c>
      <c r="Q795" s="10">
        <f>A795&amp;"|"&amp;B795&amp;"|"&amp;C795&amp;"|"&amp;D795&amp;"|"&amp;E795&amp;"|"&amp;F795&amp;"|"&amp;G795&amp;"|"&amp;H795&amp;"|"&amp;I795&amp;"|"&amp;J795&amp;"|"&amp;K795&amp;"|"&amp;L795&amp;"|"&amp;M795&amp;"|"&amp;N795&amp;"|"&amp;O795&amp;"|"&amp;P795</f>
        <v/>
      </c>
      <c r="R795" s="10">
        <f>IF(COUNTIF($Q$2:$Q$1409,Q795)&gt;1,IF(COUNTIF($Q$2:Q795,Q795)=1,"Exact Duplicate - Keep First","Exact Duplicate - Remove"),"Unique")</f>
        <v/>
      </c>
    </row>
    <row r="796" ht="15" customHeight="1" s="11">
      <c r="A796" s="10" t="inlineStr">
        <is>
          <t>USR-100795</t>
        </is>
      </c>
      <c r="B796" s="14" t="n">
        <v>45729</v>
      </c>
      <c r="C796" s="10" t="inlineStr">
        <is>
          <t>Treatment</t>
        </is>
      </c>
      <c r="D796" s="10" t="inlineStr">
        <is>
          <t>West</t>
        </is>
      </c>
      <c r="E796" s="10" t="inlineStr">
        <is>
          <t>Desktop</t>
        </is>
      </c>
      <c r="F796" s="10" t="inlineStr">
        <is>
          <t>Organic</t>
        </is>
      </c>
      <c r="G796" s="10" t="inlineStr">
        <is>
          <t>Premium</t>
        </is>
      </c>
      <c r="H796" s="10" t="n">
        <v>0</v>
      </c>
      <c r="I796" s="10" t="n">
        <v>0</v>
      </c>
      <c r="J796" s="10" t="n">
        <v>0</v>
      </c>
      <c r="K796" s="10" t="n">
        <v>0</v>
      </c>
      <c r="L796" s="10" t="n">
        <v>0</v>
      </c>
      <c r="M796" s="10" t="n">
        <v>3</v>
      </c>
      <c r="N796" s="10" t="n">
        <v>0</v>
      </c>
      <c r="P796" s="10" t="n">
        <v>67</v>
      </c>
      <c r="Q796" s="10">
        <f>A796&amp;"|"&amp;B796&amp;"|"&amp;C796&amp;"|"&amp;D796&amp;"|"&amp;E796&amp;"|"&amp;F796&amp;"|"&amp;G796&amp;"|"&amp;H796&amp;"|"&amp;I796&amp;"|"&amp;J796&amp;"|"&amp;K796&amp;"|"&amp;L796&amp;"|"&amp;M796&amp;"|"&amp;N796&amp;"|"&amp;O796&amp;"|"&amp;P796</f>
        <v/>
      </c>
      <c r="R796" s="10">
        <f>IF(COUNTIF($Q$2:$Q$1409,Q796)&gt;1,IF(COUNTIF($Q$2:Q796,Q796)=1,"Exact Duplicate - Keep First","Exact Duplicate - Remove"),"Unique")</f>
        <v/>
      </c>
    </row>
    <row r="797" ht="15" customHeight="1" s="11">
      <c r="A797" s="10" t="inlineStr">
        <is>
          <t>USR-100796</t>
        </is>
      </c>
      <c r="B797" s="14" t="n">
        <v>45808</v>
      </c>
      <c r="C797" s="10" t="inlineStr">
        <is>
          <t>Treatment</t>
        </is>
      </c>
      <c r="D797" s="10" t="inlineStr">
        <is>
          <t>South</t>
        </is>
      </c>
      <c r="E797" s="10" t="inlineStr">
        <is>
          <t>Mobile</t>
        </is>
      </c>
      <c r="F797" s="10" t="inlineStr">
        <is>
          <t>Organic</t>
        </is>
      </c>
      <c r="G797" s="10" t="inlineStr">
        <is>
          <t>Basic</t>
        </is>
      </c>
      <c r="H797" s="10" t="n">
        <v>1</v>
      </c>
      <c r="I797" s="10" t="n">
        <v>0</v>
      </c>
      <c r="J797" s="10" t="n">
        <v>0</v>
      </c>
      <c r="K797" s="10" t="n">
        <v>0</v>
      </c>
      <c r="L797" s="10" t="n">
        <v>0</v>
      </c>
      <c r="M797" s="10" t="n">
        <v>0</v>
      </c>
      <c r="N797" s="10" t="n">
        <v>0</v>
      </c>
      <c r="P797" s="10" t="n">
        <v>50.4</v>
      </c>
      <c r="Q797" s="10">
        <f>A797&amp;"|"&amp;B797&amp;"|"&amp;C797&amp;"|"&amp;D797&amp;"|"&amp;E797&amp;"|"&amp;F797&amp;"|"&amp;G797&amp;"|"&amp;H797&amp;"|"&amp;I797&amp;"|"&amp;J797&amp;"|"&amp;K797&amp;"|"&amp;L797&amp;"|"&amp;M797&amp;"|"&amp;N797&amp;"|"&amp;O797&amp;"|"&amp;P797</f>
        <v/>
      </c>
      <c r="R797" s="10">
        <f>IF(COUNTIF($Q$2:$Q$1409,Q797)&gt;1,IF(COUNTIF($Q$2:Q797,Q797)=1,"Exact Duplicate - Keep First","Exact Duplicate - Remove"),"Unique")</f>
        <v/>
      </c>
    </row>
    <row r="798" ht="15" customHeight="1" s="11">
      <c r="A798" s="10" t="inlineStr">
        <is>
          <t>USR-100797</t>
        </is>
      </c>
      <c r="B798" s="14" t="n">
        <v>45723</v>
      </c>
      <c r="C798" s="10" t="inlineStr">
        <is>
          <t>Treatment</t>
        </is>
      </c>
      <c r="D798" s="10" t="inlineStr">
        <is>
          <t>West</t>
        </is>
      </c>
      <c r="E798" s="10" t="inlineStr">
        <is>
          <t>Desktop</t>
        </is>
      </c>
      <c r="F798" s="10" t="inlineStr">
        <is>
          <t>Social</t>
        </is>
      </c>
      <c r="G798" s="10" t="inlineStr">
        <is>
          <t>Free</t>
        </is>
      </c>
      <c r="H798" s="10" t="n">
        <v>1</v>
      </c>
      <c r="I798" s="10" t="n">
        <v>0</v>
      </c>
      <c r="J798" s="10" t="n">
        <v>0</v>
      </c>
      <c r="K798" s="10" t="n">
        <v>0</v>
      </c>
      <c r="L798" s="10" t="n">
        <v>0</v>
      </c>
      <c r="M798" s="10" t="n">
        <v>0</v>
      </c>
      <c r="N798" s="10" t="n">
        <v>0</v>
      </c>
      <c r="P798" s="10" t="n">
        <v>53.8</v>
      </c>
      <c r="Q798" s="10">
        <f>A798&amp;"|"&amp;B798&amp;"|"&amp;C798&amp;"|"&amp;D798&amp;"|"&amp;E798&amp;"|"&amp;F798&amp;"|"&amp;G798&amp;"|"&amp;H798&amp;"|"&amp;I798&amp;"|"&amp;J798&amp;"|"&amp;K798&amp;"|"&amp;L798&amp;"|"&amp;M798&amp;"|"&amp;N798&amp;"|"&amp;O798&amp;"|"&amp;P798</f>
        <v/>
      </c>
      <c r="R798" s="10">
        <f>IF(COUNTIF($Q$2:$Q$1409,Q798)&gt;1,IF(COUNTIF($Q$2:Q798,Q798)=1,"Exact Duplicate - Keep First","Exact Duplicate - Remove"),"Unique")</f>
        <v/>
      </c>
    </row>
    <row r="799" ht="15" customHeight="1" s="11">
      <c r="A799" s="10" t="inlineStr">
        <is>
          <t>USR-100798</t>
        </is>
      </c>
      <c r="B799" s="14" t="n">
        <v>45710</v>
      </c>
      <c r="C799" s="10" t="inlineStr">
        <is>
          <t>Treatment</t>
        </is>
      </c>
      <c r="D799" s="10" t="inlineStr">
        <is>
          <t>West</t>
        </is>
      </c>
      <c r="E799" s="10" t="inlineStr">
        <is>
          <t>Mobile</t>
        </is>
      </c>
      <c r="F799" s="10" t="inlineStr">
        <is>
          <t>Paid Search</t>
        </is>
      </c>
      <c r="G799" s="10" t="inlineStr">
        <is>
          <t>Basic</t>
        </is>
      </c>
      <c r="H799" s="10" t="n">
        <v>0</v>
      </c>
      <c r="I799" s="10" t="n">
        <v>0</v>
      </c>
      <c r="J799" s="10" t="n">
        <v>0</v>
      </c>
      <c r="K799" s="10" t="n">
        <v>0</v>
      </c>
      <c r="L799" s="10" t="n">
        <v>0</v>
      </c>
      <c r="M799" s="10" t="n">
        <v>1</v>
      </c>
      <c r="N799" s="10" t="n">
        <v>0</v>
      </c>
      <c r="P799" s="10" t="n">
        <v>82.7</v>
      </c>
      <c r="Q799" s="10">
        <f>A799&amp;"|"&amp;B799&amp;"|"&amp;C799&amp;"|"&amp;D799&amp;"|"&amp;E799&amp;"|"&amp;F799&amp;"|"&amp;G799&amp;"|"&amp;H799&amp;"|"&amp;I799&amp;"|"&amp;J799&amp;"|"&amp;K799&amp;"|"&amp;L799&amp;"|"&amp;M799&amp;"|"&amp;N799&amp;"|"&amp;O799&amp;"|"&amp;P799</f>
        <v/>
      </c>
      <c r="R799" s="10">
        <f>IF(COUNTIF($Q$2:$Q$1409,Q799)&gt;1,IF(COUNTIF($Q$2:Q799,Q799)=1,"Exact Duplicate - Keep First","Exact Duplicate - Remove"),"Unique")</f>
        <v/>
      </c>
    </row>
    <row r="800" ht="15" customHeight="1" s="11">
      <c r="A800" s="10" t="inlineStr">
        <is>
          <t>USR-100799</t>
        </is>
      </c>
      <c r="B800" s="14" t="n">
        <v>45662</v>
      </c>
      <c r="C800" s="10" t="inlineStr">
        <is>
          <t>Treatment</t>
        </is>
      </c>
      <c r="D800" s="10" t="inlineStr">
        <is>
          <t>West</t>
        </is>
      </c>
      <c r="E800" s="10" t="inlineStr">
        <is>
          <t>Desktop</t>
        </is>
      </c>
      <c r="F800" s="10" t="inlineStr">
        <is>
          <t>Paid Search</t>
        </is>
      </c>
      <c r="G800" s="10" t="inlineStr">
        <is>
          <t>Free</t>
        </is>
      </c>
      <c r="H800" s="10" t="n">
        <v>1</v>
      </c>
      <c r="I800" s="10" t="n">
        <v>1</v>
      </c>
      <c r="J800" s="10" t="n">
        <v>1</v>
      </c>
      <c r="K800" s="10" t="n">
        <v>0</v>
      </c>
      <c r="L800" s="10" t="n">
        <v>0</v>
      </c>
      <c r="M800" s="10" t="n">
        <v>0</v>
      </c>
      <c r="N800" s="10" t="n">
        <v>0</v>
      </c>
      <c r="P800" s="10" t="n">
        <v>63.9</v>
      </c>
      <c r="Q800" s="10">
        <f>A800&amp;"|"&amp;B800&amp;"|"&amp;C800&amp;"|"&amp;D800&amp;"|"&amp;E800&amp;"|"&amp;F800&amp;"|"&amp;G800&amp;"|"&amp;H800&amp;"|"&amp;I800&amp;"|"&amp;J800&amp;"|"&amp;K800&amp;"|"&amp;L800&amp;"|"&amp;M800&amp;"|"&amp;N800&amp;"|"&amp;O800&amp;"|"&amp;P800</f>
        <v/>
      </c>
      <c r="R800" s="10">
        <f>IF(COUNTIF($Q$2:$Q$1409,Q800)&gt;1,IF(COUNTIF($Q$2:Q800,Q800)=1,"Exact Duplicate - Keep First","Exact Duplicate - Remove"),"Unique")</f>
        <v/>
      </c>
    </row>
    <row r="801" ht="15" customHeight="1" s="11">
      <c r="A801" s="10" t="inlineStr">
        <is>
          <t>USR-100800</t>
        </is>
      </c>
      <c r="B801" s="14" t="n">
        <v>45678</v>
      </c>
      <c r="C801" s="10" t="inlineStr">
        <is>
          <t>Treatment</t>
        </is>
      </c>
      <c r="D801" s="10" t="inlineStr">
        <is>
          <t>West</t>
        </is>
      </c>
      <c r="E801" s="10" t="inlineStr">
        <is>
          <t>Mobile</t>
        </is>
      </c>
      <c r="F801" s="10" t="inlineStr">
        <is>
          <t>Referral</t>
        </is>
      </c>
      <c r="G801" s="10" t="inlineStr">
        <is>
          <t>Free</t>
        </is>
      </c>
      <c r="H801" s="10" t="n">
        <v>1</v>
      </c>
      <c r="I801" s="10" t="n">
        <v>0</v>
      </c>
      <c r="J801" s="10" t="n">
        <v>0</v>
      </c>
      <c r="K801" s="10" t="n">
        <v>0</v>
      </c>
      <c r="L801" s="10" t="n">
        <v>0</v>
      </c>
      <c r="M801" s="10" t="n">
        <v>0</v>
      </c>
      <c r="N801" s="10" t="n">
        <v>0</v>
      </c>
      <c r="P801" s="10" t="n">
        <v>61.9</v>
      </c>
      <c r="Q801" s="10">
        <f>A801&amp;"|"&amp;B801&amp;"|"&amp;C801&amp;"|"&amp;D801&amp;"|"&amp;E801&amp;"|"&amp;F801&amp;"|"&amp;G801&amp;"|"&amp;H801&amp;"|"&amp;I801&amp;"|"&amp;J801&amp;"|"&amp;K801&amp;"|"&amp;L801&amp;"|"&amp;M801&amp;"|"&amp;N801&amp;"|"&amp;O801&amp;"|"&amp;P801</f>
        <v/>
      </c>
      <c r="R801" s="10">
        <f>IF(COUNTIF($Q$2:$Q$1409,Q801)&gt;1,IF(COUNTIF($Q$2:Q801,Q801)=1,"Exact Duplicate - Keep First","Exact Duplicate - Remove"),"Unique")</f>
        <v/>
      </c>
    </row>
    <row r="802" ht="15" customHeight="1" s="11">
      <c r="A802" s="10" t="inlineStr">
        <is>
          <t>USR-100801</t>
        </is>
      </c>
      <c r="B802" s="14" t="n">
        <v>45682</v>
      </c>
      <c r="C802" s="10" t="inlineStr">
        <is>
          <t>Treatment</t>
        </is>
      </c>
      <c r="D802" s="10" t="inlineStr">
        <is>
          <t>North</t>
        </is>
      </c>
      <c r="E802" s="10" t="inlineStr">
        <is>
          <t>Desktop</t>
        </is>
      </c>
      <c r="F802" s="10" t="inlineStr">
        <is>
          <t>Social</t>
        </is>
      </c>
      <c r="G802" s="10" t="inlineStr">
        <is>
          <t>Free</t>
        </is>
      </c>
      <c r="H802" s="10" t="n">
        <v>1</v>
      </c>
      <c r="I802" s="10" t="n">
        <v>1</v>
      </c>
      <c r="J802" s="10" t="n">
        <v>1</v>
      </c>
      <c r="K802" s="10" t="n">
        <v>0</v>
      </c>
      <c r="L802" s="10" t="n">
        <v>0</v>
      </c>
      <c r="M802" s="10" t="n">
        <v>0</v>
      </c>
      <c r="N802" s="10" t="n">
        <v>0</v>
      </c>
      <c r="P802" s="10" t="n">
        <v>75</v>
      </c>
      <c r="Q802" s="10">
        <f>A802&amp;"|"&amp;B802&amp;"|"&amp;C802&amp;"|"&amp;D802&amp;"|"&amp;E802&amp;"|"&amp;F802&amp;"|"&amp;G802&amp;"|"&amp;H802&amp;"|"&amp;I802&amp;"|"&amp;J802&amp;"|"&amp;K802&amp;"|"&amp;L802&amp;"|"&amp;M802&amp;"|"&amp;N802&amp;"|"&amp;O802&amp;"|"&amp;P802</f>
        <v/>
      </c>
      <c r="R802" s="10">
        <f>IF(COUNTIF($Q$2:$Q$1409,Q802)&gt;1,IF(COUNTIF($Q$2:Q802,Q802)=1,"Exact Duplicate - Keep First","Exact Duplicate - Remove"),"Unique")</f>
        <v/>
      </c>
    </row>
    <row r="803" ht="15" customHeight="1" s="11">
      <c r="A803" s="10" t="inlineStr">
        <is>
          <t>USR-100802</t>
        </is>
      </c>
      <c r="B803" s="14" t="n">
        <v>45751</v>
      </c>
      <c r="C803" s="10" t="inlineStr">
        <is>
          <t>Treatment</t>
        </is>
      </c>
      <c r="D803" s="10" t="inlineStr">
        <is>
          <t>West</t>
        </is>
      </c>
      <c r="E803" s="10" t="inlineStr">
        <is>
          <t>Mobile</t>
        </is>
      </c>
      <c r="F803" s="10" t="inlineStr">
        <is>
          <t>Paid Search</t>
        </is>
      </c>
      <c r="G803" s="10" t="inlineStr">
        <is>
          <t>Basic</t>
        </is>
      </c>
      <c r="H803" s="10" t="n">
        <v>1</v>
      </c>
      <c r="I803" s="10" t="n">
        <v>1</v>
      </c>
      <c r="J803" s="10" t="n">
        <v>1</v>
      </c>
      <c r="K803" s="10" t="n">
        <v>0</v>
      </c>
      <c r="L803" s="10" t="n">
        <v>0</v>
      </c>
      <c r="M803" s="10" t="n">
        <v>0</v>
      </c>
      <c r="N803" s="10" t="n">
        <v>0</v>
      </c>
      <c r="P803" s="10" t="n">
        <v>43</v>
      </c>
      <c r="Q803" s="10">
        <f>A803&amp;"|"&amp;B803&amp;"|"&amp;C803&amp;"|"&amp;D803&amp;"|"&amp;E803&amp;"|"&amp;F803&amp;"|"&amp;G803&amp;"|"&amp;H803&amp;"|"&amp;I803&amp;"|"&amp;J803&amp;"|"&amp;K803&amp;"|"&amp;L803&amp;"|"&amp;M803&amp;"|"&amp;N803&amp;"|"&amp;O803&amp;"|"&amp;P803</f>
        <v/>
      </c>
      <c r="R803" s="10">
        <f>IF(COUNTIF($Q$2:$Q$1409,Q803)&gt;1,IF(COUNTIF($Q$2:Q803,Q803)=1,"Exact Duplicate - Keep First","Exact Duplicate - Remove"),"Unique")</f>
        <v/>
      </c>
    </row>
    <row r="804" ht="15" customHeight="1" s="11">
      <c r="A804" s="10" t="inlineStr">
        <is>
          <t>USR-100803</t>
        </is>
      </c>
      <c r="B804" s="14" t="n">
        <v>45741</v>
      </c>
      <c r="C804" s="10" t="inlineStr">
        <is>
          <t>Treatment</t>
        </is>
      </c>
      <c r="D804" s="10" t="inlineStr">
        <is>
          <t>North</t>
        </is>
      </c>
      <c r="E804" s="10" t="inlineStr">
        <is>
          <t>Desktop</t>
        </is>
      </c>
      <c r="F804" s="10" t="inlineStr">
        <is>
          <t>Social</t>
        </is>
      </c>
      <c r="G804" s="10" t="inlineStr">
        <is>
          <t>Premium</t>
        </is>
      </c>
      <c r="H804" s="10" t="n">
        <v>0</v>
      </c>
      <c r="I804" s="10" t="n">
        <v>0</v>
      </c>
      <c r="J804" s="10" t="n">
        <v>0</v>
      </c>
      <c r="K804" s="10" t="n">
        <v>0</v>
      </c>
      <c r="L804" s="10" t="n">
        <v>0</v>
      </c>
      <c r="M804" s="10" t="n">
        <v>0</v>
      </c>
      <c r="N804" s="10" t="n">
        <v>0</v>
      </c>
      <c r="P804" s="10" t="n">
        <v>54.3</v>
      </c>
      <c r="Q804" s="10">
        <f>A804&amp;"|"&amp;B804&amp;"|"&amp;C804&amp;"|"&amp;D804&amp;"|"&amp;E804&amp;"|"&amp;F804&amp;"|"&amp;G804&amp;"|"&amp;H804&amp;"|"&amp;I804&amp;"|"&amp;J804&amp;"|"&amp;K804&amp;"|"&amp;L804&amp;"|"&amp;M804&amp;"|"&amp;N804&amp;"|"&amp;O804&amp;"|"&amp;P804</f>
        <v/>
      </c>
      <c r="R804" s="10">
        <f>IF(COUNTIF($Q$2:$Q$1409,Q804)&gt;1,IF(COUNTIF($Q$2:Q804,Q804)=1,"Exact Duplicate - Keep First","Exact Duplicate - Remove"),"Unique")</f>
        <v/>
      </c>
    </row>
    <row r="805" ht="15" customHeight="1" s="11">
      <c r="A805" s="10" t="inlineStr">
        <is>
          <t>USR-100804</t>
        </is>
      </c>
      <c r="B805" s="14" t="n">
        <v>45735</v>
      </c>
      <c r="C805" s="10" t="inlineStr">
        <is>
          <t>Treatment</t>
        </is>
      </c>
      <c r="D805" s="10" t="inlineStr">
        <is>
          <t>West</t>
        </is>
      </c>
      <c r="E805" s="10" t="inlineStr">
        <is>
          <t>Mobile</t>
        </is>
      </c>
      <c r="F805" s="10" t="inlineStr">
        <is>
          <t>Social</t>
        </is>
      </c>
      <c r="G805" s="10" t="inlineStr">
        <is>
          <t>Free</t>
        </is>
      </c>
      <c r="H805" s="10" t="n">
        <v>0</v>
      </c>
      <c r="I805" s="10" t="n">
        <v>0</v>
      </c>
      <c r="J805" s="10" t="n">
        <v>0</v>
      </c>
      <c r="K805" s="10" t="n">
        <v>0</v>
      </c>
      <c r="L805" s="10" t="n">
        <v>0</v>
      </c>
      <c r="M805" s="10" t="n">
        <v>2</v>
      </c>
      <c r="N805" s="10" t="n">
        <v>0</v>
      </c>
      <c r="P805" s="10" t="n">
        <v>44.3</v>
      </c>
      <c r="Q805" s="10">
        <f>A805&amp;"|"&amp;B805&amp;"|"&amp;C805&amp;"|"&amp;D805&amp;"|"&amp;E805&amp;"|"&amp;F805&amp;"|"&amp;G805&amp;"|"&amp;H805&amp;"|"&amp;I805&amp;"|"&amp;J805&amp;"|"&amp;K805&amp;"|"&amp;L805&amp;"|"&amp;M805&amp;"|"&amp;N805&amp;"|"&amp;O805&amp;"|"&amp;P805</f>
        <v/>
      </c>
      <c r="R805" s="10">
        <f>IF(COUNTIF($Q$2:$Q$1409,Q805)&gt;1,IF(COUNTIF($Q$2:Q805,Q805)=1,"Exact Duplicate - Keep First","Exact Duplicate - Remove"),"Unique")</f>
        <v/>
      </c>
    </row>
    <row r="806" ht="15" customHeight="1" s="11">
      <c r="A806" s="10" t="inlineStr">
        <is>
          <t>USR-100805</t>
        </is>
      </c>
      <c r="B806" s="14" t="n">
        <v>45771</v>
      </c>
      <c r="C806" s="10" t="inlineStr">
        <is>
          <t>Treatment</t>
        </is>
      </c>
      <c r="D806" s="10" t="inlineStr">
        <is>
          <t>West</t>
        </is>
      </c>
      <c r="E806" s="10" t="inlineStr">
        <is>
          <t>Desktop</t>
        </is>
      </c>
      <c r="F806" s="10" t="inlineStr">
        <is>
          <t>Organic</t>
        </is>
      </c>
      <c r="G806" s="10" t="inlineStr">
        <is>
          <t>Free</t>
        </is>
      </c>
      <c r="H806" s="10" t="n">
        <v>1</v>
      </c>
      <c r="I806" s="10" t="n">
        <v>1</v>
      </c>
      <c r="J806" s="10" t="n">
        <v>1</v>
      </c>
      <c r="K806" s="10" t="n">
        <v>1</v>
      </c>
      <c r="L806" s="10" t="n">
        <v>402.88</v>
      </c>
      <c r="M806" s="10" t="n">
        <v>0</v>
      </c>
      <c r="N806" s="10" t="n">
        <v>0</v>
      </c>
      <c r="O806" s="10" t="n">
        <v>12</v>
      </c>
      <c r="P806" s="10" t="n">
        <v>76</v>
      </c>
      <c r="Q806" s="10">
        <f>A806&amp;"|"&amp;B806&amp;"|"&amp;C806&amp;"|"&amp;D806&amp;"|"&amp;E806&amp;"|"&amp;F806&amp;"|"&amp;G806&amp;"|"&amp;H806&amp;"|"&amp;I806&amp;"|"&amp;J806&amp;"|"&amp;K806&amp;"|"&amp;L806&amp;"|"&amp;M806&amp;"|"&amp;N806&amp;"|"&amp;O806&amp;"|"&amp;P806</f>
        <v/>
      </c>
      <c r="R806" s="10">
        <f>IF(COUNTIF($Q$2:$Q$1409,Q806)&gt;1,IF(COUNTIF($Q$2:Q806,Q806)=1,"Exact Duplicate - Keep First","Exact Duplicate - Remove"),"Unique")</f>
        <v/>
      </c>
    </row>
    <row r="807" ht="15" customHeight="1" s="11">
      <c r="A807" s="10" t="inlineStr">
        <is>
          <t>USR-100806</t>
        </is>
      </c>
      <c r="B807" s="14" t="n">
        <v>45751</v>
      </c>
      <c r="C807" s="10" t="inlineStr">
        <is>
          <t>Treatment</t>
        </is>
      </c>
      <c r="D807" s="10" t="inlineStr">
        <is>
          <t>South</t>
        </is>
      </c>
      <c r="E807" s="10" t="inlineStr">
        <is>
          <t>Tablet</t>
        </is>
      </c>
      <c r="F807" s="10" t="inlineStr">
        <is>
          <t>Organic</t>
        </is>
      </c>
      <c r="G807" s="10" t="inlineStr">
        <is>
          <t>Free</t>
        </is>
      </c>
      <c r="H807" s="10" t="n">
        <v>1</v>
      </c>
      <c r="I807" s="10" t="n">
        <v>0</v>
      </c>
      <c r="J807" s="10" t="n">
        <v>0</v>
      </c>
      <c r="K807" s="10" t="n">
        <v>0</v>
      </c>
      <c r="L807" s="10" t="n">
        <v>0</v>
      </c>
      <c r="M807" s="10" t="n">
        <v>2</v>
      </c>
      <c r="N807" s="10" t="n">
        <v>0</v>
      </c>
      <c r="P807" s="10" t="n">
        <v>65.3</v>
      </c>
      <c r="Q807" s="10">
        <f>A807&amp;"|"&amp;B807&amp;"|"&amp;C807&amp;"|"&amp;D807&amp;"|"&amp;E807&amp;"|"&amp;F807&amp;"|"&amp;G807&amp;"|"&amp;H807&amp;"|"&amp;I807&amp;"|"&amp;J807&amp;"|"&amp;K807&amp;"|"&amp;L807&amp;"|"&amp;M807&amp;"|"&amp;N807&amp;"|"&amp;O807&amp;"|"&amp;P807</f>
        <v/>
      </c>
      <c r="R807" s="10">
        <f>IF(COUNTIF($Q$2:$Q$1409,Q807)&gt;1,IF(COUNTIF($Q$2:Q807,Q807)=1,"Exact Duplicate - Keep First","Exact Duplicate - Remove"),"Unique")</f>
        <v/>
      </c>
    </row>
    <row r="808" ht="15" customHeight="1" s="11">
      <c r="A808" s="10" t="inlineStr">
        <is>
          <t>USR-100807</t>
        </is>
      </c>
      <c r="B808" s="14" t="n">
        <v>45744</v>
      </c>
      <c r="C808" s="10" t="inlineStr">
        <is>
          <t>Treatment</t>
        </is>
      </c>
      <c r="D808" s="10" t="inlineStr">
        <is>
          <t>South</t>
        </is>
      </c>
      <c r="E808" s="10" t="inlineStr">
        <is>
          <t>Desktop</t>
        </is>
      </c>
      <c r="F808" s="10" t="inlineStr">
        <is>
          <t>Paid Search</t>
        </is>
      </c>
      <c r="G808" s="10" t="inlineStr">
        <is>
          <t>Premium</t>
        </is>
      </c>
      <c r="H808" s="10" t="n">
        <v>1</v>
      </c>
      <c r="I808" s="10" t="n">
        <v>0</v>
      </c>
      <c r="J808" s="10" t="n">
        <v>0</v>
      </c>
      <c r="K808" s="10" t="n">
        <v>0</v>
      </c>
      <c r="L808" s="10" t="n">
        <v>0</v>
      </c>
      <c r="M808" s="10" t="n">
        <v>0</v>
      </c>
      <c r="N808" s="10" t="n">
        <v>0</v>
      </c>
      <c r="P808" s="10" t="n">
        <v>71.2</v>
      </c>
      <c r="Q808" s="10">
        <f>A808&amp;"|"&amp;B808&amp;"|"&amp;C808&amp;"|"&amp;D808&amp;"|"&amp;E808&amp;"|"&amp;F808&amp;"|"&amp;G808&amp;"|"&amp;H808&amp;"|"&amp;I808&amp;"|"&amp;J808&amp;"|"&amp;K808&amp;"|"&amp;L808&amp;"|"&amp;M808&amp;"|"&amp;N808&amp;"|"&amp;O808&amp;"|"&amp;P808</f>
        <v/>
      </c>
      <c r="R808" s="10">
        <f>IF(COUNTIF($Q$2:$Q$1409,Q808)&gt;1,IF(COUNTIF($Q$2:Q808,Q808)=1,"Exact Duplicate - Keep First","Exact Duplicate - Remove"),"Unique")</f>
        <v/>
      </c>
    </row>
    <row r="809" ht="15" customHeight="1" s="11">
      <c r="A809" s="10" t="inlineStr">
        <is>
          <t>USR-100808</t>
        </is>
      </c>
      <c r="B809" s="14" t="n">
        <v>45792</v>
      </c>
      <c r="C809" s="10" t="inlineStr">
        <is>
          <t>Treatment</t>
        </is>
      </c>
      <c r="D809" s="10" t="inlineStr">
        <is>
          <t>South</t>
        </is>
      </c>
      <c r="E809" s="10" t="inlineStr">
        <is>
          <t>Tablet</t>
        </is>
      </c>
      <c r="F809" s="10" t="inlineStr">
        <is>
          <t>Paid Search</t>
        </is>
      </c>
      <c r="G809" s="10" t="inlineStr">
        <is>
          <t>Free</t>
        </is>
      </c>
      <c r="H809" s="10" t="n">
        <v>1</v>
      </c>
      <c r="I809" s="10" t="n">
        <v>0</v>
      </c>
      <c r="J809" s="10" t="n">
        <v>0</v>
      </c>
      <c r="K809" s="10" t="n">
        <v>0</v>
      </c>
      <c r="L809" s="10" t="n">
        <v>0</v>
      </c>
      <c r="M809" s="10" t="n">
        <v>0</v>
      </c>
      <c r="N809" s="10" t="n">
        <v>0</v>
      </c>
      <c r="P809" s="10" t="n">
        <v>77.90000000000001</v>
      </c>
      <c r="Q809" s="10">
        <f>A809&amp;"|"&amp;B809&amp;"|"&amp;C809&amp;"|"&amp;D809&amp;"|"&amp;E809&amp;"|"&amp;F809&amp;"|"&amp;G809&amp;"|"&amp;H809&amp;"|"&amp;I809&amp;"|"&amp;J809&amp;"|"&amp;K809&amp;"|"&amp;L809&amp;"|"&amp;M809&amp;"|"&amp;N809&amp;"|"&amp;O809&amp;"|"&amp;P809</f>
        <v/>
      </c>
      <c r="R809" s="10">
        <f>IF(COUNTIF($Q$2:$Q$1409,Q809)&gt;1,IF(COUNTIF($Q$2:Q809,Q809)=1,"Exact Duplicate - Keep First","Exact Duplicate - Remove"),"Unique")</f>
        <v/>
      </c>
    </row>
    <row r="810" ht="15" customHeight="1" s="11">
      <c r="A810" s="10" t="inlineStr">
        <is>
          <t>USR-100809</t>
        </is>
      </c>
      <c r="B810" s="14" t="n">
        <v>45729</v>
      </c>
      <c r="C810" s="10" t="inlineStr">
        <is>
          <t>Treatment</t>
        </is>
      </c>
      <c r="D810" s="10" t="inlineStr">
        <is>
          <t>West</t>
        </is>
      </c>
      <c r="E810" s="10" t="inlineStr">
        <is>
          <t>Mobile</t>
        </is>
      </c>
      <c r="F810" s="10" t="inlineStr">
        <is>
          <t>Paid Search</t>
        </is>
      </c>
      <c r="G810" s="10" t="inlineStr">
        <is>
          <t>Free</t>
        </is>
      </c>
      <c r="H810" s="10" t="n">
        <v>0</v>
      </c>
      <c r="I810" s="10" t="n">
        <v>0</v>
      </c>
      <c r="J810" s="10" t="n">
        <v>0</v>
      </c>
      <c r="K810" s="10" t="n">
        <v>0</v>
      </c>
      <c r="L810" s="10" t="n">
        <v>0</v>
      </c>
      <c r="M810" s="10" t="n">
        <v>0</v>
      </c>
      <c r="N810" s="10" t="n">
        <v>0</v>
      </c>
      <c r="P810" s="10" t="n">
        <v>48.6</v>
      </c>
      <c r="Q810" s="10">
        <f>A810&amp;"|"&amp;B810&amp;"|"&amp;C810&amp;"|"&amp;D810&amp;"|"&amp;E810&amp;"|"&amp;F810&amp;"|"&amp;G810&amp;"|"&amp;H810&amp;"|"&amp;I810&amp;"|"&amp;J810&amp;"|"&amp;K810&amp;"|"&amp;L810&amp;"|"&amp;M810&amp;"|"&amp;N810&amp;"|"&amp;O810&amp;"|"&amp;P810</f>
        <v/>
      </c>
      <c r="R810" s="10">
        <f>IF(COUNTIF($Q$2:$Q$1409,Q810)&gt;1,IF(COUNTIF($Q$2:Q810,Q810)=1,"Exact Duplicate - Keep First","Exact Duplicate - Remove"),"Unique")</f>
        <v/>
      </c>
    </row>
    <row r="811" ht="15" customHeight="1" s="11">
      <c r="A811" s="10" t="inlineStr">
        <is>
          <t>USR-100810</t>
        </is>
      </c>
      <c r="B811" s="14" t="n">
        <v>45742</v>
      </c>
      <c r="C811" s="10" t="inlineStr">
        <is>
          <t>Treatment</t>
        </is>
      </c>
      <c r="D811" s="10" t="inlineStr">
        <is>
          <t>North</t>
        </is>
      </c>
      <c r="E811" s="10" t="inlineStr">
        <is>
          <t>Mobile</t>
        </is>
      </c>
      <c r="F811" s="10" t="inlineStr">
        <is>
          <t>Social</t>
        </is>
      </c>
      <c r="G811" s="10" t="inlineStr">
        <is>
          <t>Premium</t>
        </is>
      </c>
      <c r="H811" s="10" t="n">
        <v>1</v>
      </c>
      <c r="I811" s="10" t="n">
        <v>0</v>
      </c>
      <c r="J811" s="10" t="n">
        <v>0</v>
      </c>
      <c r="K811" s="10" t="n">
        <v>0</v>
      </c>
      <c r="L811" s="10" t="n">
        <v>0</v>
      </c>
      <c r="M811" s="10" t="n">
        <v>0</v>
      </c>
      <c r="N811" s="10" t="n">
        <v>0</v>
      </c>
      <c r="P811" s="10" t="n">
        <v>61.9</v>
      </c>
      <c r="Q811" s="10">
        <f>A811&amp;"|"&amp;B811&amp;"|"&amp;C811&amp;"|"&amp;D811&amp;"|"&amp;E811&amp;"|"&amp;F811&amp;"|"&amp;G811&amp;"|"&amp;H811&amp;"|"&amp;I811&amp;"|"&amp;J811&amp;"|"&amp;K811&amp;"|"&amp;L811&amp;"|"&amp;M811&amp;"|"&amp;N811&amp;"|"&amp;O811&amp;"|"&amp;P811</f>
        <v/>
      </c>
      <c r="R811" s="10">
        <f>IF(COUNTIF($Q$2:$Q$1409,Q811)&gt;1,IF(COUNTIF($Q$2:Q811,Q811)=1,"Exact Duplicate - Keep First","Exact Duplicate - Remove"),"Unique")</f>
        <v/>
      </c>
    </row>
    <row r="812" ht="15" customHeight="1" s="11">
      <c r="A812" s="10" t="inlineStr">
        <is>
          <t>USR-100811</t>
        </is>
      </c>
      <c r="B812" s="14" t="n">
        <v>45666</v>
      </c>
      <c r="C812" s="10" t="inlineStr">
        <is>
          <t>Treatment</t>
        </is>
      </c>
      <c r="D812" s="10" t="inlineStr">
        <is>
          <t>North</t>
        </is>
      </c>
      <c r="E812" s="10" t="inlineStr">
        <is>
          <t>Mobile</t>
        </is>
      </c>
      <c r="F812" s="10" t="inlineStr">
        <is>
          <t>Social</t>
        </is>
      </c>
      <c r="G812" s="10" t="inlineStr">
        <is>
          <t>Basic</t>
        </is>
      </c>
      <c r="H812" s="10" t="n">
        <v>0</v>
      </c>
      <c r="I812" s="10" t="n">
        <v>0</v>
      </c>
      <c r="J812" s="10" t="n">
        <v>0</v>
      </c>
      <c r="K812" s="10" t="n">
        <v>0</v>
      </c>
      <c r="L812" s="10" t="n">
        <v>0</v>
      </c>
      <c r="M812" s="10" t="n">
        <v>1</v>
      </c>
      <c r="N812" s="10" t="n">
        <v>0</v>
      </c>
      <c r="P812" s="10" t="n">
        <v>58.7</v>
      </c>
      <c r="Q812" s="10">
        <f>A812&amp;"|"&amp;B812&amp;"|"&amp;C812&amp;"|"&amp;D812&amp;"|"&amp;E812&amp;"|"&amp;F812&amp;"|"&amp;G812&amp;"|"&amp;H812&amp;"|"&amp;I812&amp;"|"&amp;J812&amp;"|"&amp;K812&amp;"|"&amp;L812&amp;"|"&amp;M812&amp;"|"&amp;N812&amp;"|"&amp;O812&amp;"|"&amp;P812</f>
        <v/>
      </c>
      <c r="R812" s="10">
        <f>IF(COUNTIF($Q$2:$Q$1409,Q812)&gt;1,IF(COUNTIF($Q$2:Q812,Q812)=1,"Exact Duplicate - Keep First","Exact Duplicate - Remove"),"Unique")</f>
        <v/>
      </c>
    </row>
    <row r="813" ht="15" customHeight="1" s="11">
      <c r="A813" s="10" t="inlineStr">
        <is>
          <t>USR-100812</t>
        </is>
      </c>
      <c r="B813" s="14" t="n">
        <v>45783</v>
      </c>
      <c r="C813" s="10" t="inlineStr">
        <is>
          <t>Treatment</t>
        </is>
      </c>
      <c r="D813" s="10" t="inlineStr">
        <is>
          <t>South</t>
        </is>
      </c>
      <c r="E813" s="10" t="inlineStr">
        <is>
          <t>Desktop</t>
        </is>
      </c>
      <c r="F813" s="10" t="inlineStr">
        <is>
          <t>Paid Search</t>
        </is>
      </c>
      <c r="G813" s="10" t="inlineStr">
        <is>
          <t>Free</t>
        </is>
      </c>
      <c r="H813" s="10" t="n">
        <v>1</v>
      </c>
      <c r="I813" s="10" t="n">
        <v>0</v>
      </c>
      <c r="J813" s="10" t="n">
        <v>0</v>
      </c>
      <c r="K813" s="10" t="n">
        <v>0</v>
      </c>
      <c r="L813" s="10" t="n">
        <v>0</v>
      </c>
      <c r="M813" s="10" t="n">
        <v>0</v>
      </c>
      <c r="N813" s="10" t="n">
        <v>0</v>
      </c>
      <c r="P813" s="10" t="n">
        <v>69.59999999999999</v>
      </c>
      <c r="Q813" s="10">
        <f>A813&amp;"|"&amp;B813&amp;"|"&amp;C813&amp;"|"&amp;D813&amp;"|"&amp;E813&amp;"|"&amp;F813&amp;"|"&amp;G813&amp;"|"&amp;H813&amp;"|"&amp;I813&amp;"|"&amp;J813&amp;"|"&amp;K813&amp;"|"&amp;L813&amp;"|"&amp;M813&amp;"|"&amp;N813&amp;"|"&amp;O813&amp;"|"&amp;P813</f>
        <v/>
      </c>
      <c r="R813" s="10">
        <f>IF(COUNTIF($Q$2:$Q$1409,Q813)&gt;1,IF(COUNTIF($Q$2:Q813,Q813)=1,"Exact Duplicate - Keep First","Exact Duplicate - Remove"),"Unique")</f>
        <v/>
      </c>
    </row>
    <row r="814" ht="15" customHeight="1" s="11">
      <c r="A814" s="10" t="inlineStr">
        <is>
          <t>USR-100813</t>
        </is>
      </c>
      <c r="B814" s="14" t="n">
        <v>45705</v>
      </c>
      <c r="C814" s="10" t="inlineStr">
        <is>
          <t>Treatment</t>
        </is>
      </c>
      <c r="D814" s="10" t="inlineStr">
        <is>
          <t>South</t>
        </is>
      </c>
      <c r="E814" s="10" t="inlineStr">
        <is>
          <t>Mobile</t>
        </is>
      </c>
      <c r="F814" s="10" t="inlineStr">
        <is>
          <t>Organic</t>
        </is>
      </c>
      <c r="G814" s="10" t="inlineStr">
        <is>
          <t>Free</t>
        </is>
      </c>
      <c r="H814" s="10" t="n">
        <v>1</v>
      </c>
      <c r="I814" s="10" t="n">
        <v>0</v>
      </c>
      <c r="J814" s="10" t="n">
        <v>0</v>
      </c>
      <c r="K814" s="10" t="n">
        <v>0</v>
      </c>
      <c r="L814" s="10" t="n">
        <v>0</v>
      </c>
      <c r="M814" s="10" t="n">
        <v>0</v>
      </c>
      <c r="N814" s="10" t="n">
        <v>0</v>
      </c>
      <c r="P814" s="10" t="n">
        <v>51.5</v>
      </c>
      <c r="Q814" s="10">
        <f>A814&amp;"|"&amp;B814&amp;"|"&amp;C814&amp;"|"&amp;D814&amp;"|"&amp;E814&amp;"|"&amp;F814&amp;"|"&amp;G814&amp;"|"&amp;H814&amp;"|"&amp;I814&amp;"|"&amp;J814&amp;"|"&amp;K814&amp;"|"&amp;L814&amp;"|"&amp;M814&amp;"|"&amp;N814&amp;"|"&amp;O814&amp;"|"&amp;P814</f>
        <v/>
      </c>
      <c r="R814" s="10">
        <f>IF(COUNTIF($Q$2:$Q$1409,Q814)&gt;1,IF(COUNTIF($Q$2:Q814,Q814)=1,"Exact Duplicate - Keep First","Exact Duplicate - Remove"),"Unique")</f>
        <v/>
      </c>
    </row>
    <row r="815" ht="15" customHeight="1" s="11">
      <c r="A815" s="10" t="inlineStr">
        <is>
          <t>USR-100814</t>
        </is>
      </c>
      <c r="B815" s="14" t="n">
        <v>45752</v>
      </c>
      <c r="C815" s="10" t="inlineStr">
        <is>
          <t>Treatment</t>
        </is>
      </c>
      <c r="D815" s="10" t="inlineStr">
        <is>
          <t>East</t>
        </is>
      </c>
      <c r="E815" s="10" t="inlineStr">
        <is>
          <t>Mobile</t>
        </is>
      </c>
      <c r="F815" s="10" t="inlineStr">
        <is>
          <t>Paid Search</t>
        </is>
      </c>
      <c r="G815" s="10" t="inlineStr">
        <is>
          <t>Free</t>
        </is>
      </c>
      <c r="H815" s="10" t="n">
        <v>1</v>
      </c>
      <c r="I815" s="10" t="n">
        <v>1</v>
      </c>
      <c r="J815" s="10" t="n">
        <v>1</v>
      </c>
      <c r="K815" s="10" t="n">
        <v>1</v>
      </c>
      <c r="L815" s="10" t="n">
        <v>277.69</v>
      </c>
      <c r="M815" s="10" t="n">
        <v>3</v>
      </c>
      <c r="N815" s="10" t="n">
        <v>0</v>
      </c>
      <c r="O815" s="10" t="n">
        <v>8</v>
      </c>
      <c r="P815" s="10" t="n">
        <v>46</v>
      </c>
      <c r="Q815" s="10">
        <f>A815&amp;"|"&amp;B815&amp;"|"&amp;C815&amp;"|"&amp;D815&amp;"|"&amp;E815&amp;"|"&amp;F815&amp;"|"&amp;G815&amp;"|"&amp;H815&amp;"|"&amp;I815&amp;"|"&amp;J815&amp;"|"&amp;K815&amp;"|"&amp;L815&amp;"|"&amp;M815&amp;"|"&amp;N815&amp;"|"&amp;O815&amp;"|"&amp;P815</f>
        <v/>
      </c>
      <c r="R815" s="10">
        <f>IF(COUNTIF($Q$2:$Q$1409,Q815)&gt;1,IF(COUNTIF($Q$2:Q815,Q815)=1,"Exact Duplicate - Keep First","Exact Duplicate - Remove"),"Unique")</f>
        <v/>
      </c>
    </row>
    <row r="816" ht="15" customHeight="1" s="11">
      <c r="A816" s="10" t="inlineStr">
        <is>
          <t>USR-100815</t>
        </is>
      </c>
      <c r="B816" s="14" t="n">
        <v>45760</v>
      </c>
      <c r="C816" s="10" t="inlineStr">
        <is>
          <t>Treatment</t>
        </is>
      </c>
      <c r="D816" s="10" t="inlineStr">
        <is>
          <t>West</t>
        </is>
      </c>
      <c r="E816" s="10" t="inlineStr">
        <is>
          <t>Tablet</t>
        </is>
      </c>
      <c r="F816" s="10" t="inlineStr">
        <is>
          <t>Organic</t>
        </is>
      </c>
      <c r="G816" s="10" t="inlineStr">
        <is>
          <t>Free</t>
        </is>
      </c>
      <c r="H816" s="10" t="n">
        <v>1</v>
      </c>
      <c r="I816" s="10" t="n">
        <v>0</v>
      </c>
      <c r="J816" s="10" t="n">
        <v>0</v>
      </c>
      <c r="K816" s="10" t="n">
        <v>0</v>
      </c>
      <c r="L816" s="10" t="n">
        <v>0</v>
      </c>
      <c r="M816" s="10" t="n">
        <v>0</v>
      </c>
      <c r="N816" s="10" t="n">
        <v>0</v>
      </c>
      <c r="P816" s="10" t="n">
        <v>81.7</v>
      </c>
      <c r="Q816" s="10">
        <f>A816&amp;"|"&amp;B816&amp;"|"&amp;C816&amp;"|"&amp;D816&amp;"|"&amp;E816&amp;"|"&amp;F816&amp;"|"&amp;G816&amp;"|"&amp;H816&amp;"|"&amp;I816&amp;"|"&amp;J816&amp;"|"&amp;K816&amp;"|"&amp;L816&amp;"|"&amp;M816&amp;"|"&amp;N816&amp;"|"&amp;O816&amp;"|"&amp;P816</f>
        <v/>
      </c>
      <c r="R816" s="10">
        <f>IF(COUNTIF($Q$2:$Q$1409,Q816)&gt;1,IF(COUNTIF($Q$2:Q816,Q816)=1,"Exact Duplicate - Keep First","Exact Duplicate - Remove"),"Unique")</f>
        <v/>
      </c>
    </row>
    <row r="817" ht="15" customHeight="1" s="11">
      <c r="A817" s="10" t="inlineStr">
        <is>
          <t>USR-100816</t>
        </is>
      </c>
      <c r="B817" s="14" t="n">
        <v>45797</v>
      </c>
      <c r="C817" s="10" t="inlineStr">
        <is>
          <t>Treatment</t>
        </is>
      </c>
      <c r="D817" s="10" t="inlineStr">
        <is>
          <t>East</t>
        </is>
      </c>
      <c r="E817" s="10" t="inlineStr">
        <is>
          <t>Desktop</t>
        </is>
      </c>
      <c r="F817" s="10" t="inlineStr">
        <is>
          <t>Referral</t>
        </is>
      </c>
      <c r="G817" s="10" t="inlineStr">
        <is>
          <t>Free</t>
        </is>
      </c>
      <c r="H817" s="10" t="n">
        <v>1</v>
      </c>
      <c r="I817" s="10" t="n">
        <v>0</v>
      </c>
      <c r="J817" s="10" t="n">
        <v>0</v>
      </c>
      <c r="K817" s="10" t="n">
        <v>0</v>
      </c>
      <c r="L817" s="10" t="n">
        <v>0</v>
      </c>
      <c r="M817" s="10" t="n">
        <v>0</v>
      </c>
      <c r="N817" s="10" t="n">
        <v>0</v>
      </c>
      <c r="P817" s="10" t="n">
        <v>48.3</v>
      </c>
      <c r="Q817" s="10">
        <f>A817&amp;"|"&amp;B817&amp;"|"&amp;C817&amp;"|"&amp;D817&amp;"|"&amp;E817&amp;"|"&amp;F817&amp;"|"&amp;G817&amp;"|"&amp;H817&amp;"|"&amp;I817&amp;"|"&amp;J817&amp;"|"&amp;K817&amp;"|"&amp;L817&amp;"|"&amp;M817&amp;"|"&amp;N817&amp;"|"&amp;O817&amp;"|"&amp;P817</f>
        <v/>
      </c>
      <c r="R817" s="10">
        <f>IF(COUNTIF($Q$2:$Q$1409,Q817)&gt;1,IF(COUNTIF($Q$2:Q817,Q817)=1,"Exact Duplicate - Keep First","Exact Duplicate - Remove"),"Unique")</f>
        <v/>
      </c>
    </row>
    <row r="818" ht="15" customHeight="1" s="11">
      <c r="A818" s="10" t="inlineStr">
        <is>
          <t>USR-100817</t>
        </is>
      </c>
      <c r="B818" s="14" t="n">
        <v>45747</v>
      </c>
      <c r="C818" s="10" t="inlineStr">
        <is>
          <t>Treatment</t>
        </is>
      </c>
      <c r="D818" s="10" t="inlineStr">
        <is>
          <t>East</t>
        </is>
      </c>
      <c r="E818" s="10" t="inlineStr">
        <is>
          <t>Mobile</t>
        </is>
      </c>
      <c r="F818" s="10" t="inlineStr">
        <is>
          <t>Email</t>
        </is>
      </c>
      <c r="G818" s="10" t="inlineStr">
        <is>
          <t>Free</t>
        </is>
      </c>
      <c r="H818" s="10" t="n">
        <v>1</v>
      </c>
      <c r="I818" s="10" t="n">
        <v>1</v>
      </c>
      <c r="J818" s="10" t="n">
        <v>0</v>
      </c>
      <c r="K818" s="10" t="n">
        <v>0</v>
      </c>
      <c r="L818" s="10" t="n">
        <v>0</v>
      </c>
      <c r="M818" s="10" t="n">
        <v>0</v>
      </c>
      <c r="N818" s="10" t="n">
        <v>0</v>
      </c>
      <c r="P818" s="10" t="n">
        <v>85.59999999999999</v>
      </c>
      <c r="Q818" s="10">
        <f>A818&amp;"|"&amp;B818&amp;"|"&amp;C818&amp;"|"&amp;D818&amp;"|"&amp;E818&amp;"|"&amp;F818&amp;"|"&amp;G818&amp;"|"&amp;H818&amp;"|"&amp;I818&amp;"|"&amp;J818&amp;"|"&amp;K818&amp;"|"&amp;L818&amp;"|"&amp;M818&amp;"|"&amp;N818&amp;"|"&amp;O818&amp;"|"&amp;P818</f>
        <v/>
      </c>
      <c r="R818" s="10">
        <f>IF(COUNTIF($Q$2:$Q$1409,Q818)&gt;1,IF(COUNTIF($Q$2:Q818,Q818)=1,"Exact Duplicate - Keep First","Exact Duplicate - Remove"),"Unique")</f>
        <v/>
      </c>
    </row>
    <row r="819" ht="15" customHeight="1" s="11">
      <c r="A819" s="10" t="inlineStr">
        <is>
          <t>USR-100818</t>
        </is>
      </c>
      <c r="B819" s="14" t="n">
        <v>45750</v>
      </c>
      <c r="C819" s="10" t="inlineStr">
        <is>
          <t>Treatment</t>
        </is>
      </c>
      <c r="D819" s="10" t="inlineStr">
        <is>
          <t>West</t>
        </is>
      </c>
      <c r="E819" s="10" t="inlineStr">
        <is>
          <t>Tablet</t>
        </is>
      </c>
      <c r="F819" s="10" t="inlineStr">
        <is>
          <t>Paid Search</t>
        </is>
      </c>
      <c r="G819" s="10" t="inlineStr">
        <is>
          <t>Basic</t>
        </is>
      </c>
      <c r="H819" s="10" t="n">
        <v>1</v>
      </c>
      <c r="I819" s="10" t="n">
        <v>0</v>
      </c>
      <c r="J819" s="10" t="n">
        <v>0</v>
      </c>
      <c r="K819" s="10" t="n">
        <v>0</v>
      </c>
      <c r="L819" s="10" t="n">
        <v>0</v>
      </c>
      <c r="M819" s="10" t="n">
        <v>0</v>
      </c>
      <c r="N819" s="10" t="n">
        <v>0</v>
      </c>
      <c r="P819" s="10" t="n">
        <v>53.8</v>
      </c>
      <c r="Q819" s="10">
        <f>A819&amp;"|"&amp;B819&amp;"|"&amp;C819&amp;"|"&amp;D819&amp;"|"&amp;E819&amp;"|"&amp;F819&amp;"|"&amp;G819&amp;"|"&amp;H819&amp;"|"&amp;I819&amp;"|"&amp;J819&amp;"|"&amp;K819&amp;"|"&amp;L819&amp;"|"&amp;M819&amp;"|"&amp;N819&amp;"|"&amp;O819&amp;"|"&amp;P819</f>
        <v/>
      </c>
      <c r="R819" s="10">
        <f>IF(COUNTIF($Q$2:$Q$1409,Q819)&gt;1,IF(COUNTIF($Q$2:Q819,Q819)=1,"Exact Duplicate - Keep First","Exact Duplicate - Remove"),"Unique")</f>
        <v/>
      </c>
    </row>
    <row r="820" ht="15" customHeight="1" s="11">
      <c r="A820" s="10" t="inlineStr">
        <is>
          <t>USR-100819</t>
        </is>
      </c>
      <c r="B820" s="14" t="n">
        <v>45692</v>
      </c>
      <c r="C820" s="10" t="inlineStr">
        <is>
          <t>Treatment</t>
        </is>
      </c>
      <c r="D820" s="10" t="inlineStr">
        <is>
          <t>South</t>
        </is>
      </c>
      <c r="E820" s="10" t="inlineStr">
        <is>
          <t>Mobile</t>
        </is>
      </c>
      <c r="F820" s="10" t="inlineStr">
        <is>
          <t>Organic</t>
        </is>
      </c>
      <c r="G820" s="10" t="inlineStr">
        <is>
          <t>Free</t>
        </is>
      </c>
      <c r="H820" s="10" t="n">
        <v>1</v>
      </c>
      <c r="I820" s="10" t="n">
        <v>1</v>
      </c>
      <c r="J820" s="10" t="n">
        <v>1</v>
      </c>
      <c r="K820" s="10" t="n">
        <v>1</v>
      </c>
      <c r="L820" s="10" t="n">
        <v>460.83</v>
      </c>
      <c r="M820" s="10" t="n">
        <v>2</v>
      </c>
      <c r="N820" s="10" t="n">
        <v>0</v>
      </c>
      <c r="O820" s="10" t="n">
        <v>0</v>
      </c>
      <c r="P820" s="10" t="n">
        <v>69.7</v>
      </c>
      <c r="Q820" s="10">
        <f>A820&amp;"|"&amp;B820&amp;"|"&amp;C820&amp;"|"&amp;D820&amp;"|"&amp;E820&amp;"|"&amp;F820&amp;"|"&amp;G820&amp;"|"&amp;H820&amp;"|"&amp;I820&amp;"|"&amp;J820&amp;"|"&amp;K820&amp;"|"&amp;L820&amp;"|"&amp;M820&amp;"|"&amp;N820&amp;"|"&amp;O820&amp;"|"&amp;P820</f>
        <v/>
      </c>
      <c r="R820" s="10">
        <f>IF(COUNTIF($Q$2:$Q$1409,Q820)&gt;1,IF(COUNTIF($Q$2:Q820,Q820)=1,"Exact Duplicate - Keep First","Exact Duplicate - Remove"),"Unique")</f>
        <v/>
      </c>
    </row>
    <row r="821" ht="15" customHeight="1" s="11">
      <c r="A821" s="10" t="inlineStr">
        <is>
          <t>USR-100820</t>
        </is>
      </c>
      <c r="B821" s="14" t="n">
        <v>45796</v>
      </c>
      <c r="C821" s="10" t="inlineStr">
        <is>
          <t>Treatment</t>
        </is>
      </c>
      <c r="D821" s="10" t="inlineStr">
        <is>
          <t>East</t>
        </is>
      </c>
      <c r="E821" s="10" t="inlineStr">
        <is>
          <t>Mobile</t>
        </is>
      </c>
      <c r="F821" s="10" t="inlineStr">
        <is>
          <t>Organic</t>
        </is>
      </c>
      <c r="G821" s="10" t="inlineStr">
        <is>
          <t>Free</t>
        </is>
      </c>
      <c r="H821" s="10" t="n">
        <v>1</v>
      </c>
      <c r="I821" s="10" t="n">
        <v>0</v>
      </c>
      <c r="J821" s="10" t="n">
        <v>0</v>
      </c>
      <c r="K821" s="10" t="n">
        <v>0</v>
      </c>
      <c r="L821" s="10" t="n">
        <v>0</v>
      </c>
      <c r="M821" s="10" t="n">
        <v>0</v>
      </c>
      <c r="N821" s="10" t="n">
        <v>0</v>
      </c>
      <c r="P821" s="10" t="n">
        <v>74.8</v>
      </c>
      <c r="Q821" s="10">
        <f>A821&amp;"|"&amp;B821&amp;"|"&amp;C821&amp;"|"&amp;D821&amp;"|"&amp;E821&amp;"|"&amp;F821&amp;"|"&amp;G821&amp;"|"&amp;H821&amp;"|"&amp;I821&amp;"|"&amp;J821&amp;"|"&amp;K821&amp;"|"&amp;L821&amp;"|"&amp;M821&amp;"|"&amp;N821&amp;"|"&amp;O821&amp;"|"&amp;P821</f>
        <v/>
      </c>
      <c r="R821" s="10">
        <f>IF(COUNTIF($Q$2:$Q$1409,Q821)&gt;1,IF(COUNTIF($Q$2:Q821,Q821)=1,"Exact Duplicate - Keep First","Exact Duplicate - Remove"),"Unique")</f>
        <v/>
      </c>
    </row>
    <row r="822" ht="15" customHeight="1" s="11">
      <c r="A822" s="10" t="inlineStr">
        <is>
          <t>USR-100821</t>
        </is>
      </c>
      <c r="B822" s="14" t="n">
        <v>45724</v>
      </c>
      <c r="C822" s="10" t="inlineStr">
        <is>
          <t>Treatment</t>
        </is>
      </c>
      <c r="D822" s="10" t="inlineStr">
        <is>
          <t>East</t>
        </is>
      </c>
      <c r="E822" s="10" t="inlineStr">
        <is>
          <t>Desktop</t>
        </is>
      </c>
      <c r="F822" s="10" t="inlineStr">
        <is>
          <t>Paid Search</t>
        </is>
      </c>
      <c r="G822" s="10" t="inlineStr">
        <is>
          <t>Basic</t>
        </is>
      </c>
      <c r="H822" s="10" t="n">
        <v>0</v>
      </c>
      <c r="I822" s="10" t="n">
        <v>0</v>
      </c>
      <c r="J822" s="10" t="n">
        <v>0</v>
      </c>
      <c r="K822" s="10" t="n">
        <v>0</v>
      </c>
      <c r="L822" s="10" t="n">
        <v>0</v>
      </c>
      <c r="M822" s="10" t="n">
        <v>0</v>
      </c>
      <c r="N822" s="10" t="n">
        <v>0</v>
      </c>
      <c r="P822" s="10" t="n">
        <v>87.90000000000001</v>
      </c>
      <c r="Q822" s="10">
        <f>A822&amp;"|"&amp;B822&amp;"|"&amp;C822&amp;"|"&amp;D822&amp;"|"&amp;E822&amp;"|"&amp;F822&amp;"|"&amp;G822&amp;"|"&amp;H822&amp;"|"&amp;I822&amp;"|"&amp;J822&amp;"|"&amp;K822&amp;"|"&amp;L822&amp;"|"&amp;M822&amp;"|"&amp;N822&amp;"|"&amp;O822&amp;"|"&amp;P822</f>
        <v/>
      </c>
      <c r="R822" s="10">
        <f>IF(COUNTIF($Q$2:$Q$1409,Q822)&gt;1,IF(COUNTIF($Q$2:Q822,Q822)=1,"Exact Duplicate - Keep First","Exact Duplicate - Remove"),"Unique")</f>
        <v/>
      </c>
    </row>
    <row r="823" ht="15" customHeight="1" s="11">
      <c r="A823" s="10" t="inlineStr">
        <is>
          <t>USR-100822</t>
        </is>
      </c>
      <c r="B823" s="14" t="n">
        <v>45787</v>
      </c>
      <c r="C823" s="10" t="inlineStr">
        <is>
          <t>Treatment</t>
        </is>
      </c>
      <c r="D823" s="10" t="inlineStr">
        <is>
          <t>North</t>
        </is>
      </c>
      <c r="E823" s="10" t="inlineStr">
        <is>
          <t>Mobile</t>
        </is>
      </c>
      <c r="F823" s="10" t="inlineStr">
        <is>
          <t>Social</t>
        </is>
      </c>
      <c r="G823" s="10" t="inlineStr">
        <is>
          <t>Basic</t>
        </is>
      </c>
      <c r="H823" s="10" t="n">
        <v>1</v>
      </c>
      <c r="I823" s="10" t="n">
        <v>0</v>
      </c>
      <c r="J823" s="10" t="n">
        <v>0</v>
      </c>
      <c r="K823" s="10" t="n">
        <v>0</v>
      </c>
      <c r="L823" s="10" t="n">
        <v>0</v>
      </c>
      <c r="M823" s="10" t="n">
        <v>1</v>
      </c>
      <c r="N823" s="10" t="n">
        <v>0</v>
      </c>
      <c r="P823" s="10" t="n">
        <v>49.1</v>
      </c>
      <c r="Q823" s="10">
        <f>A823&amp;"|"&amp;B823&amp;"|"&amp;C823&amp;"|"&amp;D823&amp;"|"&amp;E823&amp;"|"&amp;F823&amp;"|"&amp;G823&amp;"|"&amp;H823&amp;"|"&amp;I823&amp;"|"&amp;J823&amp;"|"&amp;K823&amp;"|"&amp;L823&amp;"|"&amp;M823&amp;"|"&amp;N823&amp;"|"&amp;O823&amp;"|"&amp;P823</f>
        <v/>
      </c>
      <c r="R823" s="10">
        <f>IF(COUNTIF($Q$2:$Q$1409,Q823)&gt;1,IF(COUNTIF($Q$2:Q823,Q823)=1,"Exact Duplicate - Keep First","Exact Duplicate - Remove"),"Unique")</f>
        <v/>
      </c>
    </row>
    <row r="824" ht="15" customHeight="1" s="11">
      <c r="A824" s="10" t="inlineStr">
        <is>
          <t>USR-100823</t>
        </is>
      </c>
      <c r="B824" s="14" t="n">
        <v>45659</v>
      </c>
      <c r="C824" s="10" t="inlineStr">
        <is>
          <t>Treatment</t>
        </is>
      </c>
      <c r="D824" s="10" t="inlineStr">
        <is>
          <t>East</t>
        </is>
      </c>
      <c r="E824" s="10" t="inlineStr">
        <is>
          <t>Desktop</t>
        </is>
      </c>
      <c r="F824" s="10" t="inlineStr">
        <is>
          <t>Social</t>
        </is>
      </c>
      <c r="G824" s="10" t="inlineStr">
        <is>
          <t>Basic</t>
        </is>
      </c>
      <c r="H824" s="10" t="n">
        <v>1</v>
      </c>
      <c r="I824" s="10" t="n">
        <v>0</v>
      </c>
      <c r="J824" s="10" t="n">
        <v>0</v>
      </c>
      <c r="K824" s="10" t="n">
        <v>0</v>
      </c>
      <c r="L824" s="10" t="n">
        <v>0</v>
      </c>
      <c r="M824" s="10" t="n">
        <v>2</v>
      </c>
      <c r="N824" s="10" t="n">
        <v>0</v>
      </c>
      <c r="P824" s="10" t="n">
        <v>73</v>
      </c>
      <c r="Q824" s="10">
        <f>A824&amp;"|"&amp;B824&amp;"|"&amp;C824&amp;"|"&amp;D824&amp;"|"&amp;E824&amp;"|"&amp;F824&amp;"|"&amp;G824&amp;"|"&amp;H824&amp;"|"&amp;I824&amp;"|"&amp;J824&amp;"|"&amp;K824&amp;"|"&amp;L824&amp;"|"&amp;M824&amp;"|"&amp;N824&amp;"|"&amp;O824&amp;"|"&amp;P824</f>
        <v/>
      </c>
      <c r="R824" s="10">
        <f>IF(COUNTIF($Q$2:$Q$1409,Q824)&gt;1,IF(COUNTIF($Q$2:Q824,Q824)=1,"Exact Duplicate - Keep First","Exact Duplicate - Remove"),"Unique")</f>
        <v/>
      </c>
    </row>
    <row r="825" ht="15" customHeight="1" s="11">
      <c r="A825" s="10" t="inlineStr">
        <is>
          <t>USR-100824</t>
        </is>
      </c>
      <c r="B825" s="14" t="n">
        <v>45674</v>
      </c>
      <c r="C825" s="10" t="inlineStr">
        <is>
          <t>Treatment</t>
        </is>
      </c>
      <c r="D825" s="10" t="inlineStr">
        <is>
          <t>West</t>
        </is>
      </c>
      <c r="E825" s="10" t="inlineStr">
        <is>
          <t>Mobile</t>
        </is>
      </c>
      <c r="F825" s="10" t="inlineStr">
        <is>
          <t>Organic</t>
        </is>
      </c>
      <c r="G825" s="10" t="inlineStr">
        <is>
          <t>Basic</t>
        </is>
      </c>
      <c r="H825" s="10" t="n">
        <v>0</v>
      </c>
      <c r="I825" s="10" t="n">
        <v>0</v>
      </c>
      <c r="J825" s="10" t="n">
        <v>0</v>
      </c>
      <c r="K825" s="10" t="n">
        <v>0</v>
      </c>
      <c r="L825" s="10" t="n">
        <v>0</v>
      </c>
      <c r="M825" s="10" t="n">
        <v>0</v>
      </c>
      <c r="N825" s="10" t="n">
        <v>0</v>
      </c>
      <c r="P825" s="10" t="n">
        <v>79.5</v>
      </c>
      <c r="Q825" s="10">
        <f>A825&amp;"|"&amp;B825&amp;"|"&amp;C825&amp;"|"&amp;D825&amp;"|"&amp;E825&amp;"|"&amp;F825&amp;"|"&amp;G825&amp;"|"&amp;H825&amp;"|"&amp;I825&amp;"|"&amp;J825&amp;"|"&amp;K825&amp;"|"&amp;L825&amp;"|"&amp;M825&amp;"|"&amp;N825&amp;"|"&amp;O825&amp;"|"&amp;P825</f>
        <v/>
      </c>
      <c r="R825" s="10">
        <f>IF(COUNTIF($Q$2:$Q$1409,Q825)&gt;1,IF(COUNTIF($Q$2:Q825,Q825)=1,"Exact Duplicate - Keep First","Exact Duplicate - Remove"),"Unique")</f>
        <v/>
      </c>
    </row>
    <row r="826" ht="15" customHeight="1" s="11">
      <c r="A826" s="10" t="inlineStr">
        <is>
          <t>USR-100825</t>
        </is>
      </c>
      <c r="B826" s="14" t="n">
        <v>45798</v>
      </c>
      <c r="C826" s="10" t="inlineStr">
        <is>
          <t>Treatment</t>
        </is>
      </c>
      <c r="D826" s="10" t="inlineStr">
        <is>
          <t>West</t>
        </is>
      </c>
      <c r="E826" s="10" t="inlineStr">
        <is>
          <t>Mobile</t>
        </is>
      </c>
      <c r="F826" s="10" t="inlineStr">
        <is>
          <t>Referral</t>
        </is>
      </c>
      <c r="G826" s="10" t="inlineStr">
        <is>
          <t>Basic</t>
        </is>
      </c>
      <c r="H826" s="10" t="n">
        <v>1</v>
      </c>
      <c r="I826" s="10" t="n">
        <v>1</v>
      </c>
      <c r="J826" s="10" t="n">
        <v>1</v>
      </c>
      <c r="K826" s="10" t="n">
        <v>1</v>
      </c>
      <c r="L826" s="10" t="n">
        <v>782.23</v>
      </c>
      <c r="M826" s="10" t="n">
        <v>1</v>
      </c>
      <c r="N826" s="10" t="n">
        <v>0</v>
      </c>
      <c r="O826" s="10" t="n">
        <v>6</v>
      </c>
      <c r="P826" s="10" t="n">
        <v>93.2</v>
      </c>
      <c r="Q826" s="10">
        <f>A826&amp;"|"&amp;B826&amp;"|"&amp;C826&amp;"|"&amp;D826&amp;"|"&amp;E826&amp;"|"&amp;F826&amp;"|"&amp;G826&amp;"|"&amp;H826&amp;"|"&amp;I826&amp;"|"&amp;J826&amp;"|"&amp;K826&amp;"|"&amp;L826&amp;"|"&amp;M826&amp;"|"&amp;N826&amp;"|"&amp;O826&amp;"|"&amp;P826</f>
        <v/>
      </c>
      <c r="R826" s="10">
        <f>IF(COUNTIF($Q$2:$Q$1409,Q826)&gt;1,IF(COUNTIF($Q$2:Q826,Q826)=1,"Exact Duplicate - Keep First","Exact Duplicate - Remove"),"Unique")</f>
        <v/>
      </c>
    </row>
    <row r="827" ht="15" customHeight="1" s="11">
      <c r="A827" s="10" t="inlineStr">
        <is>
          <t>USR-100826</t>
        </is>
      </c>
      <c r="B827" s="14" t="n">
        <v>45802</v>
      </c>
      <c r="C827" s="10" t="inlineStr">
        <is>
          <t>Treatment</t>
        </is>
      </c>
      <c r="D827" s="10" t="inlineStr">
        <is>
          <t>East</t>
        </is>
      </c>
      <c r="E827" s="10" t="inlineStr">
        <is>
          <t>Desktop</t>
        </is>
      </c>
      <c r="F827" s="10" t="inlineStr">
        <is>
          <t>Referral</t>
        </is>
      </c>
      <c r="G827" s="10" t="inlineStr">
        <is>
          <t>Free</t>
        </is>
      </c>
      <c r="H827" s="10" t="n">
        <v>1</v>
      </c>
      <c r="I827" s="10" t="n">
        <v>0</v>
      </c>
      <c r="J827" s="10" t="n">
        <v>0</v>
      </c>
      <c r="K827" s="10" t="n">
        <v>0</v>
      </c>
      <c r="L827" s="10" t="n">
        <v>0</v>
      </c>
      <c r="M827" s="10" t="n">
        <v>3</v>
      </c>
      <c r="N827" s="10" t="n">
        <v>0</v>
      </c>
      <c r="P827" s="10" t="n">
        <v>77.5</v>
      </c>
      <c r="Q827" s="10">
        <f>A827&amp;"|"&amp;B827&amp;"|"&amp;C827&amp;"|"&amp;D827&amp;"|"&amp;E827&amp;"|"&amp;F827&amp;"|"&amp;G827&amp;"|"&amp;H827&amp;"|"&amp;I827&amp;"|"&amp;J827&amp;"|"&amp;K827&amp;"|"&amp;L827&amp;"|"&amp;M827&amp;"|"&amp;N827&amp;"|"&amp;O827&amp;"|"&amp;P827</f>
        <v/>
      </c>
      <c r="R827" s="10">
        <f>IF(COUNTIF($Q$2:$Q$1409,Q827)&gt;1,IF(COUNTIF($Q$2:Q827,Q827)=1,"Exact Duplicate - Keep First","Exact Duplicate - Remove"),"Unique")</f>
        <v/>
      </c>
    </row>
    <row r="828" ht="15" customHeight="1" s="11">
      <c r="A828" s="10" t="inlineStr">
        <is>
          <t>USR-100827</t>
        </is>
      </c>
      <c r="B828" s="14" t="n">
        <v>45662</v>
      </c>
      <c r="C828" s="10" t="inlineStr">
        <is>
          <t>Treatment</t>
        </is>
      </c>
      <c r="D828" s="10" t="inlineStr">
        <is>
          <t>West</t>
        </is>
      </c>
      <c r="E828" s="10" t="inlineStr">
        <is>
          <t>Mobile</t>
        </is>
      </c>
      <c r="F828" s="10" t="inlineStr">
        <is>
          <t>Email</t>
        </is>
      </c>
      <c r="G828" s="10" t="inlineStr">
        <is>
          <t>Basic</t>
        </is>
      </c>
      <c r="H828" s="10" t="n">
        <v>1</v>
      </c>
      <c r="I828" s="10" t="n">
        <v>0</v>
      </c>
      <c r="J828" s="10" t="n">
        <v>0</v>
      </c>
      <c r="K828" s="10" t="n">
        <v>0</v>
      </c>
      <c r="L828" s="10" t="n">
        <v>0</v>
      </c>
      <c r="M828" s="10" t="n">
        <v>0</v>
      </c>
      <c r="N828" s="10" t="n">
        <v>0</v>
      </c>
      <c r="P828" s="10" t="n">
        <v>61</v>
      </c>
      <c r="Q828" s="10">
        <f>A828&amp;"|"&amp;B828&amp;"|"&amp;C828&amp;"|"&amp;D828&amp;"|"&amp;E828&amp;"|"&amp;F828&amp;"|"&amp;G828&amp;"|"&amp;H828&amp;"|"&amp;I828&amp;"|"&amp;J828&amp;"|"&amp;K828&amp;"|"&amp;L828&amp;"|"&amp;M828&amp;"|"&amp;N828&amp;"|"&amp;O828&amp;"|"&amp;P828</f>
        <v/>
      </c>
      <c r="R828" s="10">
        <f>IF(COUNTIF($Q$2:$Q$1409,Q828)&gt;1,IF(COUNTIF($Q$2:Q828,Q828)=1,"Exact Duplicate - Keep First","Exact Duplicate - Remove"),"Unique")</f>
        <v/>
      </c>
    </row>
    <row r="829" ht="15" customHeight="1" s="11">
      <c r="A829" s="10" t="inlineStr">
        <is>
          <t>USR-100828</t>
        </is>
      </c>
      <c r="B829" s="14" t="n">
        <v>45712</v>
      </c>
      <c r="C829" s="10" t="inlineStr">
        <is>
          <t>Treatment</t>
        </is>
      </c>
      <c r="D829" s="10" t="inlineStr">
        <is>
          <t>South</t>
        </is>
      </c>
      <c r="E829" s="10" t="inlineStr">
        <is>
          <t>Desktop</t>
        </is>
      </c>
      <c r="F829" s="10" t="inlineStr">
        <is>
          <t>Organic</t>
        </is>
      </c>
      <c r="G829" s="10" t="inlineStr">
        <is>
          <t>Free</t>
        </is>
      </c>
      <c r="H829" s="10" t="n">
        <v>1</v>
      </c>
      <c r="I829" s="10" t="n">
        <v>1</v>
      </c>
      <c r="J829" s="10" t="n">
        <v>0</v>
      </c>
      <c r="K829" s="10" t="n">
        <v>0</v>
      </c>
      <c r="L829" s="10" t="n">
        <v>0</v>
      </c>
      <c r="M829" s="10" t="n">
        <v>0</v>
      </c>
      <c r="N829" s="10" t="n">
        <v>0</v>
      </c>
      <c r="P829" s="10" t="n">
        <v>64.90000000000001</v>
      </c>
      <c r="Q829" s="10">
        <f>A829&amp;"|"&amp;B829&amp;"|"&amp;C829&amp;"|"&amp;D829&amp;"|"&amp;E829&amp;"|"&amp;F829&amp;"|"&amp;G829&amp;"|"&amp;H829&amp;"|"&amp;I829&amp;"|"&amp;J829&amp;"|"&amp;K829&amp;"|"&amp;L829&amp;"|"&amp;M829&amp;"|"&amp;N829&amp;"|"&amp;O829&amp;"|"&amp;P829</f>
        <v/>
      </c>
      <c r="R829" s="10">
        <f>IF(COUNTIF($Q$2:$Q$1409,Q829)&gt;1,IF(COUNTIF($Q$2:Q829,Q829)=1,"Exact Duplicate - Keep First","Exact Duplicate - Remove"),"Unique")</f>
        <v/>
      </c>
    </row>
    <row r="830" ht="15" customHeight="1" s="11">
      <c r="A830" s="10" t="inlineStr">
        <is>
          <t>USR-100829</t>
        </is>
      </c>
      <c r="B830" s="14" t="n">
        <v>45678</v>
      </c>
      <c r="C830" s="10" t="inlineStr">
        <is>
          <t>Treatment</t>
        </is>
      </c>
      <c r="D830" s="10" t="inlineStr">
        <is>
          <t>East</t>
        </is>
      </c>
      <c r="E830" s="10" t="inlineStr">
        <is>
          <t>Mobile</t>
        </is>
      </c>
      <c r="F830" s="10" t="inlineStr">
        <is>
          <t>Paid Search</t>
        </is>
      </c>
      <c r="G830" s="10" t="inlineStr">
        <is>
          <t>Basic</t>
        </is>
      </c>
      <c r="H830" s="10" t="n">
        <v>1</v>
      </c>
      <c r="I830" s="10" t="n">
        <v>0</v>
      </c>
      <c r="J830" s="10" t="n">
        <v>0</v>
      </c>
      <c r="K830" s="10" t="n">
        <v>0</v>
      </c>
      <c r="L830" s="10" t="n">
        <v>0</v>
      </c>
      <c r="M830" s="10" t="n">
        <v>0</v>
      </c>
      <c r="N830" s="10" t="n">
        <v>0</v>
      </c>
      <c r="P830" s="10" t="n">
        <v>87.5</v>
      </c>
      <c r="Q830" s="10">
        <f>A830&amp;"|"&amp;B830&amp;"|"&amp;C830&amp;"|"&amp;D830&amp;"|"&amp;E830&amp;"|"&amp;F830&amp;"|"&amp;G830&amp;"|"&amp;H830&amp;"|"&amp;I830&amp;"|"&amp;J830&amp;"|"&amp;K830&amp;"|"&amp;L830&amp;"|"&amp;M830&amp;"|"&amp;N830&amp;"|"&amp;O830&amp;"|"&amp;P830</f>
        <v/>
      </c>
      <c r="R830" s="10">
        <f>IF(COUNTIF($Q$2:$Q$1409,Q830)&gt;1,IF(COUNTIF($Q$2:Q830,Q830)=1,"Exact Duplicate - Keep First","Exact Duplicate - Remove"),"Unique")</f>
        <v/>
      </c>
    </row>
    <row r="831" ht="15" customHeight="1" s="11">
      <c r="A831" s="10" t="inlineStr">
        <is>
          <t>USR-100830</t>
        </is>
      </c>
      <c r="B831" s="14" t="n">
        <v>45771</v>
      </c>
      <c r="C831" s="10" t="inlineStr">
        <is>
          <t>Treatment</t>
        </is>
      </c>
      <c r="D831" s="10" t="inlineStr">
        <is>
          <t>North</t>
        </is>
      </c>
      <c r="E831" s="10" t="inlineStr">
        <is>
          <t>Mobile</t>
        </is>
      </c>
      <c r="F831" s="10" t="inlineStr">
        <is>
          <t>Organic</t>
        </is>
      </c>
      <c r="G831" s="10" t="inlineStr">
        <is>
          <t>Basic</t>
        </is>
      </c>
      <c r="H831" s="10" t="n">
        <v>1</v>
      </c>
      <c r="I831" s="10" t="n">
        <v>1</v>
      </c>
      <c r="J831" s="10" t="n">
        <v>1</v>
      </c>
      <c r="K831" s="10" t="n">
        <v>1</v>
      </c>
      <c r="L831" s="10" t="n">
        <v>1171.99</v>
      </c>
      <c r="M831" s="10" t="n">
        <v>0</v>
      </c>
      <c r="N831" s="10" t="n">
        <v>0</v>
      </c>
      <c r="O831" s="10" t="n">
        <v>5</v>
      </c>
      <c r="P831" s="10" t="n">
        <v>80.59999999999999</v>
      </c>
      <c r="Q831" s="10">
        <f>A831&amp;"|"&amp;B831&amp;"|"&amp;C831&amp;"|"&amp;D831&amp;"|"&amp;E831&amp;"|"&amp;F831&amp;"|"&amp;G831&amp;"|"&amp;H831&amp;"|"&amp;I831&amp;"|"&amp;J831&amp;"|"&amp;K831&amp;"|"&amp;L831&amp;"|"&amp;M831&amp;"|"&amp;N831&amp;"|"&amp;O831&amp;"|"&amp;P831</f>
        <v/>
      </c>
      <c r="R831" s="10">
        <f>IF(COUNTIF($Q$2:$Q$1409,Q831)&gt;1,IF(COUNTIF($Q$2:Q831,Q831)=1,"Exact Duplicate - Keep First","Exact Duplicate - Remove"),"Unique")</f>
        <v/>
      </c>
    </row>
    <row r="832" ht="15" customHeight="1" s="11">
      <c r="A832" s="10" t="inlineStr">
        <is>
          <t>USR-100831</t>
        </is>
      </c>
      <c r="B832" s="14" t="n">
        <v>45664</v>
      </c>
      <c r="C832" s="10" t="inlineStr">
        <is>
          <t>Treatment</t>
        </is>
      </c>
      <c r="D832" s="10" t="inlineStr">
        <is>
          <t>West</t>
        </is>
      </c>
      <c r="E832" s="10" t="inlineStr">
        <is>
          <t>Desktop</t>
        </is>
      </c>
      <c r="F832" s="10" t="inlineStr">
        <is>
          <t>Organic</t>
        </is>
      </c>
      <c r="G832" s="10" t="inlineStr">
        <is>
          <t>Free</t>
        </is>
      </c>
      <c r="H832" s="10" t="n">
        <v>1</v>
      </c>
      <c r="I832" s="10" t="n">
        <v>0</v>
      </c>
      <c r="J832" s="10" t="n">
        <v>0</v>
      </c>
      <c r="K832" s="10" t="n">
        <v>0</v>
      </c>
      <c r="L832" s="10" t="n">
        <v>0</v>
      </c>
      <c r="M832" s="10" t="n">
        <v>0</v>
      </c>
      <c r="N832" s="10" t="n">
        <v>0</v>
      </c>
      <c r="P832" s="10" t="n">
        <v>66.90000000000001</v>
      </c>
      <c r="Q832" s="10">
        <f>A832&amp;"|"&amp;B832&amp;"|"&amp;C832&amp;"|"&amp;D832&amp;"|"&amp;E832&amp;"|"&amp;F832&amp;"|"&amp;G832&amp;"|"&amp;H832&amp;"|"&amp;I832&amp;"|"&amp;J832&amp;"|"&amp;K832&amp;"|"&amp;L832&amp;"|"&amp;M832&amp;"|"&amp;N832&amp;"|"&amp;O832&amp;"|"&amp;P832</f>
        <v/>
      </c>
      <c r="R832" s="10">
        <f>IF(COUNTIF($Q$2:$Q$1409,Q832)&gt;1,IF(COUNTIF($Q$2:Q832,Q832)=1,"Exact Duplicate - Keep First","Exact Duplicate - Remove"),"Unique")</f>
        <v/>
      </c>
    </row>
    <row r="833" ht="15" customHeight="1" s="11">
      <c r="A833" s="10" t="inlineStr">
        <is>
          <t>USR-100832</t>
        </is>
      </c>
      <c r="B833" s="14" t="n">
        <v>45808</v>
      </c>
      <c r="C833" s="10" t="inlineStr">
        <is>
          <t>Treatment</t>
        </is>
      </c>
      <c r="D833" s="10" t="inlineStr">
        <is>
          <t>South</t>
        </is>
      </c>
      <c r="E833" s="10" t="inlineStr">
        <is>
          <t>Tablet</t>
        </is>
      </c>
      <c r="F833" s="10" t="inlineStr">
        <is>
          <t>Organic</t>
        </is>
      </c>
      <c r="G833" s="10" t="inlineStr">
        <is>
          <t>Basic</t>
        </is>
      </c>
      <c r="H833" s="10" t="n">
        <v>1</v>
      </c>
      <c r="I833" s="10" t="n">
        <v>1</v>
      </c>
      <c r="J833" s="10" t="n">
        <v>1</v>
      </c>
      <c r="K833" s="10" t="n">
        <v>0</v>
      </c>
      <c r="L833" s="10" t="n">
        <v>0</v>
      </c>
      <c r="M833" s="10" t="n">
        <v>0</v>
      </c>
      <c r="N833" s="10" t="n">
        <v>0</v>
      </c>
      <c r="P833" s="10" t="n">
        <v>58.8</v>
      </c>
      <c r="Q833" s="10">
        <f>A833&amp;"|"&amp;B833&amp;"|"&amp;C833&amp;"|"&amp;D833&amp;"|"&amp;E833&amp;"|"&amp;F833&amp;"|"&amp;G833&amp;"|"&amp;H833&amp;"|"&amp;I833&amp;"|"&amp;J833&amp;"|"&amp;K833&amp;"|"&amp;L833&amp;"|"&amp;M833&amp;"|"&amp;N833&amp;"|"&amp;O833&amp;"|"&amp;P833</f>
        <v/>
      </c>
      <c r="R833" s="10">
        <f>IF(COUNTIF($Q$2:$Q$1409,Q833)&gt;1,IF(COUNTIF($Q$2:Q833,Q833)=1,"Exact Duplicate - Keep First","Exact Duplicate - Remove"),"Unique")</f>
        <v/>
      </c>
    </row>
    <row r="834" ht="15" customHeight="1" s="11">
      <c r="A834" s="10" t="inlineStr">
        <is>
          <t>USR-100833</t>
        </is>
      </c>
      <c r="B834" s="14" t="n">
        <v>45749</v>
      </c>
      <c r="C834" s="10" t="inlineStr">
        <is>
          <t>Treatment</t>
        </is>
      </c>
      <c r="D834" s="10" t="inlineStr">
        <is>
          <t>North</t>
        </is>
      </c>
      <c r="E834" s="10" t="inlineStr">
        <is>
          <t>Desktop</t>
        </is>
      </c>
      <c r="F834" s="10" t="inlineStr">
        <is>
          <t>Organic</t>
        </is>
      </c>
      <c r="G834" s="10" t="inlineStr">
        <is>
          <t>Basic</t>
        </is>
      </c>
      <c r="H834" s="10" t="n">
        <v>1</v>
      </c>
      <c r="I834" s="10" t="n">
        <v>1</v>
      </c>
      <c r="J834" s="10" t="n">
        <v>1</v>
      </c>
      <c r="K834" s="10" t="n">
        <v>1</v>
      </c>
      <c r="L834" s="10" t="n">
        <v>1010.4</v>
      </c>
      <c r="M834" s="10" t="n">
        <v>0</v>
      </c>
      <c r="N834" s="10" t="n">
        <v>0</v>
      </c>
      <c r="O834" s="10" t="n">
        <v>4</v>
      </c>
      <c r="P834" s="10" t="n">
        <v>42.9</v>
      </c>
      <c r="Q834" s="10">
        <f>A834&amp;"|"&amp;B834&amp;"|"&amp;C834&amp;"|"&amp;D834&amp;"|"&amp;E834&amp;"|"&amp;F834&amp;"|"&amp;G834&amp;"|"&amp;H834&amp;"|"&amp;I834&amp;"|"&amp;J834&amp;"|"&amp;K834&amp;"|"&amp;L834&amp;"|"&amp;M834&amp;"|"&amp;N834&amp;"|"&amp;O834&amp;"|"&amp;P834</f>
        <v/>
      </c>
      <c r="R834" s="10">
        <f>IF(COUNTIF($Q$2:$Q$1409,Q834)&gt;1,IF(COUNTIF($Q$2:Q834,Q834)=1,"Exact Duplicate - Keep First","Exact Duplicate - Remove"),"Unique")</f>
        <v/>
      </c>
    </row>
    <row r="835" ht="15" customHeight="1" s="11">
      <c r="A835" s="10" t="inlineStr">
        <is>
          <t>USR-100834</t>
        </is>
      </c>
      <c r="B835" s="14" t="n">
        <v>45768</v>
      </c>
      <c r="C835" s="10" t="inlineStr">
        <is>
          <t>Treatment</t>
        </is>
      </c>
      <c r="D835" s="10" t="inlineStr">
        <is>
          <t>East</t>
        </is>
      </c>
      <c r="E835" s="10" t="inlineStr">
        <is>
          <t>Mobile</t>
        </is>
      </c>
      <c r="F835" s="10" t="inlineStr">
        <is>
          <t>Organic</t>
        </is>
      </c>
      <c r="G835" s="10" t="inlineStr">
        <is>
          <t>Free</t>
        </is>
      </c>
      <c r="H835" s="10" t="n">
        <v>1</v>
      </c>
      <c r="I835" s="10" t="n">
        <v>1</v>
      </c>
      <c r="J835" s="10" t="n">
        <v>1</v>
      </c>
      <c r="K835" s="10" t="n">
        <v>0</v>
      </c>
      <c r="L835" s="10" t="n">
        <v>0</v>
      </c>
      <c r="M835" s="10" t="n">
        <v>1</v>
      </c>
      <c r="N835" s="10" t="n">
        <v>0</v>
      </c>
      <c r="P835" s="10" t="n">
        <v>60.2</v>
      </c>
      <c r="Q835" s="10">
        <f>A835&amp;"|"&amp;B835&amp;"|"&amp;C835&amp;"|"&amp;D835&amp;"|"&amp;E835&amp;"|"&amp;F835&amp;"|"&amp;G835&amp;"|"&amp;H835&amp;"|"&amp;I835&amp;"|"&amp;J835&amp;"|"&amp;K835&amp;"|"&amp;L835&amp;"|"&amp;M835&amp;"|"&amp;N835&amp;"|"&amp;O835&amp;"|"&amp;P835</f>
        <v/>
      </c>
      <c r="R835" s="10">
        <f>IF(COUNTIF($Q$2:$Q$1409,Q835)&gt;1,IF(COUNTIF($Q$2:Q835,Q835)=1,"Exact Duplicate - Keep First","Exact Duplicate - Remove"),"Unique")</f>
        <v/>
      </c>
    </row>
    <row r="836" ht="15" customHeight="1" s="11">
      <c r="A836" s="10" t="inlineStr">
        <is>
          <t>USR-100835</t>
        </is>
      </c>
      <c r="B836" s="14" t="n">
        <v>45782</v>
      </c>
      <c r="C836" s="10" t="inlineStr">
        <is>
          <t>Treatment</t>
        </is>
      </c>
      <c r="D836" s="10" t="inlineStr">
        <is>
          <t>East</t>
        </is>
      </c>
      <c r="E836" s="10" t="inlineStr">
        <is>
          <t>Mobile</t>
        </is>
      </c>
      <c r="F836" s="10" t="inlineStr">
        <is>
          <t>Paid Search</t>
        </is>
      </c>
      <c r="G836" s="10" t="inlineStr">
        <is>
          <t>Basic</t>
        </is>
      </c>
      <c r="H836" s="10" t="n">
        <v>1</v>
      </c>
      <c r="I836" s="10" t="n">
        <v>0</v>
      </c>
      <c r="J836" s="10" t="n">
        <v>0</v>
      </c>
      <c r="K836" s="10" t="n">
        <v>0</v>
      </c>
      <c r="L836" s="10" t="n">
        <v>0</v>
      </c>
      <c r="M836" s="10" t="n">
        <v>0</v>
      </c>
      <c r="N836" s="10" t="n">
        <v>0</v>
      </c>
      <c r="P836" s="10" t="n">
        <v>42.7</v>
      </c>
      <c r="Q836" s="10">
        <f>A836&amp;"|"&amp;B836&amp;"|"&amp;C836&amp;"|"&amp;D836&amp;"|"&amp;E836&amp;"|"&amp;F836&amp;"|"&amp;G836&amp;"|"&amp;H836&amp;"|"&amp;I836&amp;"|"&amp;J836&amp;"|"&amp;K836&amp;"|"&amp;L836&amp;"|"&amp;M836&amp;"|"&amp;N836&amp;"|"&amp;O836&amp;"|"&amp;P836</f>
        <v/>
      </c>
      <c r="R836" s="10">
        <f>IF(COUNTIF($Q$2:$Q$1409,Q836)&gt;1,IF(COUNTIF($Q$2:Q836,Q836)=1,"Exact Duplicate - Keep First","Exact Duplicate - Remove"),"Unique")</f>
        <v/>
      </c>
    </row>
    <row r="837" ht="15" customHeight="1" s="11">
      <c r="A837" s="10" t="inlineStr">
        <is>
          <t>USR-100836</t>
        </is>
      </c>
      <c r="B837" s="14" t="n">
        <v>45663</v>
      </c>
      <c r="C837" s="10" t="inlineStr">
        <is>
          <t>Treatment</t>
        </is>
      </c>
      <c r="D837" s="10" t="inlineStr">
        <is>
          <t>North</t>
        </is>
      </c>
      <c r="E837" s="10" t="inlineStr">
        <is>
          <t>Desktop</t>
        </is>
      </c>
      <c r="F837" s="10" t="inlineStr">
        <is>
          <t>Social</t>
        </is>
      </c>
      <c r="G837" s="10" t="inlineStr">
        <is>
          <t>Free</t>
        </is>
      </c>
      <c r="H837" s="10" t="n">
        <v>1</v>
      </c>
      <c r="I837" s="10" t="n">
        <v>1</v>
      </c>
      <c r="J837" s="10" t="n">
        <v>1</v>
      </c>
      <c r="K837" s="10" t="n">
        <v>1</v>
      </c>
      <c r="L837" s="10" t="n">
        <v>431.27</v>
      </c>
      <c r="M837" s="10" t="n">
        <v>0</v>
      </c>
      <c r="N837" s="10" t="n">
        <v>0</v>
      </c>
      <c r="O837" s="10" t="n">
        <v>7</v>
      </c>
      <c r="P837" s="10" t="n">
        <v>60.8</v>
      </c>
      <c r="Q837" s="10">
        <f>A837&amp;"|"&amp;B837&amp;"|"&amp;C837&amp;"|"&amp;D837&amp;"|"&amp;E837&amp;"|"&amp;F837&amp;"|"&amp;G837&amp;"|"&amp;H837&amp;"|"&amp;I837&amp;"|"&amp;J837&amp;"|"&amp;K837&amp;"|"&amp;L837&amp;"|"&amp;M837&amp;"|"&amp;N837&amp;"|"&amp;O837&amp;"|"&amp;P837</f>
        <v/>
      </c>
      <c r="R837" s="10">
        <f>IF(COUNTIF($Q$2:$Q$1409,Q837)&gt;1,IF(COUNTIF($Q$2:Q837,Q837)=1,"Exact Duplicate - Keep First","Exact Duplicate - Remove"),"Unique")</f>
        <v/>
      </c>
    </row>
    <row r="838" ht="15" customHeight="1" s="11">
      <c r="A838" s="10" t="inlineStr">
        <is>
          <t>USR-100837</t>
        </is>
      </c>
      <c r="B838" s="14" t="n">
        <v>45771</v>
      </c>
      <c r="C838" s="10" t="inlineStr">
        <is>
          <t>Treatment</t>
        </is>
      </c>
      <c r="D838" s="10" t="inlineStr">
        <is>
          <t>South</t>
        </is>
      </c>
      <c r="E838" s="10" t="inlineStr">
        <is>
          <t>Mobile</t>
        </is>
      </c>
      <c r="F838" s="10" t="inlineStr">
        <is>
          <t>Referral</t>
        </is>
      </c>
      <c r="G838" s="10" t="inlineStr">
        <is>
          <t>Free</t>
        </is>
      </c>
      <c r="H838" s="10" t="n">
        <v>1</v>
      </c>
      <c r="I838" s="10" t="n">
        <v>1</v>
      </c>
      <c r="J838" s="10" t="n">
        <v>1</v>
      </c>
      <c r="K838" s="10" t="n">
        <v>1</v>
      </c>
      <c r="L838" s="10" t="n">
        <v>428.8</v>
      </c>
      <c r="M838" s="10" t="n">
        <v>0</v>
      </c>
      <c r="N838" s="10" t="n">
        <v>0</v>
      </c>
      <c r="O838" s="10" t="n">
        <v>9</v>
      </c>
      <c r="P838" s="10" t="n">
        <v>79.3</v>
      </c>
      <c r="Q838" s="10">
        <f>A838&amp;"|"&amp;B838&amp;"|"&amp;C838&amp;"|"&amp;D838&amp;"|"&amp;E838&amp;"|"&amp;F838&amp;"|"&amp;G838&amp;"|"&amp;H838&amp;"|"&amp;I838&amp;"|"&amp;J838&amp;"|"&amp;K838&amp;"|"&amp;L838&amp;"|"&amp;M838&amp;"|"&amp;N838&amp;"|"&amp;O838&amp;"|"&amp;P838</f>
        <v/>
      </c>
      <c r="R838" s="10">
        <f>IF(COUNTIF($Q$2:$Q$1409,Q838)&gt;1,IF(COUNTIF($Q$2:Q838,Q838)=1,"Exact Duplicate - Keep First","Exact Duplicate - Remove"),"Unique")</f>
        <v/>
      </c>
    </row>
    <row r="839" ht="15" customHeight="1" s="11">
      <c r="A839" s="10" t="inlineStr">
        <is>
          <t>USR-100838</t>
        </is>
      </c>
      <c r="B839" s="14" t="n">
        <v>45768</v>
      </c>
      <c r="C839" s="10" t="inlineStr">
        <is>
          <t>Treatment</t>
        </is>
      </c>
      <c r="D839" s="10" t="inlineStr">
        <is>
          <t>South</t>
        </is>
      </c>
      <c r="E839" s="10" t="inlineStr">
        <is>
          <t>Mobile</t>
        </is>
      </c>
      <c r="F839" s="10" t="inlineStr">
        <is>
          <t>Organic</t>
        </is>
      </c>
      <c r="G839" s="10" t="inlineStr">
        <is>
          <t>Basic</t>
        </is>
      </c>
      <c r="H839" s="10" t="n">
        <v>1</v>
      </c>
      <c r="I839" s="10" t="n">
        <v>0</v>
      </c>
      <c r="J839" s="10" t="n">
        <v>0</v>
      </c>
      <c r="K839" s="10" t="n">
        <v>0</v>
      </c>
      <c r="L839" s="10" t="n">
        <v>0</v>
      </c>
      <c r="M839" s="10" t="n">
        <v>1</v>
      </c>
      <c r="N839" s="10" t="n">
        <v>0</v>
      </c>
      <c r="P839" s="10" t="n">
        <v>88.59999999999999</v>
      </c>
      <c r="Q839" s="10">
        <f>A839&amp;"|"&amp;B839&amp;"|"&amp;C839&amp;"|"&amp;D839&amp;"|"&amp;E839&amp;"|"&amp;F839&amp;"|"&amp;G839&amp;"|"&amp;H839&amp;"|"&amp;I839&amp;"|"&amp;J839&amp;"|"&amp;K839&amp;"|"&amp;L839&amp;"|"&amp;M839&amp;"|"&amp;N839&amp;"|"&amp;O839&amp;"|"&amp;P839</f>
        <v/>
      </c>
      <c r="R839" s="10">
        <f>IF(COUNTIF($Q$2:$Q$1409,Q839)&gt;1,IF(COUNTIF($Q$2:Q839,Q839)=1,"Exact Duplicate - Keep First","Exact Duplicate - Remove"),"Unique")</f>
        <v/>
      </c>
    </row>
    <row r="840" ht="15" customHeight="1" s="11">
      <c r="A840" s="10" t="inlineStr">
        <is>
          <t>USR-100839</t>
        </is>
      </c>
      <c r="B840" s="14" t="n">
        <v>45697</v>
      </c>
      <c r="C840" s="10" t="inlineStr">
        <is>
          <t>Treatment</t>
        </is>
      </c>
      <c r="D840" s="10" t="inlineStr">
        <is>
          <t>West</t>
        </is>
      </c>
      <c r="E840" s="10" t="inlineStr">
        <is>
          <t>Mobile</t>
        </is>
      </c>
      <c r="F840" s="10" t="inlineStr">
        <is>
          <t>Organic</t>
        </is>
      </c>
      <c r="G840" s="10" t="inlineStr">
        <is>
          <t>Basic</t>
        </is>
      </c>
      <c r="H840" s="10" t="n">
        <v>1</v>
      </c>
      <c r="I840" s="10" t="n">
        <v>1</v>
      </c>
      <c r="J840" s="10" t="n">
        <v>1</v>
      </c>
      <c r="K840" s="10" t="n">
        <v>0</v>
      </c>
      <c r="L840" s="10" t="n">
        <v>0</v>
      </c>
      <c r="M840" s="10" t="n">
        <v>0</v>
      </c>
      <c r="N840" s="10" t="n">
        <v>0</v>
      </c>
      <c r="P840" s="10" t="n">
        <v>63.1</v>
      </c>
      <c r="Q840" s="10">
        <f>A840&amp;"|"&amp;B840&amp;"|"&amp;C840&amp;"|"&amp;D840&amp;"|"&amp;E840&amp;"|"&amp;F840&amp;"|"&amp;G840&amp;"|"&amp;H840&amp;"|"&amp;I840&amp;"|"&amp;J840&amp;"|"&amp;K840&amp;"|"&amp;L840&amp;"|"&amp;M840&amp;"|"&amp;N840&amp;"|"&amp;O840&amp;"|"&amp;P840</f>
        <v/>
      </c>
      <c r="R840" s="10">
        <f>IF(COUNTIF($Q$2:$Q$1409,Q840)&gt;1,IF(COUNTIF($Q$2:Q840,Q840)=1,"Exact Duplicate - Keep First","Exact Duplicate - Remove"),"Unique")</f>
        <v/>
      </c>
    </row>
    <row r="841" ht="15" customHeight="1" s="11">
      <c r="A841" s="10" t="inlineStr">
        <is>
          <t>USR-100840</t>
        </is>
      </c>
      <c r="B841" s="14" t="n">
        <v>45666</v>
      </c>
      <c r="C841" s="10" t="inlineStr">
        <is>
          <t>Treatment</t>
        </is>
      </c>
      <c r="D841" s="10" t="inlineStr">
        <is>
          <t>East</t>
        </is>
      </c>
      <c r="E841" s="10" t="inlineStr">
        <is>
          <t>Mobile</t>
        </is>
      </c>
      <c r="F841" s="10" t="inlineStr">
        <is>
          <t>Organic</t>
        </is>
      </c>
      <c r="G841" s="10" t="inlineStr">
        <is>
          <t>Premium</t>
        </is>
      </c>
      <c r="H841" s="10" t="n">
        <v>1</v>
      </c>
      <c r="I841" s="10" t="n">
        <v>0</v>
      </c>
      <c r="J841" s="10" t="n">
        <v>0</v>
      </c>
      <c r="K841" s="10" t="n">
        <v>0</v>
      </c>
      <c r="L841" s="10" t="n">
        <v>0</v>
      </c>
      <c r="M841" s="10" t="n">
        <v>0</v>
      </c>
      <c r="N841" s="10" t="n">
        <v>0</v>
      </c>
      <c r="P841" s="10" t="n">
        <v>39.7</v>
      </c>
      <c r="Q841" s="10">
        <f>A841&amp;"|"&amp;B841&amp;"|"&amp;C841&amp;"|"&amp;D841&amp;"|"&amp;E841&amp;"|"&amp;F841&amp;"|"&amp;G841&amp;"|"&amp;H841&amp;"|"&amp;I841&amp;"|"&amp;J841&amp;"|"&amp;K841&amp;"|"&amp;L841&amp;"|"&amp;M841&amp;"|"&amp;N841&amp;"|"&amp;O841&amp;"|"&amp;P841</f>
        <v/>
      </c>
      <c r="R841" s="10">
        <f>IF(COUNTIF($Q$2:$Q$1409,Q841)&gt;1,IF(COUNTIF($Q$2:Q841,Q841)=1,"Exact Duplicate - Keep First","Exact Duplicate - Remove"),"Unique")</f>
        <v/>
      </c>
    </row>
    <row r="842" ht="15" customHeight="1" s="11">
      <c r="A842" s="10" t="inlineStr">
        <is>
          <t>USR-100841</t>
        </is>
      </c>
      <c r="B842" s="14" t="n">
        <v>45704</v>
      </c>
      <c r="C842" s="10" t="inlineStr">
        <is>
          <t>Treatment</t>
        </is>
      </c>
      <c r="D842" s="10" t="inlineStr">
        <is>
          <t>North</t>
        </is>
      </c>
      <c r="E842" s="10" t="inlineStr">
        <is>
          <t>Mobile</t>
        </is>
      </c>
      <c r="F842" s="10" t="inlineStr">
        <is>
          <t>Paid Search</t>
        </is>
      </c>
      <c r="G842" s="10" t="inlineStr">
        <is>
          <t>Basic</t>
        </is>
      </c>
      <c r="H842" s="10" t="n">
        <v>0</v>
      </c>
      <c r="I842" s="10" t="n">
        <v>0</v>
      </c>
      <c r="J842" s="10" t="n">
        <v>0</v>
      </c>
      <c r="K842" s="10" t="n">
        <v>0</v>
      </c>
      <c r="L842" s="10" t="n">
        <v>0</v>
      </c>
      <c r="M842" s="10" t="n">
        <v>0</v>
      </c>
      <c r="N842" s="10" t="n">
        <v>0</v>
      </c>
      <c r="P842" s="10" t="n">
        <v>67.2</v>
      </c>
      <c r="Q842" s="10">
        <f>A842&amp;"|"&amp;B842&amp;"|"&amp;C842&amp;"|"&amp;D842&amp;"|"&amp;E842&amp;"|"&amp;F842&amp;"|"&amp;G842&amp;"|"&amp;H842&amp;"|"&amp;I842&amp;"|"&amp;J842&amp;"|"&amp;K842&amp;"|"&amp;L842&amp;"|"&amp;M842&amp;"|"&amp;N842&amp;"|"&amp;O842&amp;"|"&amp;P842</f>
        <v/>
      </c>
      <c r="R842" s="10">
        <f>IF(COUNTIF($Q$2:$Q$1409,Q842)&gt;1,IF(COUNTIF($Q$2:Q842,Q842)=1,"Exact Duplicate - Keep First","Exact Duplicate - Remove"),"Unique")</f>
        <v/>
      </c>
    </row>
    <row r="843" ht="15" customHeight="1" s="11">
      <c r="A843" s="10" t="inlineStr">
        <is>
          <t>USR-100842</t>
        </is>
      </c>
      <c r="B843" s="14" t="n">
        <v>45709</v>
      </c>
      <c r="C843" s="10" t="inlineStr">
        <is>
          <t>Treatment</t>
        </is>
      </c>
      <c r="D843" s="10" t="inlineStr">
        <is>
          <t>South</t>
        </is>
      </c>
      <c r="E843" s="10" t="inlineStr">
        <is>
          <t>Mobile</t>
        </is>
      </c>
      <c r="F843" s="10" t="inlineStr">
        <is>
          <t>Organic</t>
        </is>
      </c>
      <c r="G843" s="10" t="inlineStr">
        <is>
          <t>Free</t>
        </is>
      </c>
      <c r="H843" s="10" t="n">
        <v>1</v>
      </c>
      <c r="I843" s="10" t="n">
        <v>1</v>
      </c>
      <c r="J843" s="10" t="n">
        <v>1</v>
      </c>
      <c r="K843" s="10" t="n">
        <v>0</v>
      </c>
      <c r="L843" s="10" t="n">
        <v>0</v>
      </c>
      <c r="M843" s="10" t="n">
        <v>0</v>
      </c>
      <c r="N843" s="10" t="n">
        <v>0</v>
      </c>
      <c r="P843" s="10" t="n">
        <v>62.3</v>
      </c>
      <c r="Q843" s="10">
        <f>A843&amp;"|"&amp;B843&amp;"|"&amp;C843&amp;"|"&amp;D843&amp;"|"&amp;E843&amp;"|"&amp;F843&amp;"|"&amp;G843&amp;"|"&amp;H843&amp;"|"&amp;I843&amp;"|"&amp;J843&amp;"|"&amp;K843&amp;"|"&amp;L843&amp;"|"&amp;M843&amp;"|"&amp;N843&amp;"|"&amp;O843&amp;"|"&amp;P843</f>
        <v/>
      </c>
      <c r="R843" s="10">
        <f>IF(COUNTIF($Q$2:$Q$1409,Q843)&gt;1,IF(COUNTIF($Q$2:Q843,Q843)=1,"Exact Duplicate - Keep First","Exact Duplicate - Remove"),"Unique")</f>
        <v/>
      </c>
    </row>
    <row r="844" ht="15" customHeight="1" s="11">
      <c r="A844" s="10" t="inlineStr">
        <is>
          <t>USR-100843</t>
        </is>
      </c>
      <c r="B844" s="14" t="n">
        <v>45696</v>
      </c>
      <c r="C844" s="10" t="inlineStr">
        <is>
          <t>Treatment</t>
        </is>
      </c>
      <c r="D844" s="10" t="inlineStr">
        <is>
          <t>South</t>
        </is>
      </c>
      <c r="E844" s="10" t="inlineStr">
        <is>
          <t>Mobile</t>
        </is>
      </c>
      <c r="F844" s="10" t="inlineStr">
        <is>
          <t>Organic</t>
        </is>
      </c>
      <c r="G844" s="10" t="inlineStr">
        <is>
          <t>Premium</t>
        </is>
      </c>
      <c r="H844" s="10" t="n">
        <v>1</v>
      </c>
      <c r="I844" s="10" t="n">
        <v>0</v>
      </c>
      <c r="J844" s="10" t="n">
        <v>0</v>
      </c>
      <c r="K844" s="10" t="n">
        <v>0</v>
      </c>
      <c r="L844" s="10" t="n">
        <v>0</v>
      </c>
      <c r="M844" s="10" t="n">
        <v>0</v>
      </c>
      <c r="N844" s="10" t="n">
        <v>0</v>
      </c>
      <c r="Q844" s="10">
        <f>A844&amp;"|"&amp;B844&amp;"|"&amp;C844&amp;"|"&amp;D844&amp;"|"&amp;E844&amp;"|"&amp;F844&amp;"|"&amp;G844&amp;"|"&amp;H844&amp;"|"&amp;I844&amp;"|"&amp;J844&amp;"|"&amp;K844&amp;"|"&amp;L844&amp;"|"&amp;M844&amp;"|"&amp;N844&amp;"|"&amp;O844&amp;"|"&amp;P844</f>
        <v/>
      </c>
      <c r="R844" s="10">
        <f>IF(COUNTIF($Q$2:$Q$1409,Q844)&gt;1,IF(COUNTIF($Q$2:Q844,Q844)=1,"Exact Duplicate - Keep First","Exact Duplicate - Remove"),"Unique")</f>
        <v/>
      </c>
    </row>
    <row r="845" ht="15" customHeight="1" s="11">
      <c r="A845" s="10" t="inlineStr">
        <is>
          <t>USR-100844</t>
        </is>
      </c>
      <c r="B845" s="14" t="n">
        <v>45679</v>
      </c>
      <c r="C845" s="10" t="inlineStr">
        <is>
          <t>Treatment</t>
        </is>
      </c>
      <c r="D845" s="10" t="inlineStr">
        <is>
          <t>South</t>
        </is>
      </c>
      <c r="E845" s="10" t="inlineStr">
        <is>
          <t>Mobile</t>
        </is>
      </c>
      <c r="F845" s="10" t="inlineStr">
        <is>
          <t>Paid Search</t>
        </is>
      </c>
      <c r="G845" s="10" t="inlineStr">
        <is>
          <t>Premium</t>
        </is>
      </c>
      <c r="H845" s="10" t="n">
        <v>0</v>
      </c>
      <c r="I845" s="10" t="n">
        <v>0</v>
      </c>
      <c r="J845" s="10" t="n">
        <v>0</v>
      </c>
      <c r="K845" s="10" t="n">
        <v>0</v>
      </c>
      <c r="L845" s="10" t="n">
        <v>0</v>
      </c>
      <c r="M845" s="10" t="n">
        <v>0</v>
      </c>
      <c r="N845" s="10" t="n">
        <v>0</v>
      </c>
      <c r="P845" s="10" t="n">
        <v>60.7</v>
      </c>
      <c r="Q845" s="10">
        <f>A845&amp;"|"&amp;B845&amp;"|"&amp;C845&amp;"|"&amp;D845&amp;"|"&amp;E845&amp;"|"&amp;F845&amp;"|"&amp;G845&amp;"|"&amp;H845&amp;"|"&amp;I845&amp;"|"&amp;J845&amp;"|"&amp;K845&amp;"|"&amp;L845&amp;"|"&amp;M845&amp;"|"&amp;N845&amp;"|"&amp;O845&amp;"|"&amp;P845</f>
        <v/>
      </c>
      <c r="R845" s="10">
        <f>IF(COUNTIF($Q$2:$Q$1409,Q845)&gt;1,IF(COUNTIF($Q$2:Q845,Q845)=1,"Exact Duplicate - Keep First","Exact Duplicate - Remove"),"Unique")</f>
        <v/>
      </c>
    </row>
    <row r="846" ht="15" customHeight="1" s="11">
      <c r="A846" s="10" t="inlineStr">
        <is>
          <t>USR-100845</t>
        </is>
      </c>
      <c r="B846" s="14" t="n">
        <v>45748</v>
      </c>
      <c r="C846" s="10" t="inlineStr">
        <is>
          <t>Treatment</t>
        </is>
      </c>
      <c r="D846" s="10" t="inlineStr">
        <is>
          <t>West</t>
        </is>
      </c>
      <c r="E846" s="10" t="inlineStr">
        <is>
          <t>Mobile</t>
        </is>
      </c>
      <c r="F846" s="10" t="inlineStr">
        <is>
          <t>Organic</t>
        </is>
      </c>
      <c r="G846" s="10" t="inlineStr">
        <is>
          <t>Basic</t>
        </is>
      </c>
      <c r="H846" s="10" t="n">
        <v>1</v>
      </c>
      <c r="I846" s="10" t="n">
        <v>0</v>
      </c>
      <c r="J846" s="10" t="n">
        <v>0</v>
      </c>
      <c r="K846" s="10" t="n">
        <v>0</v>
      </c>
      <c r="L846" s="10" t="n">
        <v>0</v>
      </c>
      <c r="M846" s="10" t="n">
        <v>0</v>
      </c>
      <c r="N846" s="10" t="n">
        <v>0</v>
      </c>
      <c r="P846" s="10" t="n">
        <v>61.5</v>
      </c>
      <c r="Q846" s="10">
        <f>A846&amp;"|"&amp;B846&amp;"|"&amp;C846&amp;"|"&amp;D846&amp;"|"&amp;E846&amp;"|"&amp;F846&amp;"|"&amp;G846&amp;"|"&amp;H846&amp;"|"&amp;I846&amp;"|"&amp;J846&amp;"|"&amp;K846&amp;"|"&amp;L846&amp;"|"&amp;M846&amp;"|"&amp;N846&amp;"|"&amp;O846&amp;"|"&amp;P846</f>
        <v/>
      </c>
      <c r="R846" s="10">
        <f>IF(COUNTIF($Q$2:$Q$1409,Q846)&gt;1,IF(COUNTIF($Q$2:Q846,Q846)=1,"Exact Duplicate - Keep First","Exact Duplicate - Remove"),"Unique")</f>
        <v/>
      </c>
    </row>
    <row r="847" ht="15" customHeight="1" s="11">
      <c r="A847" s="10" t="inlineStr">
        <is>
          <t>USR-100846</t>
        </is>
      </c>
      <c r="B847" s="14" t="n">
        <v>45678</v>
      </c>
      <c r="C847" s="10" t="inlineStr">
        <is>
          <t>Treatment</t>
        </is>
      </c>
      <c r="D847" s="10" t="inlineStr">
        <is>
          <t>North</t>
        </is>
      </c>
      <c r="E847" s="10" t="inlineStr">
        <is>
          <t>Mobile</t>
        </is>
      </c>
      <c r="F847" s="10" t="inlineStr">
        <is>
          <t>Paid Search</t>
        </is>
      </c>
      <c r="G847" s="10" t="inlineStr">
        <is>
          <t>Basic</t>
        </is>
      </c>
      <c r="H847" s="10" t="n">
        <v>1</v>
      </c>
      <c r="I847" s="10" t="n">
        <v>0</v>
      </c>
      <c r="J847" s="10" t="n">
        <v>0</v>
      </c>
      <c r="K847" s="10" t="n">
        <v>0</v>
      </c>
      <c r="L847" s="10" t="n">
        <v>0</v>
      </c>
      <c r="M847" s="10" t="n">
        <v>0</v>
      </c>
      <c r="N847" s="10" t="n">
        <v>0</v>
      </c>
      <c r="P847" s="10" t="n">
        <v>75</v>
      </c>
      <c r="Q847" s="10">
        <f>A847&amp;"|"&amp;B847&amp;"|"&amp;C847&amp;"|"&amp;D847&amp;"|"&amp;E847&amp;"|"&amp;F847&amp;"|"&amp;G847&amp;"|"&amp;H847&amp;"|"&amp;I847&amp;"|"&amp;J847&amp;"|"&amp;K847&amp;"|"&amp;L847&amp;"|"&amp;M847&amp;"|"&amp;N847&amp;"|"&amp;O847&amp;"|"&amp;P847</f>
        <v/>
      </c>
      <c r="R847" s="10">
        <f>IF(COUNTIF($Q$2:$Q$1409,Q847)&gt;1,IF(COUNTIF($Q$2:Q847,Q847)=1,"Exact Duplicate - Keep First","Exact Duplicate - Remove"),"Unique")</f>
        <v/>
      </c>
    </row>
    <row r="848" ht="15" customHeight="1" s="11">
      <c r="A848" s="10" t="inlineStr">
        <is>
          <t>USR-100847</t>
        </is>
      </c>
      <c r="B848" s="14" t="n">
        <v>45659</v>
      </c>
      <c r="C848" s="10" t="inlineStr">
        <is>
          <t>Treatment</t>
        </is>
      </c>
      <c r="D848" s="10" t="inlineStr">
        <is>
          <t>East</t>
        </is>
      </c>
      <c r="E848" s="10" t="inlineStr">
        <is>
          <t>Desktop</t>
        </is>
      </c>
      <c r="F848" s="10" t="inlineStr">
        <is>
          <t>Organic</t>
        </is>
      </c>
      <c r="G848" s="10" t="inlineStr">
        <is>
          <t>Free</t>
        </is>
      </c>
      <c r="H848" s="10" t="n">
        <v>1</v>
      </c>
      <c r="I848" s="10" t="n">
        <v>1</v>
      </c>
      <c r="J848" s="10" t="n">
        <v>0</v>
      </c>
      <c r="K848" s="10" t="n">
        <v>0</v>
      </c>
      <c r="L848" s="10" t="n">
        <v>0</v>
      </c>
      <c r="M848" s="10" t="n">
        <v>0</v>
      </c>
      <c r="N848" s="10" t="n">
        <v>0</v>
      </c>
      <c r="P848" s="10" t="n">
        <v>51.9</v>
      </c>
      <c r="Q848" s="10">
        <f>A848&amp;"|"&amp;B848&amp;"|"&amp;C848&amp;"|"&amp;D848&amp;"|"&amp;E848&amp;"|"&amp;F848&amp;"|"&amp;G848&amp;"|"&amp;H848&amp;"|"&amp;I848&amp;"|"&amp;J848&amp;"|"&amp;K848&amp;"|"&amp;L848&amp;"|"&amp;M848&amp;"|"&amp;N848&amp;"|"&amp;O848&amp;"|"&amp;P848</f>
        <v/>
      </c>
      <c r="R848" s="10">
        <f>IF(COUNTIF($Q$2:$Q$1409,Q848)&gt;1,IF(COUNTIF($Q$2:Q848,Q848)=1,"Exact Duplicate - Keep First","Exact Duplicate - Remove"),"Unique")</f>
        <v/>
      </c>
    </row>
    <row r="849" ht="15" customHeight="1" s="11">
      <c r="A849" s="10" t="inlineStr">
        <is>
          <t>USR-100848</t>
        </is>
      </c>
      <c r="B849" s="14" t="n">
        <v>45789</v>
      </c>
      <c r="C849" s="10" t="inlineStr">
        <is>
          <t>Treatment</t>
        </is>
      </c>
      <c r="D849" s="10" t="inlineStr">
        <is>
          <t>South</t>
        </is>
      </c>
      <c r="E849" s="10" t="inlineStr">
        <is>
          <t>Desktop</t>
        </is>
      </c>
      <c r="F849" s="10" t="inlineStr">
        <is>
          <t>Paid Search</t>
        </is>
      </c>
      <c r="G849" s="10" t="inlineStr">
        <is>
          <t>Free</t>
        </is>
      </c>
      <c r="H849" s="10" t="n">
        <v>0</v>
      </c>
      <c r="I849" s="10" t="n">
        <v>0</v>
      </c>
      <c r="J849" s="10" t="n">
        <v>0</v>
      </c>
      <c r="K849" s="10" t="n">
        <v>0</v>
      </c>
      <c r="L849" s="10" t="n">
        <v>0</v>
      </c>
      <c r="M849" s="10" t="n">
        <v>0</v>
      </c>
      <c r="N849" s="10" t="n">
        <v>0</v>
      </c>
      <c r="P849" s="10" t="n">
        <v>34.5</v>
      </c>
      <c r="Q849" s="10">
        <f>A849&amp;"|"&amp;B849&amp;"|"&amp;C849&amp;"|"&amp;D849&amp;"|"&amp;E849&amp;"|"&amp;F849&amp;"|"&amp;G849&amp;"|"&amp;H849&amp;"|"&amp;I849&amp;"|"&amp;J849&amp;"|"&amp;K849&amp;"|"&amp;L849&amp;"|"&amp;M849&amp;"|"&amp;N849&amp;"|"&amp;O849&amp;"|"&amp;P849</f>
        <v/>
      </c>
      <c r="R849" s="10">
        <f>IF(COUNTIF($Q$2:$Q$1409,Q849)&gt;1,IF(COUNTIF($Q$2:Q849,Q849)=1,"Exact Duplicate - Keep First","Exact Duplicate - Remove"),"Unique")</f>
        <v/>
      </c>
    </row>
    <row r="850" ht="15" customHeight="1" s="11">
      <c r="A850" s="10" t="inlineStr">
        <is>
          <t>USR-100849</t>
        </is>
      </c>
      <c r="B850" s="14" t="n">
        <v>45721</v>
      </c>
      <c r="C850" s="10" t="inlineStr">
        <is>
          <t>Treatment</t>
        </is>
      </c>
      <c r="D850" s="10" t="inlineStr">
        <is>
          <t>South</t>
        </is>
      </c>
      <c r="E850" s="10" t="inlineStr">
        <is>
          <t>Mobile</t>
        </is>
      </c>
      <c r="F850" s="10" t="inlineStr">
        <is>
          <t>Social</t>
        </is>
      </c>
      <c r="G850" s="10" t="inlineStr">
        <is>
          <t>Basic</t>
        </is>
      </c>
      <c r="H850" s="10" t="n">
        <v>0</v>
      </c>
      <c r="I850" s="10" t="n">
        <v>0</v>
      </c>
      <c r="J850" s="10" t="n">
        <v>0</v>
      </c>
      <c r="K850" s="10" t="n">
        <v>0</v>
      </c>
      <c r="L850" s="10" t="n">
        <v>0</v>
      </c>
      <c r="M850" s="10" t="n">
        <v>0</v>
      </c>
      <c r="N850" s="10" t="n">
        <v>0</v>
      </c>
      <c r="P850" s="10" t="n">
        <v>54.5</v>
      </c>
      <c r="Q850" s="10">
        <f>A850&amp;"|"&amp;B850&amp;"|"&amp;C850&amp;"|"&amp;D850&amp;"|"&amp;E850&amp;"|"&amp;F850&amp;"|"&amp;G850&amp;"|"&amp;H850&amp;"|"&amp;I850&amp;"|"&amp;J850&amp;"|"&amp;K850&amp;"|"&amp;L850&amp;"|"&amp;M850&amp;"|"&amp;N850&amp;"|"&amp;O850&amp;"|"&amp;P850</f>
        <v/>
      </c>
      <c r="R850" s="10">
        <f>IF(COUNTIF($Q$2:$Q$1409,Q850)&gt;1,IF(COUNTIF($Q$2:Q850,Q850)=1,"Exact Duplicate - Keep First","Exact Duplicate - Remove"),"Unique")</f>
        <v/>
      </c>
    </row>
    <row r="851" ht="15" customHeight="1" s="11">
      <c r="A851" s="10" t="inlineStr">
        <is>
          <t>USR-100850</t>
        </is>
      </c>
      <c r="B851" s="14" t="n">
        <v>45681</v>
      </c>
      <c r="C851" s="10" t="inlineStr">
        <is>
          <t>Treatment</t>
        </is>
      </c>
      <c r="D851" s="10" t="inlineStr">
        <is>
          <t>East</t>
        </is>
      </c>
      <c r="E851" s="10" t="inlineStr">
        <is>
          <t>Mobile</t>
        </is>
      </c>
      <c r="F851" s="10" t="inlineStr">
        <is>
          <t>Organic</t>
        </is>
      </c>
      <c r="G851" s="10" t="inlineStr">
        <is>
          <t>Free</t>
        </is>
      </c>
      <c r="H851" s="10" t="n">
        <v>0</v>
      </c>
      <c r="I851" s="10" t="n">
        <v>0</v>
      </c>
      <c r="J851" s="10" t="n">
        <v>0</v>
      </c>
      <c r="K851" s="10" t="n">
        <v>0</v>
      </c>
      <c r="L851" s="10" t="n">
        <v>0</v>
      </c>
      <c r="M851" s="10" t="n">
        <v>0</v>
      </c>
      <c r="N851" s="10" t="n">
        <v>0</v>
      </c>
      <c r="P851" s="10" t="n">
        <v>46</v>
      </c>
      <c r="Q851" s="10">
        <f>A851&amp;"|"&amp;B851&amp;"|"&amp;C851&amp;"|"&amp;D851&amp;"|"&amp;E851&amp;"|"&amp;F851&amp;"|"&amp;G851&amp;"|"&amp;H851&amp;"|"&amp;I851&amp;"|"&amp;J851&amp;"|"&amp;K851&amp;"|"&amp;L851&amp;"|"&amp;M851&amp;"|"&amp;N851&amp;"|"&amp;O851&amp;"|"&amp;P851</f>
        <v/>
      </c>
      <c r="R851" s="10">
        <f>IF(COUNTIF($Q$2:$Q$1409,Q851)&gt;1,IF(COUNTIF($Q$2:Q851,Q851)=1,"Exact Duplicate - Keep First","Exact Duplicate - Remove"),"Unique")</f>
        <v/>
      </c>
    </row>
    <row r="852" ht="15" customHeight="1" s="11">
      <c r="A852" s="10" t="inlineStr">
        <is>
          <t>USR-100851</t>
        </is>
      </c>
      <c r="B852" s="14" t="n">
        <v>45688</v>
      </c>
      <c r="C852" s="10" t="inlineStr">
        <is>
          <t>Treatment</t>
        </is>
      </c>
      <c r="D852" s="10" t="inlineStr">
        <is>
          <t>East</t>
        </is>
      </c>
      <c r="E852" s="10" t="inlineStr">
        <is>
          <t>Desktop</t>
        </is>
      </c>
      <c r="F852" s="10" t="inlineStr">
        <is>
          <t>Email</t>
        </is>
      </c>
      <c r="G852" s="10" t="inlineStr">
        <is>
          <t>Free</t>
        </is>
      </c>
      <c r="H852" s="10" t="n">
        <v>1</v>
      </c>
      <c r="I852" s="10" t="n">
        <v>1</v>
      </c>
      <c r="J852" s="10" t="n">
        <v>1</v>
      </c>
      <c r="K852" s="10" t="n">
        <v>0</v>
      </c>
      <c r="L852" s="10" t="n">
        <v>0</v>
      </c>
      <c r="M852" s="10" t="n">
        <v>0</v>
      </c>
      <c r="N852" s="10" t="n">
        <v>0</v>
      </c>
      <c r="P852" s="10" t="n">
        <v>88.40000000000001</v>
      </c>
      <c r="Q852" s="10">
        <f>A852&amp;"|"&amp;B852&amp;"|"&amp;C852&amp;"|"&amp;D852&amp;"|"&amp;E852&amp;"|"&amp;F852&amp;"|"&amp;G852&amp;"|"&amp;H852&amp;"|"&amp;I852&amp;"|"&amp;J852&amp;"|"&amp;K852&amp;"|"&amp;L852&amp;"|"&amp;M852&amp;"|"&amp;N852&amp;"|"&amp;O852&amp;"|"&amp;P852</f>
        <v/>
      </c>
      <c r="R852" s="10">
        <f>IF(COUNTIF($Q$2:$Q$1409,Q852)&gt;1,IF(COUNTIF($Q$2:Q852,Q852)=1,"Exact Duplicate - Keep First","Exact Duplicate - Remove"),"Unique")</f>
        <v/>
      </c>
    </row>
    <row r="853" ht="15" customHeight="1" s="11">
      <c r="A853" s="10" t="inlineStr">
        <is>
          <t>USR-100852</t>
        </is>
      </c>
      <c r="B853" s="14" t="n">
        <v>45681</v>
      </c>
      <c r="C853" s="10" t="inlineStr">
        <is>
          <t>Treatment</t>
        </is>
      </c>
      <c r="D853" s="10" t="inlineStr">
        <is>
          <t>North</t>
        </is>
      </c>
      <c r="E853" s="10" t="inlineStr">
        <is>
          <t>Tablet</t>
        </is>
      </c>
      <c r="F853" s="10" t="inlineStr">
        <is>
          <t>Organic</t>
        </is>
      </c>
      <c r="G853" s="10" t="inlineStr">
        <is>
          <t>Basic</t>
        </is>
      </c>
      <c r="H853" s="10" t="n">
        <v>1</v>
      </c>
      <c r="I853" s="10" t="n">
        <v>0</v>
      </c>
      <c r="J853" s="10" t="n">
        <v>0</v>
      </c>
      <c r="K853" s="10" t="n">
        <v>0</v>
      </c>
      <c r="L853" s="10" t="n">
        <v>0</v>
      </c>
      <c r="M853" s="10" t="n">
        <v>0</v>
      </c>
      <c r="N853" s="10" t="n">
        <v>0</v>
      </c>
      <c r="P853" s="10" t="n">
        <v>69.5</v>
      </c>
      <c r="Q853" s="10">
        <f>A853&amp;"|"&amp;B853&amp;"|"&amp;C853&amp;"|"&amp;D853&amp;"|"&amp;E853&amp;"|"&amp;F853&amp;"|"&amp;G853&amp;"|"&amp;H853&amp;"|"&amp;I853&amp;"|"&amp;J853&amp;"|"&amp;K853&amp;"|"&amp;L853&amp;"|"&amp;M853&amp;"|"&amp;N853&amp;"|"&amp;O853&amp;"|"&amp;P853</f>
        <v/>
      </c>
      <c r="R853" s="10">
        <f>IF(COUNTIF($Q$2:$Q$1409,Q853)&gt;1,IF(COUNTIF($Q$2:Q853,Q853)=1,"Exact Duplicate - Keep First","Exact Duplicate - Remove"),"Unique")</f>
        <v/>
      </c>
    </row>
    <row r="854" ht="15" customHeight="1" s="11">
      <c r="A854" s="10" t="inlineStr">
        <is>
          <t>USR-100853</t>
        </is>
      </c>
      <c r="B854" s="14" t="n">
        <v>45702</v>
      </c>
      <c r="C854" s="10" t="inlineStr">
        <is>
          <t>Treatment</t>
        </is>
      </c>
      <c r="D854" s="10" t="inlineStr">
        <is>
          <t>North</t>
        </is>
      </c>
      <c r="E854" s="10" t="inlineStr">
        <is>
          <t>Desktop</t>
        </is>
      </c>
      <c r="F854" s="10" t="inlineStr">
        <is>
          <t>Referral</t>
        </is>
      </c>
      <c r="G854" s="10" t="inlineStr">
        <is>
          <t>Basic</t>
        </is>
      </c>
      <c r="H854" s="10" t="n">
        <v>1</v>
      </c>
      <c r="I854" s="10" t="n">
        <v>1</v>
      </c>
      <c r="J854" s="10" t="n">
        <v>1</v>
      </c>
      <c r="K854" s="10" t="n">
        <v>0</v>
      </c>
      <c r="L854" s="10" t="n">
        <v>0</v>
      </c>
      <c r="M854" s="10" t="n">
        <v>0</v>
      </c>
      <c r="N854" s="10" t="n">
        <v>0</v>
      </c>
      <c r="P854" s="10" t="n">
        <v>74.2</v>
      </c>
      <c r="Q854" s="10">
        <f>A854&amp;"|"&amp;B854&amp;"|"&amp;C854&amp;"|"&amp;D854&amp;"|"&amp;E854&amp;"|"&amp;F854&amp;"|"&amp;G854&amp;"|"&amp;H854&amp;"|"&amp;I854&amp;"|"&amp;J854&amp;"|"&amp;K854&amp;"|"&amp;L854&amp;"|"&amp;M854&amp;"|"&amp;N854&amp;"|"&amp;O854&amp;"|"&amp;P854</f>
        <v/>
      </c>
      <c r="R854" s="10">
        <f>IF(COUNTIF($Q$2:$Q$1409,Q854)&gt;1,IF(COUNTIF($Q$2:Q854,Q854)=1,"Exact Duplicate - Keep First","Exact Duplicate - Remove"),"Unique")</f>
        <v/>
      </c>
    </row>
    <row r="855" ht="15" customHeight="1" s="11">
      <c r="A855" s="10" t="inlineStr">
        <is>
          <t>USR-100854</t>
        </is>
      </c>
      <c r="B855" s="14" t="n">
        <v>45804</v>
      </c>
      <c r="C855" s="10" t="inlineStr">
        <is>
          <t>Treatment</t>
        </is>
      </c>
      <c r="D855" s="10" t="inlineStr">
        <is>
          <t>North</t>
        </is>
      </c>
      <c r="E855" s="10" t="inlineStr">
        <is>
          <t>Mobile</t>
        </is>
      </c>
      <c r="F855" s="10" t="inlineStr">
        <is>
          <t>Organic</t>
        </is>
      </c>
      <c r="G855" s="10" t="inlineStr">
        <is>
          <t>Free</t>
        </is>
      </c>
      <c r="H855" s="10" t="n">
        <v>1</v>
      </c>
      <c r="I855" s="10" t="n">
        <v>1</v>
      </c>
      <c r="J855" s="10" t="n">
        <v>1</v>
      </c>
      <c r="K855" s="10" t="n">
        <v>0</v>
      </c>
      <c r="L855" s="10" t="n">
        <v>0</v>
      </c>
      <c r="M855" s="10" t="n">
        <v>0</v>
      </c>
      <c r="N855" s="10" t="n">
        <v>0</v>
      </c>
      <c r="P855" s="10" t="n">
        <v>72.09999999999999</v>
      </c>
      <c r="Q855" s="10">
        <f>A855&amp;"|"&amp;B855&amp;"|"&amp;C855&amp;"|"&amp;D855&amp;"|"&amp;E855&amp;"|"&amp;F855&amp;"|"&amp;G855&amp;"|"&amp;H855&amp;"|"&amp;I855&amp;"|"&amp;J855&amp;"|"&amp;K855&amp;"|"&amp;L855&amp;"|"&amp;M855&amp;"|"&amp;N855&amp;"|"&amp;O855&amp;"|"&amp;P855</f>
        <v/>
      </c>
      <c r="R855" s="10">
        <f>IF(COUNTIF($Q$2:$Q$1409,Q855)&gt;1,IF(COUNTIF($Q$2:Q855,Q855)=1,"Exact Duplicate - Keep First","Exact Duplicate - Remove"),"Unique")</f>
        <v/>
      </c>
    </row>
    <row r="856" ht="15" customHeight="1" s="11">
      <c r="A856" s="10" t="inlineStr">
        <is>
          <t>USR-100855</t>
        </is>
      </c>
      <c r="B856" s="14" t="n">
        <v>45716</v>
      </c>
      <c r="C856" s="10" t="inlineStr">
        <is>
          <t>Treatment</t>
        </is>
      </c>
      <c r="D856" s="10" t="inlineStr">
        <is>
          <t>North</t>
        </is>
      </c>
      <c r="E856" s="10" t="inlineStr">
        <is>
          <t>Mobile</t>
        </is>
      </c>
      <c r="F856" s="10" t="inlineStr">
        <is>
          <t>Paid Search</t>
        </is>
      </c>
      <c r="G856" s="10" t="inlineStr">
        <is>
          <t>Free</t>
        </is>
      </c>
      <c r="H856" s="10" t="n">
        <v>1</v>
      </c>
      <c r="I856" s="10" t="n">
        <v>1</v>
      </c>
      <c r="J856" s="10" t="n">
        <v>1</v>
      </c>
      <c r="K856" s="10" t="n">
        <v>1</v>
      </c>
      <c r="L856" s="10" t="n">
        <v>398.33</v>
      </c>
      <c r="M856" s="10" t="n">
        <v>0</v>
      </c>
      <c r="N856" s="10" t="n">
        <v>0</v>
      </c>
      <c r="O856" s="10" t="n">
        <v>5</v>
      </c>
      <c r="P856" s="10" t="n">
        <v>85.09999999999999</v>
      </c>
      <c r="Q856" s="10">
        <f>A856&amp;"|"&amp;B856&amp;"|"&amp;C856&amp;"|"&amp;D856&amp;"|"&amp;E856&amp;"|"&amp;F856&amp;"|"&amp;G856&amp;"|"&amp;H856&amp;"|"&amp;I856&amp;"|"&amp;J856&amp;"|"&amp;K856&amp;"|"&amp;L856&amp;"|"&amp;M856&amp;"|"&amp;N856&amp;"|"&amp;O856&amp;"|"&amp;P856</f>
        <v/>
      </c>
      <c r="R856" s="10">
        <f>IF(COUNTIF($Q$2:$Q$1409,Q856)&gt;1,IF(COUNTIF($Q$2:Q856,Q856)=1,"Exact Duplicate - Keep First","Exact Duplicate - Remove"),"Unique")</f>
        <v/>
      </c>
    </row>
    <row r="857" ht="15" customHeight="1" s="11">
      <c r="A857" s="10" t="inlineStr">
        <is>
          <t>USR-100856</t>
        </is>
      </c>
      <c r="B857" s="14" t="n">
        <v>45804</v>
      </c>
      <c r="C857" s="10" t="inlineStr">
        <is>
          <t>Treatment</t>
        </is>
      </c>
      <c r="D857" s="10" t="inlineStr">
        <is>
          <t>North</t>
        </is>
      </c>
      <c r="E857" s="10" t="inlineStr">
        <is>
          <t>Mobile</t>
        </is>
      </c>
      <c r="F857" s="10" t="inlineStr">
        <is>
          <t>Organic</t>
        </is>
      </c>
      <c r="G857" s="10" t="inlineStr">
        <is>
          <t>Basic</t>
        </is>
      </c>
      <c r="H857" s="10" t="n">
        <v>1</v>
      </c>
      <c r="I857" s="10" t="n">
        <v>1</v>
      </c>
      <c r="J857" s="10" t="n">
        <v>1</v>
      </c>
      <c r="K857" s="10" t="n">
        <v>0</v>
      </c>
      <c r="L857" s="10" t="n">
        <v>0</v>
      </c>
      <c r="M857" s="10" t="n">
        <v>0</v>
      </c>
      <c r="N857" s="10" t="n">
        <v>0</v>
      </c>
      <c r="P857" s="10" t="n">
        <v>49.5</v>
      </c>
      <c r="Q857" s="10">
        <f>A857&amp;"|"&amp;B857&amp;"|"&amp;C857&amp;"|"&amp;D857&amp;"|"&amp;E857&amp;"|"&amp;F857&amp;"|"&amp;G857&amp;"|"&amp;H857&amp;"|"&amp;I857&amp;"|"&amp;J857&amp;"|"&amp;K857&amp;"|"&amp;L857&amp;"|"&amp;M857&amp;"|"&amp;N857&amp;"|"&amp;O857&amp;"|"&amp;P857</f>
        <v/>
      </c>
      <c r="R857" s="10">
        <f>IF(COUNTIF($Q$2:$Q$1409,Q857)&gt;1,IF(COUNTIF($Q$2:Q857,Q857)=1,"Exact Duplicate - Keep First","Exact Duplicate - Remove"),"Unique")</f>
        <v/>
      </c>
    </row>
    <row r="858" ht="15" customHeight="1" s="11">
      <c r="A858" s="10" t="inlineStr">
        <is>
          <t>USR-100857</t>
        </is>
      </c>
      <c r="B858" s="14" t="n">
        <v>45794</v>
      </c>
      <c r="C858" s="10" t="inlineStr">
        <is>
          <t>Treatment</t>
        </is>
      </c>
      <c r="D858" s="10" t="inlineStr">
        <is>
          <t>South</t>
        </is>
      </c>
      <c r="E858" s="10" t="inlineStr">
        <is>
          <t>Mobile</t>
        </is>
      </c>
      <c r="F858" s="10" t="inlineStr">
        <is>
          <t>Paid Search</t>
        </is>
      </c>
      <c r="G858" s="10" t="inlineStr">
        <is>
          <t>Premium</t>
        </is>
      </c>
      <c r="H858" s="10" t="n">
        <v>0</v>
      </c>
      <c r="I858" s="10" t="n">
        <v>0</v>
      </c>
      <c r="J858" s="10" t="n">
        <v>0</v>
      </c>
      <c r="K858" s="10" t="n">
        <v>0</v>
      </c>
      <c r="L858" s="10" t="n">
        <v>0</v>
      </c>
      <c r="M858" s="10" t="n">
        <v>1</v>
      </c>
      <c r="N858" s="10" t="n">
        <v>0</v>
      </c>
      <c r="P858" s="10" t="n">
        <v>79</v>
      </c>
      <c r="Q858" s="10">
        <f>A858&amp;"|"&amp;B858&amp;"|"&amp;C858&amp;"|"&amp;D858&amp;"|"&amp;E858&amp;"|"&amp;F858&amp;"|"&amp;G858&amp;"|"&amp;H858&amp;"|"&amp;I858&amp;"|"&amp;J858&amp;"|"&amp;K858&amp;"|"&amp;L858&amp;"|"&amp;M858&amp;"|"&amp;N858&amp;"|"&amp;O858&amp;"|"&amp;P858</f>
        <v/>
      </c>
      <c r="R858" s="10">
        <f>IF(COUNTIF($Q$2:$Q$1409,Q858)&gt;1,IF(COUNTIF($Q$2:Q858,Q858)=1,"Exact Duplicate - Keep First","Exact Duplicate - Remove"),"Unique")</f>
        <v/>
      </c>
    </row>
    <row r="859" ht="15" customHeight="1" s="11">
      <c r="A859" s="10" t="inlineStr">
        <is>
          <t>USR-100858</t>
        </is>
      </c>
      <c r="B859" s="14" t="n">
        <v>45667</v>
      </c>
      <c r="C859" s="10" t="inlineStr">
        <is>
          <t>Treatment</t>
        </is>
      </c>
      <c r="D859" s="10" t="inlineStr">
        <is>
          <t>West</t>
        </is>
      </c>
      <c r="E859" s="10" t="inlineStr">
        <is>
          <t>Desktop</t>
        </is>
      </c>
      <c r="F859" s="10" t="inlineStr">
        <is>
          <t>Social</t>
        </is>
      </c>
      <c r="G859" s="10" t="inlineStr">
        <is>
          <t>Free</t>
        </is>
      </c>
      <c r="H859" s="10" t="n">
        <v>0</v>
      </c>
      <c r="I859" s="10" t="n">
        <v>0</v>
      </c>
      <c r="J859" s="10" t="n">
        <v>0</v>
      </c>
      <c r="K859" s="10" t="n">
        <v>0</v>
      </c>
      <c r="L859" s="10" t="n">
        <v>0</v>
      </c>
      <c r="M859" s="10" t="n">
        <v>0</v>
      </c>
      <c r="N859" s="10" t="n">
        <v>0</v>
      </c>
      <c r="P859" s="10" t="n">
        <v>71.8</v>
      </c>
      <c r="Q859" s="10">
        <f>A859&amp;"|"&amp;B859&amp;"|"&amp;C859&amp;"|"&amp;D859&amp;"|"&amp;E859&amp;"|"&amp;F859&amp;"|"&amp;G859&amp;"|"&amp;H859&amp;"|"&amp;I859&amp;"|"&amp;J859&amp;"|"&amp;K859&amp;"|"&amp;L859&amp;"|"&amp;M859&amp;"|"&amp;N859&amp;"|"&amp;O859&amp;"|"&amp;P859</f>
        <v/>
      </c>
      <c r="R859" s="10">
        <f>IF(COUNTIF($Q$2:$Q$1409,Q859)&gt;1,IF(COUNTIF($Q$2:Q859,Q859)=1,"Exact Duplicate - Keep First","Exact Duplicate - Remove"),"Unique")</f>
        <v/>
      </c>
    </row>
    <row r="860" ht="15" customHeight="1" s="11">
      <c r="A860" s="10" t="inlineStr">
        <is>
          <t>USR-100859</t>
        </is>
      </c>
      <c r="B860" s="14" t="n">
        <v>45769</v>
      </c>
      <c r="C860" s="10" t="inlineStr">
        <is>
          <t>Treatment</t>
        </is>
      </c>
      <c r="D860" s="10" t="inlineStr">
        <is>
          <t>North</t>
        </is>
      </c>
      <c r="E860" s="10" t="inlineStr">
        <is>
          <t>Mobile</t>
        </is>
      </c>
      <c r="F860" s="10" t="inlineStr">
        <is>
          <t>Email</t>
        </is>
      </c>
      <c r="G860" s="10" t="inlineStr">
        <is>
          <t>Basic</t>
        </is>
      </c>
      <c r="H860" s="10" t="n">
        <v>1</v>
      </c>
      <c r="I860" s="10" t="n">
        <v>1</v>
      </c>
      <c r="J860" s="10" t="n">
        <v>1</v>
      </c>
      <c r="K860" s="10" t="n">
        <v>1</v>
      </c>
      <c r="L860" s="10" t="n">
        <v>1117.54</v>
      </c>
      <c r="M860" s="10" t="n">
        <v>0</v>
      </c>
      <c r="N860" s="10" t="n">
        <v>0</v>
      </c>
      <c r="O860" s="10" t="n">
        <v>6</v>
      </c>
      <c r="P860" s="10" t="n">
        <v>60.4</v>
      </c>
      <c r="Q860" s="10">
        <f>A860&amp;"|"&amp;B860&amp;"|"&amp;C860&amp;"|"&amp;D860&amp;"|"&amp;E860&amp;"|"&amp;F860&amp;"|"&amp;G860&amp;"|"&amp;H860&amp;"|"&amp;I860&amp;"|"&amp;J860&amp;"|"&amp;K860&amp;"|"&amp;L860&amp;"|"&amp;M860&amp;"|"&amp;N860&amp;"|"&amp;O860&amp;"|"&amp;P860</f>
        <v/>
      </c>
      <c r="R860" s="10">
        <f>IF(COUNTIF($Q$2:$Q$1409,Q860)&gt;1,IF(COUNTIF($Q$2:Q860,Q860)=1,"Exact Duplicate - Keep First","Exact Duplicate - Remove"),"Unique")</f>
        <v/>
      </c>
    </row>
    <row r="861" ht="15" customHeight="1" s="11">
      <c r="A861" s="10" t="inlineStr">
        <is>
          <t>USR-100860</t>
        </is>
      </c>
      <c r="B861" s="14" t="n">
        <v>45718</v>
      </c>
      <c r="C861" s="10" t="inlineStr">
        <is>
          <t>Treatment</t>
        </is>
      </c>
      <c r="D861" s="10" t="inlineStr">
        <is>
          <t>South</t>
        </is>
      </c>
      <c r="E861" s="10" t="inlineStr">
        <is>
          <t>Desktop</t>
        </is>
      </c>
      <c r="F861" s="10" t="inlineStr">
        <is>
          <t>Organic</t>
        </is>
      </c>
      <c r="G861" s="10" t="inlineStr">
        <is>
          <t>Basic</t>
        </is>
      </c>
      <c r="H861" s="10" t="n">
        <v>1</v>
      </c>
      <c r="I861" s="10" t="n">
        <v>0</v>
      </c>
      <c r="J861" s="10" t="n">
        <v>0</v>
      </c>
      <c r="K861" s="10" t="n">
        <v>0</v>
      </c>
      <c r="L861" s="10" t="n">
        <v>0</v>
      </c>
      <c r="M861" s="10" t="n">
        <v>2</v>
      </c>
      <c r="N861" s="10" t="n">
        <v>0</v>
      </c>
      <c r="P861" s="10" t="n">
        <v>38.3</v>
      </c>
      <c r="Q861" s="10">
        <f>A861&amp;"|"&amp;B861&amp;"|"&amp;C861&amp;"|"&amp;D861&amp;"|"&amp;E861&amp;"|"&amp;F861&amp;"|"&amp;G861&amp;"|"&amp;H861&amp;"|"&amp;I861&amp;"|"&amp;J861&amp;"|"&amp;K861&amp;"|"&amp;L861&amp;"|"&amp;M861&amp;"|"&amp;N861&amp;"|"&amp;O861&amp;"|"&amp;P861</f>
        <v/>
      </c>
      <c r="R861" s="10">
        <f>IF(COUNTIF($Q$2:$Q$1409,Q861)&gt;1,IF(COUNTIF($Q$2:Q861,Q861)=1,"Exact Duplicate - Keep First","Exact Duplicate - Remove"),"Unique")</f>
        <v/>
      </c>
    </row>
    <row r="862" ht="15" customHeight="1" s="11">
      <c r="A862" s="10" t="inlineStr">
        <is>
          <t>USR-100861</t>
        </is>
      </c>
      <c r="B862" s="14" t="n">
        <v>45739</v>
      </c>
      <c r="C862" s="10" t="inlineStr">
        <is>
          <t>Treatment</t>
        </is>
      </c>
      <c r="D862" s="10" t="inlineStr">
        <is>
          <t>East</t>
        </is>
      </c>
      <c r="E862" s="10" t="inlineStr">
        <is>
          <t>Mobile</t>
        </is>
      </c>
      <c r="F862" s="10" t="inlineStr">
        <is>
          <t>Paid Search</t>
        </is>
      </c>
      <c r="G862" s="10" t="inlineStr">
        <is>
          <t>Free</t>
        </is>
      </c>
      <c r="H862" s="10" t="n">
        <v>1</v>
      </c>
      <c r="I862" s="10" t="n">
        <v>1</v>
      </c>
      <c r="J862" s="10" t="n">
        <v>1</v>
      </c>
      <c r="K862" s="10" t="n">
        <v>0</v>
      </c>
      <c r="L862" s="10" t="n">
        <v>0</v>
      </c>
      <c r="M862" s="10" t="n">
        <v>0</v>
      </c>
      <c r="N862" s="10" t="n">
        <v>0</v>
      </c>
      <c r="P862" s="10" t="n">
        <v>79.59999999999999</v>
      </c>
      <c r="Q862" s="10">
        <f>A862&amp;"|"&amp;B862&amp;"|"&amp;C862&amp;"|"&amp;D862&amp;"|"&amp;E862&amp;"|"&amp;F862&amp;"|"&amp;G862&amp;"|"&amp;H862&amp;"|"&amp;I862&amp;"|"&amp;J862&amp;"|"&amp;K862&amp;"|"&amp;L862&amp;"|"&amp;M862&amp;"|"&amp;N862&amp;"|"&amp;O862&amp;"|"&amp;P862</f>
        <v/>
      </c>
      <c r="R862" s="10">
        <f>IF(COUNTIF($Q$2:$Q$1409,Q862)&gt;1,IF(COUNTIF($Q$2:Q862,Q862)=1,"Exact Duplicate - Keep First","Exact Duplicate - Remove"),"Unique")</f>
        <v/>
      </c>
    </row>
    <row r="863" ht="15" customHeight="1" s="11">
      <c r="A863" s="10" t="inlineStr">
        <is>
          <t>USR-100862</t>
        </is>
      </c>
      <c r="B863" s="14" t="n">
        <v>45700</v>
      </c>
      <c r="C863" s="10" t="inlineStr">
        <is>
          <t>Treatment</t>
        </is>
      </c>
      <c r="D863" s="10" t="inlineStr">
        <is>
          <t>East</t>
        </is>
      </c>
      <c r="E863" s="10" t="inlineStr">
        <is>
          <t>Mobile</t>
        </is>
      </c>
      <c r="F863" s="10" t="inlineStr">
        <is>
          <t>Email</t>
        </is>
      </c>
      <c r="G863" s="10" t="inlineStr">
        <is>
          <t>Free</t>
        </is>
      </c>
      <c r="H863" s="10" t="n">
        <v>1</v>
      </c>
      <c r="I863" s="10" t="n">
        <v>1</v>
      </c>
      <c r="J863" s="10" t="n">
        <v>1</v>
      </c>
      <c r="K863" s="10" t="n">
        <v>0</v>
      </c>
      <c r="L863" s="10" t="n">
        <v>0</v>
      </c>
      <c r="M863" s="10" t="n">
        <v>0</v>
      </c>
      <c r="N863" s="10" t="n">
        <v>0</v>
      </c>
      <c r="P863" s="10" t="n">
        <v>71.90000000000001</v>
      </c>
      <c r="Q863" s="10">
        <f>A863&amp;"|"&amp;B863&amp;"|"&amp;C863&amp;"|"&amp;D863&amp;"|"&amp;E863&amp;"|"&amp;F863&amp;"|"&amp;G863&amp;"|"&amp;H863&amp;"|"&amp;I863&amp;"|"&amp;J863&amp;"|"&amp;K863&amp;"|"&amp;L863&amp;"|"&amp;M863&amp;"|"&amp;N863&amp;"|"&amp;O863&amp;"|"&amp;P863</f>
        <v/>
      </c>
      <c r="R863" s="10">
        <f>IF(COUNTIF($Q$2:$Q$1409,Q863)&gt;1,IF(COUNTIF($Q$2:Q863,Q863)=1,"Exact Duplicate - Keep First","Exact Duplicate - Remove"),"Unique")</f>
        <v/>
      </c>
    </row>
    <row r="864" ht="15" customHeight="1" s="11">
      <c r="A864" s="10" t="inlineStr">
        <is>
          <t>USR-100863</t>
        </is>
      </c>
      <c r="B864" s="14" t="n">
        <v>45780</v>
      </c>
      <c r="C864" s="10" t="inlineStr">
        <is>
          <t>Treatment</t>
        </is>
      </c>
      <c r="D864" s="10" t="inlineStr">
        <is>
          <t>South</t>
        </is>
      </c>
      <c r="E864" s="10" t="inlineStr">
        <is>
          <t>Mobile</t>
        </is>
      </c>
      <c r="F864" s="10" t="inlineStr">
        <is>
          <t>Referral</t>
        </is>
      </c>
      <c r="G864" s="10" t="inlineStr">
        <is>
          <t>Basic</t>
        </is>
      </c>
      <c r="H864" s="10" t="n">
        <v>1</v>
      </c>
      <c r="I864" s="10" t="n">
        <v>0</v>
      </c>
      <c r="J864" s="10" t="n">
        <v>0</v>
      </c>
      <c r="K864" s="10" t="n">
        <v>0</v>
      </c>
      <c r="L864" s="10" t="n">
        <v>0</v>
      </c>
      <c r="M864" s="10" t="n">
        <v>0</v>
      </c>
      <c r="N864" s="10" t="n">
        <v>0</v>
      </c>
      <c r="P864" s="10" t="n">
        <v>54.6</v>
      </c>
      <c r="Q864" s="10">
        <f>A864&amp;"|"&amp;B864&amp;"|"&amp;C864&amp;"|"&amp;D864&amp;"|"&amp;E864&amp;"|"&amp;F864&amp;"|"&amp;G864&amp;"|"&amp;H864&amp;"|"&amp;I864&amp;"|"&amp;J864&amp;"|"&amp;K864&amp;"|"&amp;L864&amp;"|"&amp;M864&amp;"|"&amp;N864&amp;"|"&amp;O864&amp;"|"&amp;P864</f>
        <v/>
      </c>
      <c r="R864" s="10">
        <f>IF(COUNTIF($Q$2:$Q$1409,Q864)&gt;1,IF(COUNTIF($Q$2:Q864,Q864)=1,"Exact Duplicate - Keep First","Exact Duplicate - Remove"),"Unique")</f>
        <v/>
      </c>
    </row>
    <row r="865" ht="15" customHeight="1" s="11">
      <c r="A865" s="10" t="inlineStr">
        <is>
          <t>USR-100864</t>
        </is>
      </c>
      <c r="B865" s="14" t="n">
        <v>45744</v>
      </c>
      <c r="C865" s="10" t="inlineStr">
        <is>
          <t>Treatment</t>
        </is>
      </c>
      <c r="D865" s="10" t="inlineStr">
        <is>
          <t>North</t>
        </is>
      </c>
      <c r="E865" s="10" t="inlineStr">
        <is>
          <t>Desktop</t>
        </is>
      </c>
      <c r="F865" s="10" t="inlineStr">
        <is>
          <t>Social</t>
        </is>
      </c>
      <c r="G865" s="10" t="inlineStr">
        <is>
          <t>Free</t>
        </is>
      </c>
      <c r="H865" s="10" t="n">
        <v>1</v>
      </c>
      <c r="I865" s="10" t="n">
        <v>0</v>
      </c>
      <c r="J865" s="10" t="n">
        <v>0</v>
      </c>
      <c r="K865" s="10" t="n">
        <v>0</v>
      </c>
      <c r="L865" s="10" t="n">
        <v>0</v>
      </c>
      <c r="M865" s="10" t="n">
        <v>3</v>
      </c>
      <c r="N865" s="10" t="n">
        <v>0</v>
      </c>
      <c r="P865" s="10" t="n">
        <v>49.3</v>
      </c>
      <c r="Q865" s="10">
        <f>A865&amp;"|"&amp;B865&amp;"|"&amp;C865&amp;"|"&amp;D865&amp;"|"&amp;E865&amp;"|"&amp;F865&amp;"|"&amp;G865&amp;"|"&amp;H865&amp;"|"&amp;I865&amp;"|"&amp;J865&amp;"|"&amp;K865&amp;"|"&amp;L865&amp;"|"&amp;M865&amp;"|"&amp;N865&amp;"|"&amp;O865&amp;"|"&amp;P865</f>
        <v/>
      </c>
      <c r="R865" s="10">
        <f>IF(COUNTIF($Q$2:$Q$1409,Q865)&gt;1,IF(COUNTIF($Q$2:Q865,Q865)=1,"Exact Duplicate - Keep First","Exact Duplicate - Remove"),"Unique")</f>
        <v/>
      </c>
    </row>
    <row r="866" ht="15" customHeight="1" s="11">
      <c r="A866" s="10" t="inlineStr">
        <is>
          <t>USR-100865</t>
        </is>
      </c>
      <c r="B866" s="14" t="n">
        <v>45728</v>
      </c>
      <c r="C866" s="10" t="inlineStr">
        <is>
          <t>Treatment</t>
        </is>
      </c>
      <c r="D866" s="10" t="inlineStr">
        <is>
          <t>North</t>
        </is>
      </c>
      <c r="E866" s="10" t="inlineStr">
        <is>
          <t>Mobile</t>
        </is>
      </c>
      <c r="F866" s="10" t="inlineStr">
        <is>
          <t>Social</t>
        </is>
      </c>
      <c r="G866" s="10" t="inlineStr">
        <is>
          <t>Basic</t>
        </is>
      </c>
      <c r="H866" s="10" t="n">
        <v>0</v>
      </c>
      <c r="I866" s="10" t="n">
        <v>0</v>
      </c>
      <c r="J866" s="10" t="n">
        <v>0</v>
      </c>
      <c r="K866" s="10" t="n">
        <v>0</v>
      </c>
      <c r="L866" s="10" t="n">
        <v>0</v>
      </c>
      <c r="M866" s="10" t="n">
        <v>1</v>
      </c>
      <c r="N866" s="10" t="n">
        <v>0</v>
      </c>
      <c r="P866" s="10" t="n">
        <v>66.90000000000001</v>
      </c>
      <c r="Q866" s="10">
        <f>A866&amp;"|"&amp;B866&amp;"|"&amp;C866&amp;"|"&amp;D866&amp;"|"&amp;E866&amp;"|"&amp;F866&amp;"|"&amp;G866&amp;"|"&amp;H866&amp;"|"&amp;I866&amp;"|"&amp;J866&amp;"|"&amp;K866&amp;"|"&amp;L866&amp;"|"&amp;M866&amp;"|"&amp;N866&amp;"|"&amp;O866&amp;"|"&amp;P866</f>
        <v/>
      </c>
      <c r="R866" s="10">
        <f>IF(COUNTIF($Q$2:$Q$1409,Q866)&gt;1,IF(COUNTIF($Q$2:Q866,Q866)=1,"Exact Duplicate - Keep First","Exact Duplicate - Remove"),"Unique")</f>
        <v/>
      </c>
    </row>
    <row r="867" ht="15" customHeight="1" s="11">
      <c r="A867" s="10" t="inlineStr">
        <is>
          <t>USR-100866</t>
        </is>
      </c>
      <c r="B867" s="14" t="n">
        <v>45774</v>
      </c>
      <c r="C867" s="10" t="inlineStr">
        <is>
          <t>Treatment</t>
        </is>
      </c>
      <c r="D867" s="10" t="inlineStr">
        <is>
          <t>East</t>
        </is>
      </c>
      <c r="E867" s="10" t="inlineStr">
        <is>
          <t>Mobile</t>
        </is>
      </c>
      <c r="F867" s="10" t="inlineStr">
        <is>
          <t>Paid Search</t>
        </is>
      </c>
      <c r="G867" s="10" t="inlineStr">
        <is>
          <t>Free</t>
        </is>
      </c>
      <c r="H867" s="10" t="n">
        <v>1</v>
      </c>
      <c r="I867" s="10" t="n">
        <v>0</v>
      </c>
      <c r="J867" s="10" t="n">
        <v>0</v>
      </c>
      <c r="K867" s="10" t="n">
        <v>0</v>
      </c>
      <c r="L867" s="10" t="n">
        <v>0</v>
      </c>
      <c r="M867" s="10" t="n">
        <v>1</v>
      </c>
      <c r="N867" s="10" t="n">
        <v>0</v>
      </c>
      <c r="P867" s="10" t="n">
        <v>77.8</v>
      </c>
      <c r="Q867" s="10">
        <f>A867&amp;"|"&amp;B867&amp;"|"&amp;C867&amp;"|"&amp;D867&amp;"|"&amp;E867&amp;"|"&amp;F867&amp;"|"&amp;G867&amp;"|"&amp;H867&amp;"|"&amp;I867&amp;"|"&amp;J867&amp;"|"&amp;K867&amp;"|"&amp;L867&amp;"|"&amp;M867&amp;"|"&amp;N867&amp;"|"&amp;O867&amp;"|"&amp;P867</f>
        <v/>
      </c>
      <c r="R867" s="10">
        <f>IF(COUNTIF($Q$2:$Q$1409,Q867)&gt;1,IF(COUNTIF($Q$2:Q867,Q867)=1,"Exact Duplicate - Keep First","Exact Duplicate - Remove"),"Unique")</f>
        <v/>
      </c>
    </row>
    <row r="868" ht="15" customHeight="1" s="11">
      <c r="A868" s="10" t="inlineStr">
        <is>
          <t>USR-100867</t>
        </is>
      </c>
      <c r="B868" s="14" t="n">
        <v>45749</v>
      </c>
      <c r="C868" s="10" t="inlineStr">
        <is>
          <t>Treatment</t>
        </is>
      </c>
      <c r="D868" s="10" t="inlineStr">
        <is>
          <t>South</t>
        </is>
      </c>
      <c r="E868" s="10" t="inlineStr">
        <is>
          <t>Mobile</t>
        </is>
      </c>
      <c r="F868" s="10" t="inlineStr">
        <is>
          <t>Referral</t>
        </is>
      </c>
      <c r="G868" s="10" t="inlineStr">
        <is>
          <t>Basic</t>
        </is>
      </c>
      <c r="H868" s="10" t="n">
        <v>1</v>
      </c>
      <c r="I868" s="10" t="n">
        <v>0</v>
      </c>
      <c r="J868" s="10" t="n">
        <v>0</v>
      </c>
      <c r="K868" s="10" t="n">
        <v>0</v>
      </c>
      <c r="L868" s="10" t="n">
        <v>0</v>
      </c>
      <c r="M868" s="10" t="n">
        <v>0</v>
      </c>
      <c r="N868" s="10" t="n">
        <v>0</v>
      </c>
      <c r="P868" s="10" t="n">
        <v>63</v>
      </c>
      <c r="Q868" s="10">
        <f>A868&amp;"|"&amp;B868&amp;"|"&amp;C868&amp;"|"&amp;D868&amp;"|"&amp;E868&amp;"|"&amp;F868&amp;"|"&amp;G868&amp;"|"&amp;H868&amp;"|"&amp;I868&amp;"|"&amp;J868&amp;"|"&amp;K868&amp;"|"&amp;L868&amp;"|"&amp;M868&amp;"|"&amp;N868&amp;"|"&amp;O868&amp;"|"&amp;P868</f>
        <v/>
      </c>
      <c r="R868" s="10">
        <f>IF(COUNTIF($Q$2:$Q$1409,Q868)&gt;1,IF(COUNTIF($Q$2:Q868,Q868)=1,"Exact Duplicate - Keep First","Exact Duplicate - Remove"),"Unique")</f>
        <v/>
      </c>
    </row>
    <row r="869" ht="15" customHeight="1" s="11">
      <c r="A869" s="10" t="inlineStr">
        <is>
          <t>USR-100868</t>
        </is>
      </c>
      <c r="B869" s="14" t="n">
        <v>45768</v>
      </c>
      <c r="C869" s="10" t="inlineStr">
        <is>
          <t>Treatment</t>
        </is>
      </c>
      <c r="D869" s="10" t="inlineStr">
        <is>
          <t>North</t>
        </is>
      </c>
      <c r="E869" s="10" t="inlineStr">
        <is>
          <t>Mobile</t>
        </is>
      </c>
      <c r="F869" s="10" t="inlineStr">
        <is>
          <t>Social</t>
        </is>
      </c>
      <c r="G869" s="10" t="inlineStr">
        <is>
          <t>Free</t>
        </is>
      </c>
      <c r="H869" s="10" t="n">
        <v>0</v>
      </c>
      <c r="I869" s="10" t="n">
        <v>0</v>
      </c>
      <c r="J869" s="10" t="n">
        <v>0</v>
      </c>
      <c r="K869" s="10" t="n">
        <v>0</v>
      </c>
      <c r="L869" s="10" t="n">
        <v>0</v>
      </c>
      <c r="M869" s="10" t="n">
        <v>0</v>
      </c>
      <c r="N869" s="10" t="n">
        <v>0</v>
      </c>
      <c r="P869" s="10" t="n">
        <v>79.8</v>
      </c>
      <c r="Q869" s="10">
        <f>A869&amp;"|"&amp;B869&amp;"|"&amp;C869&amp;"|"&amp;D869&amp;"|"&amp;E869&amp;"|"&amp;F869&amp;"|"&amp;G869&amp;"|"&amp;H869&amp;"|"&amp;I869&amp;"|"&amp;J869&amp;"|"&amp;K869&amp;"|"&amp;L869&amp;"|"&amp;M869&amp;"|"&amp;N869&amp;"|"&amp;O869&amp;"|"&amp;P869</f>
        <v/>
      </c>
      <c r="R869" s="10">
        <f>IF(COUNTIF($Q$2:$Q$1409,Q869)&gt;1,IF(COUNTIF($Q$2:Q869,Q869)=1,"Exact Duplicate - Keep First","Exact Duplicate - Remove"),"Unique")</f>
        <v/>
      </c>
    </row>
    <row r="870" ht="15" customHeight="1" s="11">
      <c r="A870" s="10" t="inlineStr">
        <is>
          <t>USR-100869</t>
        </is>
      </c>
      <c r="B870" s="14" t="n">
        <v>45683</v>
      </c>
      <c r="C870" s="10" t="inlineStr">
        <is>
          <t>Treatment</t>
        </is>
      </c>
      <c r="D870" s="10" t="inlineStr">
        <is>
          <t>West</t>
        </is>
      </c>
      <c r="E870" s="10" t="inlineStr">
        <is>
          <t>Desktop</t>
        </is>
      </c>
      <c r="F870" s="10" t="inlineStr">
        <is>
          <t>Organic</t>
        </is>
      </c>
      <c r="G870" s="10" t="inlineStr">
        <is>
          <t>Basic</t>
        </is>
      </c>
      <c r="H870" s="10" t="n">
        <v>0</v>
      </c>
      <c r="I870" s="10" t="n">
        <v>0</v>
      </c>
      <c r="J870" s="10" t="n">
        <v>0</v>
      </c>
      <c r="K870" s="10" t="n">
        <v>0</v>
      </c>
      <c r="L870" s="10" t="n">
        <v>0</v>
      </c>
      <c r="M870" s="10" t="n">
        <v>0</v>
      </c>
      <c r="N870" s="10" t="n">
        <v>0</v>
      </c>
      <c r="P870" s="10" t="n">
        <v>69.90000000000001</v>
      </c>
      <c r="Q870" s="10">
        <f>A870&amp;"|"&amp;B870&amp;"|"&amp;C870&amp;"|"&amp;D870&amp;"|"&amp;E870&amp;"|"&amp;F870&amp;"|"&amp;G870&amp;"|"&amp;H870&amp;"|"&amp;I870&amp;"|"&amp;J870&amp;"|"&amp;K870&amp;"|"&amp;L870&amp;"|"&amp;M870&amp;"|"&amp;N870&amp;"|"&amp;O870&amp;"|"&amp;P870</f>
        <v/>
      </c>
      <c r="R870" s="10">
        <f>IF(COUNTIF($Q$2:$Q$1409,Q870)&gt;1,IF(COUNTIF($Q$2:Q870,Q870)=1,"Exact Duplicate - Keep First","Exact Duplicate - Remove"),"Unique")</f>
        <v/>
      </c>
    </row>
    <row r="871" ht="15" customHeight="1" s="11">
      <c r="A871" s="10" t="inlineStr">
        <is>
          <t>USR-100870</t>
        </is>
      </c>
      <c r="B871" s="14" t="n">
        <v>45663</v>
      </c>
      <c r="C871" s="10" t="inlineStr">
        <is>
          <t>Treatment</t>
        </is>
      </c>
      <c r="D871" s="10" t="inlineStr">
        <is>
          <t>West</t>
        </is>
      </c>
      <c r="E871" s="10" t="inlineStr">
        <is>
          <t>Mobile</t>
        </is>
      </c>
      <c r="F871" s="10" t="inlineStr">
        <is>
          <t>Organic</t>
        </is>
      </c>
      <c r="G871" s="10" t="inlineStr">
        <is>
          <t>Free</t>
        </is>
      </c>
      <c r="H871" s="10" t="n">
        <v>0</v>
      </c>
      <c r="I871" s="10" t="n">
        <v>0</v>
      </c>
      <c r="J871" s="10" t="n">
        <v>0</v>
      </c>
      <c r="K871" s="10" t="n">
        <v>0</v>
      </c>
      <c r="L871" s="10" t="n">
        <v>0</v>
      </c>
      <c r="M871" s="10" t="n">
        <v>1</v>
      </c>
      <c r="N871" s="10" t="n">
        <v>0</v>
      </c>
      <c r="P871" s="10" t="n">
        <v>66.40000000000001</v>
      </c>
      <c r="Q871" s="10">
        <f>A871&amp;"|"&amp;B871&amp;"|"&amp;C871&amp;"|"&amp;D871&amp;"|"&amp;E871&amp;"|"&amp;F871&amp;"|"&amp;G871&amp;"|"&amp;H871&amp;"|"&amp;I871&amp;"|"&amp;J871&amp;"|"&amp;K871&amp;"|"&amp;L871&amp;"|"&amp;M871&amp;"|"&amp;N871&amp;"|"&amp;O871&amp;"|"&amp;P871</f>
        <v/>
      </c>
      <c r="R871" s="10">
        <f>IF(COUNTIF($Q$2:$Q$1409,Q871)&gt;1,IF(COUNTIF($Q$2:Q871,Q871)=1,"Exact Duplicate - Keep First","Exact Duplicate - Remove"),"Unique")</f>
        <v/>
      </c>
    </row>
    <row r="872" ht="15" customHeight="1" s="11">
      <c r="A872" s="10" t="inlineStr">
        <is>
          <t>USR-100871</t>
        </is>
      </c>
      <c r="B872" s="14" t="n">
        <v>45695</v>
      </c>
      <c r="C872" s="10" t="inlineStr">
        <is>
          <t>Treatment</t>
        </is>
      </c>
      <c r="D872" s="10" t="inlineStr">
        <is>
          <t>East</t>
        </is>
      </c>
      <c r="E872" s="10" t="inlineStr">
        <is>
          <t>Mobile</t>
        </is>
      </c>
      <c r="F872" s="10" t="inlineStr">
        <is>
          <t>Organic</t>
        </is>
      </c>
      <c r="G872" s="10" t="inlineStr">
        <is>
          <t>Free</t>
        </is>
      </c>
      <c r="H872" s="10" t="n">
        <v>1</v>
      </c>
      <c r="I872" s="10" t="n">
        <v>0</v>
      </c>
      <c r="J872" s="10" t="n">
        <v>0</v>
      </c>
      <c r="K872" s="10" t="n">
        <v>0</v>
      </c>
      <c r="L872" s="10" t="n">
        <v>0</v>
      </c>
      <c r="M872" s="10" t="n">
        <v>0</v>
      </c>
      <c r="N872" s="10" t="n">
        <v>0</v>
      </c>
      <c r="P872" s="10" t="n">
        <v>27.6</v>
      </c>
      <c r="Q872" s="10">
        <f>A872&amp;"|"&amp;B872&amp;"|"&amp;C872&amp;"|"&amp;D872&amp;"|"&amp;E872&amp;"|"&amp;F872&amp;"|"&amp;G872&amp;"|"&amp;H872&amp;"|"&amp;I872&amp;"|"&amp;J872&amp;"|"&amp;K872&amp;"|"&amp;L872&amp;"|"&amp;M872&amp;"|"&amp;N872&amp;"|"&amp;O872&amp;"|"&amp;P872</f>
        <v/>
      </c>
      <c r="R872" s="10">
        <f>IF(COUNTIF($Q$2:$Q$1409,Q872)&gt;1,IF(COUNTIF($Q$2:Q872,Q872)=1,"Exact Duplicate - Keep First","Exact Duplicate - Remove"),"Unique")</f>
        <v/>
      </c>
    </row>
    <row r="873" ht="15" customHeight="1" s="11">
      <c r="A873" s="10" t="inlineStr">
        <is>
          <t>USR-100872</t>
        </is>
      </c>
      <c r="B873" s="14" t="n">
        <v>45784</v>
      </c>
      <c r="C873" s="10" t="inlineStr">
        <is>
          <t>Treatment</t>
        </is>
      </c>
      <c r="D873" s="10" t="inlineStr">
        <is>
          <t>West</t>
        </is>
      </c>
      <c r="E873" s="10" t="inlineStr">
        <is>
          <t>Mobile</t>
        </is>
      </c>
      <c r="F873" s="10" t="inlineStr">
        <is>
          <t>Organic</t>
        </is>
      </c>
      <c r="G873" s="10" t="inlineStr">
        <is>
          <t>Premium</t>
        </is>
      </c>
      <c r="H873" s="10" t="n">
        <v>1</v>
      </c>
      <c r="I873" s="10" t="n">
        <v>0</v>
      </c>
      <c r="J873" s="10" t="n">
        <v>0</v>
      </c>
      <c r="K873" s="10" t="n">
        <v>0</v>
      </c>
      <c r="L873" s="10" t="n">
        <v>0</v>
      </c>
      <c r="M873" s="10" t="n">
        <v>1</v>
      </c>
      <c r="N873" s="10" t="n">
        <v>0</v>
      </c>
      <c r="P873" s="10" t="n">
        <v>56.5</v>
      </c>
      <c r="Q873" s="10">
        <f>A873&amp;"|"&amp;B873&amp;"|"&amp;C873&amp;"|"&amp;D873&amp;"|"&amp;E873&amp;"|"&amp;F873&amp;"|"&amp;G873&amp;"|"&amp;H873&amp;"|"&amp;I873&amp;"|"&amp;J873&amp;"|"&amp;K873&amp;"|"&amp;L873&amp;"|"&amp;M873&amp;"|"&amp;N873&amp;"|"&amp;O873&amp;"|"&amp;P873</f>
        <v/>
      </c>
      <c r="R873" s="10">
        <f>IF(COUNTIF($Q$2:$Q$1409,Q873)&gt;1,IF(COUNTIF($Q$2:Q873,Q873)=1,"Exact Duplicate - Keep First","Exact Duplicate - Remove"),"Unique")</f>
        <v/>
      </c>
    </row>
    <row r="874" ht="15" customHeight="1" s="11">
      <c r="A874" s="10" t="inlineStr">
        <is>
          <t>USR-100873</t>
        </is>
      </c>
      <c r="B874" s="14" t="n">
        <v>45769</v>
      </c>
      <c r="C874" s="10" t="inlineStr">
        <is>
          <t>Treatment</t>
        </is>
      </c>
      <c r="D874" s="10" t="inlineStr">
        <is>
          <t>West</t>
        </is>
      </c>
      <c r="F874" s="10" t="inlineStr">
        <is>
          <t>Social</t>
        </is>
      </c>
      <c r="G874" s="10" t="inlineStr">
        <is>
          <t>Free</t>
        </is>
      </c>
      <c r="H874" s="10" t="n">
        <v>1</v>
      </c>
      <c r="I874" s="10" t="n">
        <v>0</v>
      </c>
      <c r="J874" s="10" t="n">
        <v>0</v>
      </c>
      <c r="K874" s="10" t="n">
        <v>0</v>
      </c>
      <c r="L874" s="10" t="n">
        <v>0</v>
      </c>
      <c r="M874" s="10" t="n">
        <v>0</v>
      </c>
      <c r="N874" s="10" t="n">
        <v>0</v>
      </c>
      <c r="P874" s="10" t="n">
        <v>67.8</v>
      </c>
      <c r="Q874" s="10">
        <f>A874&amp;"|"&amp;B874&amp;"|"&amp;C874&amp;"|"&amp;D874&amp;"|"&amp;E874&amp;"|"&amp;F874&amp;"|"&amp;G874&amp;"|"&amp;H874&amp;"|"&amp;I874&amp;"|"&amp;J874&amp;"|"&amp;K874&amp;"|"&amp;L874&amp;"|"&amp;M874&amp;"|"&amp;N874&amp;"|"&amp;O874&amp;"|"&amp;P874</f>
        <v/>
      </c>
      <c r="R874" s="10">
        <f>IF(COUNTIF($Q$2:$Q$1409,Q874)&gt;1,IF(COUNTIF($Q$2:Q874,Q874)=1,"Exact Duplicate - Keep First","Exact Duplicate - Remove"),"Unique")</f>
        <v/>
      </c>
    </row>
    <row r="875" ht="15" customHeight="1" s="11">
      <c r="A875" s="10" t="inlineStr">
        <is>
          <t>USR-100874</t>
        </is>
      </c>
      <c r="B875" s="14" t="n">
        <v>45781</v>
      </c>
      <c r="C875" s="10" t="inlineStr">
        <is>
          <t>Treatment</t>
        </is>
      </c>
      <c r="D875" s="10" t="inlineStr">
        <is>
          <t>West</t>
        </is>
      </c>
      <c r="E875" s="10" t="inlineStr">
        <is>
          <t>Desktop</t>
        </is>
      </c>
      <c r="F875" s="10" t="inlineStr">
        <is>
          <t>Social</t>
        </is>
      </c>
      <c r="G875" s="10" t="inlineStr">
        <is>
          <t>Free</t>
        </is>
      </c>
      <c r="H875" s="10" t="n">
        <v>1</v>
      </c>
      <c r="I875" s="10" t="n">
        <v>0</v>
      </c>
      <c r="J875" s="10" t="n">
        <v>0</v>
      </c>
      <c r="K875" s="10" t="n">
        <v>0</v>
      </c>
      <c r="L875" s="10" t="n">
        <v>0</v>
      </c>
      <c r="M875" s="10" t="n">
        <v>0</v>
      </c>
      <c r="N875" s="10" t="n">
        <v>0</v>
      </c>
      <c r="P875" s="10" t="n">
        <v>80</v>
      </c>
      <c r="Q875" s="10">
        <f>A875&amp;"|"&amp;B875&amp;"|"&amp;C875&amp;"|"&amp;D875&amp;"|"&amp;E875&amp;"|"&amp;F875&amp;"|"&amp;G875&amp;"|"&amp;H875&amp;"|"&amp;I875&amp;"|"&amp;J875&amp;"|"&amp;K875&amp;"|"&amp;L875&amp;"|"&amp;M875&amp;"|"&amp;N875&amp;"|"&amp;O875&amp;"|"&amp;P875</f>
        <v/>
      </c>
      <c r="R875" s="10">
        <f>IF(COUNTIF($Q$2:$Q$1409,Q875)&gt;1,IF(COUNTIF($Q$2:Q875,Q875)=1,"Exact Duplicate - Keep First","Exact Duplicate - Remove"),"Unique")</f>
        <v/>
      </c>
    </row>
    <row r="876" ht="15" customHeight="1" s="11">
      <c r="A876" s="10" t="inlineStr">
        <is>
          <t>USR-100875</t>
        </is>
      </c>
      <c r="B876" s="14" t="n">
        <v>45793</v>
      </c>
      <c r="C876" s="10" t="inlineStr">
        <is>
          <t>Treatment</t>
        </is>
      </c>
      <c r="D876" s="10" t="inlineStr">
        <is>
          <t>South</t>
        </is>
      </c>
      <c r="E876" s="10" t="inlineStr">
        <is>
          <t>Mobile</t>
        </is>
      </c>
      <c r="F876" s="10" t="inlineStr">
        <is>
          <t>Social</t>
        </is>
      </c>
      <c r="G876" s="10" t="inlineStr">
        <is>
          <t>Basic</t>
        </is>
      </c>
      <c r="H876" s="10" t="n">
        <v>1</v>
      </c>
      <c r="I876" s="10" t="n">
        <v>1</v>
      </c>
      <c r="J876" s="10" t="n">
        <v>1</v>
      </c>
      <c r="K876" s="10" t="n">
        <v>0</v>
      </c>
      <c r="L876" s="10" t="n">
        <v>0</v>
      </c>
      <c r="M876" s="10" t="n">
        <v>1</v>
      </c>
      <c r="N876" s="10" t="n">
        <v>0</v>
      </c>
      <c r="P876" s="10" t="n">
        <v>80.90000000000001</v>
      </c>
      <c r="Q876" s="10">
        <f>A876&amp;"|"&amp;B876&amp;"|"&amp;C876&amp;"|"&amp;D876&amp;"|"&amp;E876&amp;"|"&amp;F876&amp;"|"&amp;G876&amp;"|"&amp;H876&amp;"|"&amp;I876&amp;"|"&amp;J876&amp;"|"&amp;K876&amp;"|"&amp;L876&amp;"|"&amp;M876&amp;"|"&amp;N876&amp;"|"&amp;O876&amp;"|"&amp;P876</f>
        <v/>
      </c>
      <c r="R876" s="10">
        <f>IF(COUNTIF($Q$2:$Q$1409,Q876)&gt;1,IF(COUNTIF($Q$2:Q876,Q876)=1,"Exact Duplicate - Keep First","Exact Duplicate - Remove"),"Unique")</f>
        <v/>
      </c>
    </row>
    <row r="877" ht="15" customHeight="1" s="11">
      <c r="A877" s="10" t="inlineStr">
        <is>
          <t>USR-100876</t>
        </is>
      </c>
      <c r="B877" s="14" t="n">
        <v>45699</v>
      </c>
      <c r="C877" s="10" t="inlineStr">
        <is>
          <t>Treatment</t>
        </is>
      </c>
      <c r="D877" s="10" t="inlineStr">
        <is>
          <t>West</t>
        </is>
      </c>
      <c r="E877" s="10" t="inlineStr">
        <is>
          <t>Mobile</t>
        </is>
      </c>
      <c r="F877" s="10" t="inlineStr">
        <is>
          <t>Paid Search</t>
        </is>
      </c>
      <c r="G877" s="10" t="inlineStr">
        <is>
          <t>Free</t>
        </is>
      </c>
      <c r="H877" s="10" t="n">
        <v>0</v>
      </c>
      <c r="I877" s="10" t="n">
        <v>0</v>
      </c>
      <c r="J877" s="10" t="n">
        <v>0</v>
      </c>
      <c r="K877" s="10" t="n">
        <v>0</v>
      </c>
      <c r="L877" s="10" t="n">
        <v>0</v>
      </c>
      <c r="M877" s="10" t="n">
        <v>0</v>
      </c>
      <c r="N877" s="10" t="n">
        <v>0</v>
      </c>
      <c r="P877" s="10" t="n">
        <v>34.5</v>
      </c>
      <c r="Q877" s="10">
        <f>A877&amp;"|"&amp;B877&amp;"|"&amp;C877&amp;"|"&amp;D877&amp;"|"&amp;E877&amp;"|"&amp;F877&amp;"|"&amp;G877&amp;"|"&amp;H877&amp;"|"&amp;I877&amp;"|"&amp;J877&amp;"|"&amp;K877&amp;"|"&amp;L877&amp;"|"&amp;M877&amp;"|"&amp;N877&amp;"|"&amp;O877&amp;"|"&amp;P877</f>
        <v/>
      </c>
      <c r="R877" s="10">
        <f>IF(COUNTIF($Q$2:$Q$1409,Q877)&gt;1,IF(COUNTIF($Q$2:Q877,Q877)=1,"Exact Duplicate - Keep First","Exact Duplicate - Remove"),"Unique")</f>
        <v/>
      </c>
    </row>
    <row r="878" ht="15" customHeight="1" s="11">
      <c r="A878" s="10" t="inlineStr">
        <is>
          <t>USR-100877</t>
        </is>
      </c>
      <c r="B878" s="14" t="n">
        <v>45786</v>
      </c>
      <c r="C878" s="10" t="inlineStr">
        <is>
          <t>Treatment</t>
        </is>
      </c>
      <c r="D878" s="10" t="inlineStr">
        <is>
          <t>East</t>
        </is>
      </c>
      <c r="E878" s="10" t="inlineStr">
        <is>
          <t>Desktop</t>
        </is>
      </c>
      <c r="F878" s="10" t="inlineStr">
        <is>
          <t>Organic</t>
        </is>
      </c>
      <c r="G878" s="10" t="inlineStr">
        <is>
          <t>Premium</t>
        </is>
      </c>
      <c r="H878" s="10" t="n">
        <v>1</v>
      </c>
      <c r="I878" s="10" t="n">
        <v>0</v>
      </c>
      <c r="J878" s="10" t="n">
        <v>0</v>
      </c>
      <c r="K878" s="10" t="n">
        <v>0</v>
      </c>
      <c r="L878" s="10" t="n">
        <v>0</v>
      </c>
      <c r="M878" s="10" t="n">
        <v>0</v>
      </c>
      <c r="N878" s="10" t="n">
        <v>0</v>
      </c>
      <c r="P878" s="10" t="n">
        <v>73.5</v>
      </c>
      <c r="Q878" s="10">
        <f>A878&amp;"|"&amp;B878&amp;"|"&amp;C878&amp;"|"&amp;D878&amp;"|"&amp;E878&amp;"|"&amp;F878&amp;"|"&amp;G878&amp;"|"&amp;H878&amp;"|"&amp;I878&amp;"|"&amp;J878&amp;"|"&amp;K878&amp;"|"&amp;L878&amp;"|"&amp;M878&amp;"|"&amp;N878&amp;"|"&amp;O878&amp;"|"&amp;P878</f>
        <v/>
      </c>
      <c r="R878" s="10">
        <f>IF(COUNTIF($Q$2:$Q$1409,Q878)&gt;1,IF(COUNTIF($Q$2:Q878,Q878)=1,"Exact Duplicate - Keep First","Exact Duplicate - Remove"),"Unique")</f>
        <v/>
      </c>
    </row>
    <row r="879" ht="15" customHeight="1" s="11">
      <c r="A879" s="10" t="inlineStr">
        <is>
          <t>USR-100878</t>
        </is>
      </c>
      <c r="B879" s="14" t="n">
        <v>45697</v>
      </c>
      <c r="C879" s="10" t="inlineStr">
        <is>
          <t>Treatment</t>
        </is>
      </c>
      <c r="D879" s="10" t="inlineStr">
        <is>
          <t>South</t>
        </is>
      </c>
      <c r="E879" s="10" t="inlineStr">
        <is>
          <t>Desktop</t>
        </is>
      </c>
      <c r="F879" s="10" t="inlineStr">
        <is>
          <t>Paid Search</t>
        </is>
      </c>
      <c r="G879" s="10" t="inlineStr">
        <is>
          <t>Free</t>
        </is>
      </c>
      <c r="H879" s="10" t="n">
        <v>1</v>
      </c>
      <c r="I879" s="10" t="n">
        <v>1</v>
      </c>
      <c r="J879" s="10" t="n">
        <v>0</v>
      </c>
      <c r="K879" s="10" t="n">
        <v>0</v>
      </c>
      <c r="L879" s="10" t="n">
        <v>0</v>
      </c>
      <c r="M879" s="10" t="n">
        <v>0</v>
      </c>
      <c r="N879" s="10" t="n">
        <v>0</v>
      </c>
      <c r="P879" s="10" t="n">
        <v>70</v>
      </c>
      <c r="Q879" s="10">
        <f>A879&amp;"|"&amp;B879&amp;"|"&amp;C879&amp;"|"&amp;D879&amp;"|"&amp;E879&amp;"|"&amp;F879&amp;"|"&amp;G879&amp;"|"&amp;H879&amp;"|"&amp;I879&amp;"|"&amp;J879&amp;"|"&amp;K879&amp;"|"&amp;L879&amp;"|"&amp;M879&amp;"|"&amp;N879&amp;"|"&amp;O879&amp;"|"&amp;P879</f>
        <v/>
      </c>
      <c r="R879" s="10">
        <f>IF(COUNTIF($Q$2:$Q$1409,Q879)&gt;1,IF(COUNTIF($Q$2:Q879,Q879)=1,"Exact Duplicate - Keep First","Exact Duplicate - Remove"),"Unique")</f>
        <v/>
      </c>
    </row>
    <row r="880" ht="15" customHeight="1" s="11">
      <c r="A880" s="10" t="inlineStr">
        <is>
          <t>USR-100879</t>
        </is>
      </c>
      <c r="B880" s="14" t="n">
        <v>45799</v>
      </c>
      <c r="C880" s="10" t="inlineStr">
        <is>
          <t>Treatment</t>
        </is>
      </c>
      <c r="D880" s="10" t="inlineStr">
        <is>
          <t>West</t>
        </is>
      </c>
      <c r="E880" s="10" t="inlineStr">
        <is>
          <t>Mobile</t>
        </is>
      </c>
      <c r="F880" s="10" t="inlineStr">
        <is>
          <t>Social</t>
        </is>
      </c>
      <c r="G880" s="10" t="inlineStr">
        <is>
          <t>Basic</t>
        </is>
      </c>
      <c r="H880" s="10" t="n">
        <v>0</v>
      </c>
      <c r="I880" s="10" t="n">
        <v>0</v>
      </c>
      <c r="J880" s="10" t="n">
        <v>0</v>
      </c>
      <c r="K880" s="10" t="n">
        <v>0</v>
      </c>
      <c r="L880" s="10" t="n">
        <v>0</v>
      </c>
      <c r="M880" s="10" t="n">
        <v>0</v>
      </c>
      <c r="N880" s="10" t="n">
        <v>0</v>
      </c>
      <c r="P880" s="10" t="n">
        <v>86.90000000000001</v>
      </c>
      <c r="Q880" s="10">
        <f>A880&amp;"|"&amp;B880&amp;"|"&amp;C880&amp;"|"&amp;D880&amp;"|"&amp;E880&amp;"|"&amp;F880&amp;"|"&amp;G880&amp;"|"&amp;H880&amp;"|"&amp;I880&amp;"|"&amp;J880&amp;"|"&amp;K880&amp;"|"&amp;L880&amp;"|"&amp;M880&amp;"|"&amp;N880&amp;"|"&amp;O880&amp;"|"&amp;P880</f>
        <v/>
      </c>
      <c r="R880" s="10">
        <f>IF(COUNTIF($Q$2:$Q$1409,Q880)&gt;1,IF(COUNTIF($Q$2:Q880,Q880)=1,"Exact Duplicate - Keep First","Exact Duplicate - Remove"),"Unique")</f>
        <v/>
      </c>
    </row>
    <row r="881" ht="15" customHeight="1" s="11">
      <c r="A881" s="10" t="inlineStr">
        <is>
          <t>USR-100880</t>
        </is>
      </c>
      <c r="B881" s="14" t="n">
        <v>45801</v>
      </c>
      <c r="C881" s="10" t="inlineStr">
        <is>
          <t>Treatment</t>
        </is>
      </c>
      <c r="D881" s="10" t="inlineStr">
        <is>
          <t>East</t>
        </is>
      </c>
      <c r="E881" s="10" t="inlineStr">
        <is>
          <t>Mobile</t>
        </is>
      </c>
      <c r="F881" s="10" t="inlineStr">
        <is>
          <t>Social</t>
        </is>
      </c>
      <c r="G881" s="10" t="inlineStr">
        <is>
          <t>Basic</t>
        </is>
      </c>
      <c r="H881" s="10" t="n">
        <v>0</v>
      </c>
      <c r="I881" s="10" t="n">
        <v>0</v>
      </c>
      <c r="J881" s="10" t="n">
        <v>0</v>
      </c>
      <c r="K881" s="10" t="n">
        <v>0</v>
      </c>
      <c r="L881" s="10" t="n">
        <v>0</v>
      </c>
      <c r="M881" s="10" t="n">
        <v>0</v>
      </c>
      <c r="N881" s="10" t="n">
        <v>0</v>
      </c>
      <c r="P881" s="10" t="n">
        <v>66.90000000000001</v>
      </c>
      <c r="Q881" s="10">
        <f>A881&amp;"|"&amp;B881&amp;"|"&amp;C881&amp;"|"&amp;D881&amp;"|"&amp;E881&amp;"|"&amp;F881&amp;"|"&amp;G881&amp;"|"&amp;H881&amp;"|"&amp;I881&amp;"|"&amp;J881&amp;"|"&amp;K881&amp;"|"&amp;L881&amp;"|"&amp;M881&amp;"|"&amp;N881&amp;"|"&amp;O881&amp;"|"&amp;P881</f>
        <v/>
      </c>
      <c r="R881" s="10">
        <f>IF(COUNTIF($Q$2:$Q$1409,Q881)&gt;1,IF(COUNTIF($Q$2:Q881,Q881)=1,"Exact Duplicate - Keep First","Exact Duplicate - Remove"),"Unique")</f>
        <v/>
      </c>
    </row>
    <row r="882" ht="15" customHeight="1" s="11">
      <c r="A882" s="10" t="inlineStr">
        <is>
          <t>USR-100881</t>
        </is>
      </c>
      <c r="B882" s="14" t="n">
        <v>45774</v>
      </c>
      <c r="C882" s="10" t="inlineStr">
        <is>
          <t>Treatment</t>
        </is>
      </c>
      <c r="D882" s="10" t="inlineStr">
        <is>
          <t>South</t>
        </is>
      </c>
      <c r="E882" s="10" t="inlineStr">
        <is>
          <t>Desktop</t>
        </is>
      </c>
      <c r="F882" s="10" t="inlineStr">
        <is>
          <t>Social</t>
        </is>
      </c>
      <c r="G882" s="10" t="inlineStr">
        <is>
          <t>Basic</t>
        </is>
      </c>
      <c r="H882" s="10" t="n">
        <v>1</v>
      </c>
      <c r="I882" s="10" t="n">
        <v>1</v>
      </c>
      <c r="J882" s="10" t="n">
        <v>1</v>
      </c>
      <c r="K882" s="10" t="n">
        <v>0</v>
      </c>
      <c r="L882" s="10" t="n">
        <v>0</v>
      </c>
      <c r="M882" s="10" t="n">
        <v>0</v>
      </c>
      <c r="N882" s="10" t="n">
        <v>0</v>
      </c>
      <c r="P882" s="10" t="n">
        <v>58.3</v>
      </c>
      <c r="Q882" s="10">
        <f>A882&amp;"|"&amp;B882&amp;"|"&amp;C882&amp;"|"&amp;D882&amp;"|"&amp;E882&amp;"|"&amp;F882&amp;"|"&amp;G882&amp;"|"&amp;H882&amp;"|"&amp;I882&amp;"|"&amp;J882&amp;"|"&amp;K882&amp;"|"&amp;L882&amp;"|"&amp;M882&amp;"|"&amp;N882&amp;"|"&amp;O882&amp;"|"&amp;P882</f>
        <v/>
      </c>
      <c r="R882" s="10">
        <f>IF(COUNTIF($Q$2:$Q$1409,Q882)&gt;1,IF(COUNTIF($Q$2:Q882,Q882)=1,"Exact Duplicate - Keep First","Exact Duplicate - Remove"),"Unique")</f>
        <v/>
      </c>
    </row>
    <row r="883" ht="15" customHeight="1" s="11">
      <c r="A883" s="10" t="inlineStr">
        <is>
          <t>USR-100882</t>
        </is>
      </c>
      <c r="B883" s="14" t="n">
        <v>45735</v>
      </c>
      <c r="C883" s="10" t="inlineStr">
        <is>
          <t>Treatment</t>
        </is>
      </c>
      <c r="D883" s="10" t="inlineStr">
        <is>
          <t>East</t>
        </is>
      </c>
      <c r="E883" s="10" t="inlineStr">
        <is>
          <t>Mobile</t>
        </is>
      </c>
      <c r="F883" s="10" t="inlineStr">
        <is>
          <t>Paid Search</t>
        </is>
      </c>
      <c r="G883" s="10" t="inlineStr">
        <is>
          <t>Free</t>
        </is>
      </c>
      <c r="H883" s="10" t="n">
        <v>1</v>
      </c>
      <c r="I883" s="10" t="n">
        <v>0</v>
      </c>
      <c r="J883" s="10" t="n">
        <v>0</v>
      </c>
      <c r="K883" s="10" t="n">
        <v>0</v>
      </c>
      <c r="L883" s="10" t="n">
        <v>0</v>
      </c>
      <c r="M883" s="10" t="n">
        <v>0</v>
      </c>
      <c r="N883" s="10" t="n">
        <v>0</v>
      </c>
      <c r="P883" s="10" t="n">
        <v>45</v>
      </c>
      <c r="Q883" s="10">
        <f>A883&amp;"|"&amp;B883&amp;"|"&amp;C883&amp;"|"&amp;D883&amp;"|"&amp;E883&amp;"|"&amp;F883&amp;"|"&amp;G883&amp;"|"&amp;H883&amp;"|"&amp;I883&amp;"|"&amp;J883&amp;"|"&amp;K883&amp;"|"&amp;L883&amp;"|"&amp;M883&amp;"|"&amp;N883&amp;"|"&amp;O883&amp;"|"&amp;P883</f>
        <v/>
      </c>
      <c r="R883" s="10">
        <f>IF(COUNTIF($Q$2:$Q$1409,Q883)&gt;1,IF(COUNTIF($Q$2:Q883,Q883)=1,"Exact Duplicate - Keep First","Exact Duplicate - Remove"),"Unique")</f>
        <v/>
      </c>
    </row>
    <row r="884" ht="15" customHeight="1" s="11">
      <c r="A884" s="10" t="inlineStr">
        <is>
          <t>USR-100883</t>
        </is>
      </c>
      <c r="B884" s="14" t="n">
        <v>45797</v>
      </c>
      <c r="C884" s="10" t="inlineStr">
        <is>
          <t>Treatment</t>
        </is>
      </c>
      <c r="D884" s="10" t="inlineStr">
        <is>
          <t>South</t>
        </is>
      </c>
      <c r="E884" s="10" t="inlineStr">
        <is>
          <t>Mobile</t>
        </is>
      </c>
      <c r="F884" s="10" t="inlineStr">
        <is>
          <t>Organic</t>
        </is>
      </c>
      <c r="G884" s="10" t="inlineStr">
        <is>
          <t>Premium</t>
        </is>
      </c>
      <c r="H884" s="10" t="n">
        <v>0</v>
      </c>
      <c r="I884" s="10" t="n">
        <v>0</v>
      </c>
      <c r="J884" s="10" t="n">
        <v>0</v>
      </c>
      <c r="K884" s="10" t="n">
        <v>0</v>
      </c>
      <c r="L884" s="10" t="n">
        <v>0</v>
      </c>
      <c r="M884" s="10" t="n">
        <v>0</v>
      </c>
      <c r="N884" s="10" t="n">
        <v>0</v>
      </c>
      <c r="P884" s="10" t="n">
        <v>60.8</v>
      </c>
      <c r="Q884" s="10">
        <f>A884&amp;"|"&amp;B884&amp;"|"&amp;C884&amp;"|"&amp;D884&amp;"|"&amp;E884&amp;"|"&amp;F884&amp;"|"&amp;G884&amp;"|"&amp;H884&amp;"|"&amp;I884&amp;"|"&amp;J884&amp;"|"&amp;K884&amp;"|"&amp;L884&amp;"|"&amp;M884&amp;"|"&amp;N884&amp;"|"&amp;O884&amp;"|"&amp;P884</f>
        <v/>
      </c>
      <c r="R884" s="10">
        <f>IF(COUNTIF($Q$2:$Q$1409,Q884)&gt;1,IF(COUNTIF($Q$2:Q884,Q884)=1,"Exact Duplicate - Keep First","Exact Duplicate - Remove"),"Unique")</f>
        <v/>
      </c>
    </row>
    <row r="885" ht="15" customHeight="1" s="11">
      <c r="A885" s="10" t="inlineStr">
        <is>
          <t>USR-100884</t>
        </is>
      </c>
      <c r="B885" s="14" t="n">
        <v>45787</v>
      </c>
      <c r="C885" s="10" t="inlineStr">
        <is>
          <t>Treatment</t>
        </is>
      </c>
      <c r="D885" s="10" t="inlineStr">
        <is>
          <t>North</t>
        </is>
      </c>
      <c r="E885" s="10" t="inlineStr">
        <is>
          <t>Mobile</t>
        </is>
      </c>
      <c r="F885" s="10" t="inlineStr">
        <is>
          <t>Email</t>
        </is>
      </c>
      <c r="G885" s="10" t="inlineStr">
        <is>
          <t>Premium</t>
        </is>
      </c>
      <c r="H885" s="10" t="n">
        <v>1</v>
      </c>
      <c r="I885" s="10" t="n">
        <v>0</v>
      </c>
      <c r="J885" s="10" t="n">
        <v>0</v>
      </c>
      <c r="K885" s="10" t="n">
        <v>0</v>
      </c>
      <c r="L885" s="10" t="n">
        <v>0</v>
      </c>
      <c r="M885" s="10" t="n">
        <v>4</v>
      </c>
      <c r="N885" s="10" t="n">
        <v>0</v>
      </c>
      <c r="P885" s="10" t="n">
        <v>53.7</v>
      </c>
      <c r="Q885" s="10">
        <f>A885&amp;"|"&amp;B885&amp;"|"&amp;C885&amp;"|"&amp;D885&amp;"|"&amp;E885&amp;"|"&amp;F885&amp;"|"&amp;G885&amp;"|"&amp;H885&amp;"|"&amp;I885&amp;"|"&amp;J885&amp;"|"&amp;K885&amp;"|"&amp;L885&amp;"|"&amp;M885&amp;"|"&amp;N885&amp;"|"&amp;O885&amp;"|"&amp;P885</f>
        <v/>
      </c>
      <c r="R885" s="10">
        <f>IF(COUNTIF($Q$2:$Q$1409,Q885)&gt;1,IF(COUNTIF($Q$2:Q885,Q885)=1,"Exact Duplicate - Keep First","Exact Duplicate - Remove"),"Unique")</f>
        <v/>
      </c>
    </row>
    <row r="886" ht="15" customHeight="1" s="11">
      <c r="A886" s="10" t="inlineStr">
        <is>
          <t>USR-100885</t>
        </is>
      </c>
      <c r="B886" s="14" t="n">
        <v>45745</v>
      </c>
      <c r="C886" s="10" t="inlineStr">
        <is>
          <t>Treatment</t>
        </is>
      </c>
      <c r="D886" s="10" t="inlineStr">
        <is>
          <t>East</t>
        </is>
      </c>
      <c r="E886" s="10" t="inlineStr">
        <is>
          <t>Mobile</t>
        </is>
      </c>
      <c r="F886" s="10" t="inlineStr">
        <is>
          <t>Social</t>
        </is>
      </c>
      <c r="G886" s="10" t="inlineStr">
        <is>
          <t>Free</t>
        </is>
      </c>
      <c r="H886" s="10" t="n">
        <v>1</v>
      </c>
      <c r="I886" s="10" t="n">
        <v>1</v>
      </c>
      <c r="J886" s="10" t="n">
        <v>1</v>
      </c>
      <c r="K886" s="10" t="n">
        <v>0</v>
      </c>
      <c r="L886" s="10" t="n">
        <v>0</v>
      </c>
      <c r="M886" s="10" t="n">
        <v>0</v>
      </c>
      <c r="N886" s="10" t="n">
        <v>0</v>
      </c>
      <c r="P886" s="10" t="n">
        <v>48.8</v>
      </c>
      <c r="Q886" s="10">
        <f>A886&amp;"|"&amp;B886&amp;"|"&amp;C886&amp;"|"&amp;D886&amp;"|"&amp;E886&amp;"|"&amp;F886&amp;"|"&amp;G886&amp;"|"&amp;H886&amp;"|"&amp;I886&amp;"|"&amp;J886&amp;"|"&amp;K886&amp;"|"&amp;L886&amp;"|"&amp;M886&amp;"|"&amp;N886&amp;"|"&amp;O886&amp;"|"&amp;P886</f>
        <v/>
      </c>
      <c r="R886" s="10">
        <f>IF(COUNTIF($Q$2:$Q$1409,Q886)&gt;1,IF(COUNTIF($Q$2:Q886,Q886)=1,"Exact Duplicate - Keep First","Exact Duplicate - Remove"),"Unique")</f>
        <v/>
      </c>
    </row>
    <row r="887" ht="15" customHeight="1" s="11">
      <c r="A887" s="10" t="inlineStr">
        <is>
          <t>USR-100886</t>
        </is>
      </c>
      <c r="B887" s="14" t="n">
        <v>45750</v>
      </c>
      <c r="C887" s="10" t="inlineStr">
        <is>
          <t>Treatment</t>
        </is>
      </c>
      <c r="D887" s="10" t="inlineStr">
        <is>
          <t>West</t>
        </is>
      </c>
      <c r="E887" s="10" t="inlineStr">
        <is>
          <t>Desktop</t>
        </is>
      </c>
      <c r="F887" s="10" t="inlineStr">
        <is>
          <t>Referral</t>
        </is>
      </c>
      <c r="G887" s="10" t="inlineStr">
        <is>
          <t>Basic</t>
        </is>
      </c>
      <c r="H887" s="10" t="n">
        <v>0</v>
      </c>
      <c r="I887" s="10" t="n">
        <v>0</v>
      </c>
      <c r="J887" s="10" t="n">
        <v>0</v>
      </c>
      <c r="K887" s="10" t="n">
        <v>0</v>
      </c>
      <c r="L887" s="10" t="n">
        <v>0</v>
      </c>
      <c r="M887" s="10" t="n">
        <v>0</v>
      </c>
      <c r="N887" s="10" t="n">
        <v>0</v>
      </c>
      <c r="P887" s="10" t="n">
        <v>52.9</v>
      </c>
      <c r="Q887" s="10">
        <f>A887&amp;"|"&amp;B887&amp;"|"&amp;C887&amp;"|"&amp;D887&amp;"|"&amp;E887&amp;"|"&amp;F887&amp;"|"&amp;G887&amp;"|"&amp;H887&amp;"|"&amp;I887&amp;"|"&amp;J887&amp;"|"&amp;K887&amp;"|"&amp;L887&amp;"|"&amp;M887&amp;"|"&amp;N887&amp;"|"&amp;O887&amp;"|"&amp;P887</f>
        <v/>
      </c>
      <c r="R887" s="10">
        <f>IF(COUNTIF($Q$2:$Q$1409,Q887)&gt;1,IF(COUNTIF($Q$2:Q887,Q887)=1,"Exact Duplicate - Keep First","Exact Duplicate - Remove"),"Unique")</f>
        <v/>
      </c>
    </row>
    <row r="888" ht="15" customHeight="1" s="11">
      <c r="A888" s="10" t="inlineStr">
        <is>
          <t>USR-100887</t>
        </is>
      </c>
      <c r="B888" s="14" t="n">
        <v>45807</v>
      </c>
      <c r="C888" s="10" t="inlineStr">
        <is>
          <t>Treatment</t>
        </is>
      </c>
      <c r="D888" s="10" t="inlineStr">
        <is>
          <t>South</t>
        </is>
      </c>
      <c r="E888" s="10" t="inlineStr">
        <is>
          <t>Mobile</t>
        </is>
      </c>
      <c r="F888" s="10" t="inlineStr">
        <is>
          <t>Email</t>
        </is>
      </c>
      <c r="G888" s="10" t="inlineStr">
        <is>
          <t>Free</t>
        </is>
      </c>
      <c r="H888" s="10" t="n">
        <v>1</v>
      </c>
      <c r="I888" s="10" t="n">
        <v>0</v>
      </c>
      <c r="J888" s="10" t="n">
        <v>0</v>
      </c>
      <c r="K888" s="10" t="n">
        <v>0</v>
      </c>
      <c r="L888" s="10" t="n">
        <v>0</v>
      </c>
      <c r="M888" s="10" t="n">
        <v>0</v>
      </c>
      <c r="N888" s="10" t="n">
        <v>0</v>
      </c>
      <c r="P888" s="10" t="n">
        <v>42.4</v>
      </c>
      <c r="Q888" s="10">
        <f>A888&amp;"|"&amp;B888&amp;"|"&amp;C888&amp;"|"&amp;D888&amp;"|"&amp;E888&amp;"|"&amp;F888&amp;"|"&amp;G888&amp;"|"&amp;H888&amp;"|"&amp;I888&amp;"|"&amp;J888&amp;"|"&amp;K888&amp;"|"&amp;L888&amp;"|"&amp;M888&amp;"|"&amp;N888&amp;"|"&amp;O888&amp;"|"&amp;P888</f>
        <v/>
      </c>
      <c r="R888" s="10">
        <f>IF(COUNTIF($Q$2:$Q$1409,Q888)&gt;1,IF(COUNTIF($Q$2:Q888,Q888)=1,"Exact Duplicate - Keep First","Exact Duplicate - Remove"),"Unique")</f>
        <v/>
      </c>
    </row>
    <row r="889" ht="15" customHeight="1" s="11">
      <c r="A889" s="10" t="inlineStr">
        <is>
          <t>USR-100888</t>
        </is>
      </c>
      <c r="B889" s="14" t="n">
        <v>45753</v>
      </c>
      <c r="C889" s="10" t="inlineStr">
        <is>
          <t>Treatment</t>
        </is>
      </c>
      <c r="D889" s="10" t="inlineStr">
        <is>
          <t>East</t>
        </is>
      </c>
      <c r="E889" s="10" t="inlineStr">
        <is>
          <t>Desktop</t>
        </is>
      </c>
      <c r="F889" s="10" t="inlineStr">
        <is>
          <t>Email</t>
        </is>
      </c>
      <c r="G889" s="10" t="inlineStr">
        <is>
          <t>Free</t>
        </is>
      </c>
      <c r="H889" s="10" t="n">
        <v>1</v>
      </c>
      <c r="I889" s="10" t="n">
        <v>0</v>
      </c>
      <c r="J889" s="10" t="n">
        <v>0</v>
      </c>
      <c r="K889" s="10" t="n">
        <v>0</v>
      </c>
      <c r="L889" s="10" t="n">
        <v>0</v>
      </c>
      <c r="M889" s="10" t="n">
        <v>0</v>
      </c>
      <c r="N889" s="10" t="n">
        <v>0</v>
      </c>
      <c r="P889" s="10" t="n">
        <v>58.7</v>
      </c>
      <c r="Q889" s="10">
        <f>A889&amp;"|"&amp;B889&amp;"|"&amp;C889&amp;"|"&amp;D889&amp;"|"&amp;E889&amp;"|"&amp;F889&amp;"|"&amp;G889&amp;"|"&amp;H889&amp;"|"&amp;I889&amp;"|"&amp;J889&amp;"|"&amp;K889&amp;"|"&amp;L889&amp;"|"&amp;M889&amp;"|"&amp;N889&amp;"|"&amp;O889&amp;"|"&amp;P889</f>
        <v/>
      </c>
      <c r="R889" s="10">
        <f>IF(COUNTIF($Q$2:$Q$1409,Q889)&gt;1,IF(COUNTIF($Q$2:Q889,Q889)=1,"Exact Duplicate - Keep First","Exact Duplicate - Remove"),"Unique")</f>
        <v/>
      </c>
    </row>
    <row r="890" ht="15" customHeight="1" s="11">
      <c r="A890" s="10" t="inlineStr">
        <is>
          <t>USR-100889</t>
        </is>
      </c>
      <c r="B890" s="14" t="n">
        <v>45730</v>
      </c>
      <c r="C890" s="10" t="inlineStr">
        <is>
          <t>Treatment</t>
        </is>
      </c>
      <c r="D890" s="10" t="inlineStr">
        <is>
          <t>North</t>
        </is>
      </c>
      <c r="E890" s="10" t="inlineStr">
        <is>
          <t>Mobile</t>
        </is>
      </c>
      <c r="F890" s="10" t="inlineStr">
        <is>
          <t>Referral</t>
        </is>
      </c>
      <c r="G890" s="10" t="inlineStr">
        <is>
          <t>Free</t>
        </is>
      </c>
      <c r="H890" s="10" t="n">
        <v>1</v>
      </c>
      <c r="I890" s="10" t="n">
        <v>1</v>
      </c>
      <c r="J890" s="10" t="n">
        <v>1</v>
      </c>
      <c r="K890" s="10" t="n">
        <v>1</v>
      </c>
      <c r="L890" s="10" t="n">
        <v>2064.55</v>
      </c>
      <c r="M890" s="10" t="n">
        <v>0</v>
      </c>
      <c r="N890" s="10" t="n">
        <v>0</v>
      </c>
      <c r="O890" s="10" t="n">
        <v>1</v>
      </c>
      <c r="P890" s="10" t="n">
        <v>67.8</v>
      </c>
      <c r="Q890" s="10">
        <f>A890&amp;"|"&amp;B890&amp;"|"&amp;C890&amp;"|"&amp;D890&amp;"|"&amp;E890&amp;"|"&amp;F890&amp;"|"&amp;G890&amp;"|"&amp;H890&amp;"|"&amp;I890&amp;"|"&amp;J890&amp;"|"&amp;K890&amp;"|"&amp;L890&amp;"|"&amp;M890&amp;"|"&amp;N890&amp;"|"&amp;O890&amp;"|"&amp;P890</f>
        <v/>
      </c>
      <c r="R890" s="10">
        <f>IF(COUNTIF($Q$2:$Q$1409,Q890)&gt;1,IF(COUNTIF($Q$2:Q890,Q890)=1,"Exact Duplicate - Keep First","Exact Duplicate - Remove"),"Unique")</f>
        <v/>
      </c>
    </row>
    <row r="891" ht="15" customHeight="1" s="11">
      <c r="A891" s="10" t="inlineStr">
        <is>
          <t>USR-100890</t>
        </is>
      </c>
      <c r="B891" s="14" t="n">
        <v>45712</v>
      </c>
      <c r="C891" s="10" t="inlineStr">
        <is>
          <t>Treatment</t>
        </is>
      </c>
      <c r="D891" s="10" t="inlineStr">
        <is>
          <t>South</t>
        </is>
      </c>
      <c r="E891" s="10" t="inlineStr">
        <is>
          <t>Desktop</t>
        </is>
      </c>
      <c r="F891" s="10" t="inlineStr">
        <is>
          <t>Paid Search</t>
        </is>
      </c>
      <c r="G891" s="10" t="inlineStr">
        <is>
          <t>Basic</t>
        </is>
      </c>
      <c r="H891" s="10" t="n">
        <v>1</v>
      </c>
      <c r="I891" s="10" t="n">
        <v>0</v>
      </c>
      <c r="J891" s="10" t="n">
        <v>0</v>
      </c>
      <c r="K891" s="10" t="n">
        <v>0</v>
      </c>
      <c r="L891" s="10" t="n">
        <v>0</v>
      </c>
      <c r="M891" s="10" t="n">
        <v>0</v>
      </c>
      <c r="N891" s="10" t="n">
        <v>0</v>
      </c>
      <c r="P891" s="10" t="n">
        <v>62.6</v>
      </c>
      <c r="Q891" s="10">
        <f>A891&amp;"|"&amp;B891&amp;"|"&amp;C891&amp;"|"&amp;D891&amp;"|"&amp;E891&amp;"|"&amp;F891&amp;"|"&amp;G891&amp;"|"&amp;H891&amp;"|"&amp;I891&amp;"|"&amp;J891&amp;"|"&amp;K891&amp;"|"&amp;L891&amp;"|"&amp;M891&amp;"|"&amp;N891&amp;"|"&amp;O891&amp;"|"&amp;P891</f>
        <v/>
      </c>
      <c r="R891" s="10">
        <f>IF(COUNTIF($Q$2:$Q$1409,Q891)&gt;1,IF(COUNTIF($Q$2:Q891,Q891)=1,"Exact Duplicate - Keep First","Exact Duplicate - Remove"),"Unique")</f>
        <v/>
      </c>
    </row>
    <row r="892" ht="15" customHeight="1" s="11">
      <c r="A892" s="10" t="inlineStr">
        <is>
          <t>USR-100891</t>
        </is>
      </c>
      <c r="B892" s="14" t="n">
        <v>45720</v>
      </c>
      <c r="C892" s="10" t="inlineStr">
        <is>
          <t>Treatment</t>
        </is>
      </c>
      <c r="D892" s="10" t="inlineStr">
        <is>
          <t>West</t>
        </is>
      </c>
      <c r="E892" s="10" t="inlineStr">
        <is>
          <t>Mobile</t>
        </is>
      </c>
      <c r="F892" s="10" t="inlineStr">
        <is>
          <t>Email</t>
        </is>
      </c>
      <c r="G892" s="10" t="inlineStr">
        <is>
          <t>Basic</t>
        </is>
      </c>
      <c r="H892" s="10" t="n">
        <v>1</v>
      </c>
      <c r="I892" s="10" t="n">
        <v>0</v>
      </c>
      <c r="J892" s="10" t="n">
        <v>0</v>
      </c>
      <c r="K892" s="10" t="n">
        <v>0</v>
      </c>
      <c r="L892" s="10" t="n">
        <v>0</v>
      </c>
      <c r="M892" s="10" t="n">
        <v>0</v>
      </c>
      <c r="N892" s="10" t="n">
        <v>0</v>
      </c>
      <c r="P892" s="10" t="n">
        <v>82.40000000000001</v>
      </c>
      <c r="Q892" s="10">
        <f>A892&amp;"|"&amp;B892&amp;"|"&amp;C892&amp;"|"&amp;D892&amp;"|"&amp;E892&amp;"|"&amp;F892&amp;"|"&amp;G892&amp;"|"&amp;H892&amp;"|"&amp;I892&amp;"|"&amp;J892&amp;"|"&amp;K892&amp;"|"&amp;L892&amp;"|"&amp;M892&amp;"|"&amp;N892&amp;"|"&amp;O892&amp;"|"&amp;P892</f>
        <v/>
      </c>
      <c r="R892" s="10">
        <f>IF(COUNTIF($Q$2:$Q$1409,Q892)&gt;1,IF(COUNTIF($Q$2:Q892,Q892)=1,"Exact Duplicate - Keep First","Exact Duplicate - Remove"),"Unique")</f>
        <v/>
      </c>
    </row>
    <row r="893" ht="15" customHeight="1" s="11">
      <c r="A893" s="10" t="inlineStr">
        <is>
          <t>USR-100892</t>
        </is>
      </c>
      <c r="B893" s="14" t="n">
        <v>45749</v>
      </c>
      <c r="C893" s="10" t="inlineStr">
        <is>
          <t>Treatment</t>
        </is>
      </c>
      <c r="D893" s="10" t="inlineStr">
        <is>
          <t>North</t>
        </is>
      </c>
      <c r="E893" s="10" t="inlineStr">
        <is>
          <t>Mobile</t>
        </is>
      </c>
      <c r="F893" s="10" t="inlineStr">
        <is>
          <t>Organic</t>
        </is>
      </c>
      <c r="G893" s="10" t="inlineStr">
        <is>
          <t>Free</t>
        </is>
      </c>
      <c r="H893" s="10" t="n">
        <v>1</v>
      </c>
      <c r="I893" s="10" t="n">
        <v>1</v>
      </c>
      <c r="J893" s="10" t="n">
        <v>1</v>
      </c>
      <c r="K893" s="10" t="n">
        <v>0</v>
      </c>
      <c r="L893" s="10" t="n">
        <v>0</v>
      </c>
      <c r="M893" s="10" t="n">
        <v>0</v>
      </c>
      <c r="N893" s="10" t="n">
        <v>0</v>
      </c>
      <c r="P893" s="10" t="n">
        <v>50.4</v>
      </c>
      <c r="Q893" s="10">
        <f>A893&amp;"|"&amp;B893&amp;"|"&amp;C893&amp;"|"&amp;D893&amp;"|"&amp;E893&amp;"|"&amp;F893&amp;"|"&amp;G893&amp;"|"&amp;H893&amp;"|"&amp;I893&amp;"|"&amp;J893&amp;"|"&amp;K893&amp;"|"&amp;L893&amp;"|"&amp;M893&amp;"|"&amp;N893&amp;"|"&amp;O893&amp;"|"&amp;P893</f>
        <v/>
      </c>
      <c r="R893" s="10">
        <f>IF(COUNTIF($Q$2:$Q$1409,Q893)&gt;1,IF(COUNTIF($Q$2:Q893,Q893)=1,"Exact Duplicate - Keep First","Exact Duplicate - Remove"),"Unique")</f>
        <v/>
      </c>
    </row>
    <row r="894" ht="15" customHeight="1" s="11">
      <c r="A894" s="10" t="inlineStr">
        <is>
          <t>USR-100893</t>
        </is>
      </c>
      <c r="B894" s="14" t="n">
        <v>45788</v>
      </c>
      <c r="C894" s="10" t="inlineStr">
        <is>
          <t>Treatment</t>
        </is>
      </c>
      <c r="D894" s="10" t="inlineStr">
        <is>
          <t>North</t>
        </is>
      </c>
      <c r="E894" s="10" t="inlineStr">
        <is>
          <t>Mobile</t>
        </is>
      </c>
      <c r="F894" s="10" t="inlineStr">
        <is>
          <t>Email</t>
        </is>
      </c>
      <c r="G894" s="10" t="inlineStr">
        <is>
          <t>Premium</t>
        </is>
      </c>
      <c r="H894" s="10" t="n">
        <v>0</v>
      </c>
      <c r="I894" s="10" t="n">
        <v>0</v>
      </c>
      <c r="J894" s="10" t="n">
        <v>0</v>
      </c>
      <c r="K894" s="10" t="n">
        <v>0</v>
      </c>
      <c r="L894" s="10" t="n">
        <v>0</v>
      </c>
      <c r="M894" s="10" t="n">
        <v>0</v>
      </c>
      <c r="N894" s="10" t="n">
        <v>0</v>
      </c>
      <c r="P894" s="10" t="n">
        <v>68.40000000000001</v>
      </c>
      <c r="Q894" s="10">
        <f>A894&amp;"|"&amp;B894&amp;"|"&amp;C894&amp;"|"&amp;D894&amp;"|"&amp;E894&amp;"|"&amp;F894&amp;"|"&amp;G894&amp;"|"&amp;H894&amp;"|"&amp;I894&amp;"|"&amp;J894&amp;"|"&amp;K894&amp;"|"&amp;L894&amp;"|"&amp;M894&amp;"|"&amp;N894&amp;"|"&amp;O894&amp;"|"&amp;P894</f>
        <v/>
      </c>
      <c r="R894" s="10">
        <f>IF(COUNTIF($Q$2:$Q$1409,Q894)&gt;1,IF(COUNTIF($Q$2:Q894,Q894)=1,"Exact Duplicate - Keep First","Exact Duplicate - Remove"),"Unique")</f>
        <v/>
      </c>
    </row>
    <row r="895" ht="15" customHeight="1" s="11">
      <c r="A895" s="10" t="inlineStr">
        <is>
          <t>USR-100894</t>
        </is>
      </c>
      <c r="B895" s="14" t="n">
        <v>45787</v>
      </c>
      <c r="C895" s="10" t="inlineStr">
        <is>
          <t>Treatment</t>
        </is>
      </c>
      <c r="D895" s="10" t="inlineStr">
        <is>
          <t>West</t>
        </is>
      </c>
      <c r="E895" s="10" t="inlineStr">
        <is>
          <t>Tablet</t>
        </is>
      </c>
      <c r="F895" s="10" t="inlineStr">
        <is>
          <t>Paid Search</t>
        </is>
      </c>
      <c r="G895" s="10" t="inlineStr">
        <is>
          <t>Basic</t>
        </is>
      </c>
      <c r="H895" s="10" t="n">
        <v>1</v>
      </c>
      <c r="I895" s="10" t="n">
        <v>1</v>
      </c>
      <c r="J895" s="10" t="n">
        <v>1</v>
      </c>
      <c r="K895" s="10" t="n">
        <v>0</v>
      </c>
      <c r="L895" s="10" t="n">
        <v>0</v>
      </c>
      <c r="M895" s="10" t="n">
        <v>0</v>
      </c>
      <c r="N895" s="10" t="n">
        <v>0</v>
      </c>
      <c r="P895" s="10" t="n">
        <v>58.8</v>
      </c>
      <c r="Q895" s="10">
        <f>A895&amp;"|"&amp;B895&amp;"|"&amp;C895&amp;"|"&amp;D895&amp;"|"&amp;E895&amp;"|"&amp;F895&amp;"|"&amp;G895&amp;"|"&amp;H895&amp;"|"&amp;I895&amp;"|"&amp;J895&amp;"|"&amp;K895&amp;"|"&amp;L895&amp;"|"&amp;M895&amp;"|"&amp;N895&amp;"|"&amp;O895&amp;"|"&amp;P895</f>
        <v/>
      </c>
      <c r="R895" s="10">
        <f>IF(COUNTIF($Q$2:$Q$1409,Q895)&gt;1,IF(COUNTIF($Q$2:Q895,Q895)=1,"Exact Duplicate - Keep First","Exact Duplicate - Remove"),"Unique")</f>
        <v/>
      </c>
    </row>
    <row r="896" ht="15" customHeight="1" s="11">
      <c r="A896" s="10" t="inlineStr">
        <is>
          <t>USR-100895</t>
        </is>
      </c>
      <c r="B896" s="14" t="n">
        <v>45783</v>
      </c>
      <c r="C896" s="10" t="inlineStr">
        <is>
          <t>Treatment</t>
        </is>
      </c>
      <c r="D896" s="10" t="inlineStr">
        <is>
          <t>West</t>
        </is>
      </c>
      <c r="E896" s="10" t="inlineStr">
        <is>
          <t>Mobile</t>
        </is>
      </c>
      <c r="F896" s="10" t="inlineStr">
        <is>
          <t>Referral</t>
        </is>
      </c>
      <c r="G896" s="10" t="inlineStr">
        <is>
          <t>Free</t>
        </is>
      </c>
      <c r="H896" s="10" t="n">
        <v>1</v>
      </c>
      <c r="I896" s="10" t="n">
        <v>1</v>
      </c>
      <c r="J896" s="10" t="n">
        <v>0</v>
      </c>
      <c r="K896" s="10" t="n">
        <v>0</v>
      </c>
      <c r="L896" s="10" t="n">
        <v>0</v>
      </c>
      <c r="M896" s="10" t="n">
        <v>2</v>
      </c>
      <c r="N896" s="10" t="n">
        <v>0</v>
      </c>
      <c r="P896" s="10" t="n">
        <v>28.3</v>
      </c>
      <c r="Q896" s="10">
        <f>A896&amp;"|"&amp;B896&amp;"|"&amp;C896&amp;"|"&amp;D896&amp;"|"&amp;E896&amp;"|"&amp;F896&amp;"|"&amp;G896&amp;"|"&amp;H896&amp;"|"&amp;I896&amp;"|"&amp;J896&amp;"|"&amp;K896&amp;"|"&amp;L896&amp;"|"&amp;M896&amp;"|"&amp;N896&amp;"|"&amp;O896&amp;"|"&amp;P896</f>
        <v/>
      </c>
      <c r="R896" s="10">
        <f>IF(COUNTIF($Q$2:$Q$1409,Q896)&gt;1,IF(COUNTIF($Q$2:Q896,Q896)=1,"Exact Duplicate - Keep First","Exact Duplicate - Remove"),"Unique")</f>
        <v/>
      </c>
    </row>
    <row r="897" ht="15" customHeight="1" s="11">
      <c r="A897" s="10" t="inlineStr">
        <is>
          <t>USR-100896</t>
        </is>
      </c>
      <c r="B897" s="14" t="n">
        <v>45699</v>
      </c>
      <c r="C897" s="10" t="inlineStr">
        <is>
          <t>Treatment</t>
        </is>
      </c>
      <c r="D897" s="10" t="inlineStr">
        <is>
          <t>West</t>
        </is>
      </c>
      <c r="E897" s="10" t="inlineStr">
        <is>
          <t>Desktop</t>
        </is>
      </c>
      <c r="F897" s="10" t="inlineStr">
        <is>
          <t>Paid Search</t>
        </is>
      </c>
      <c r="G897" s="10" t="inlineStr">
        <is>
          <t>Free</t>
        </is>
      </c>
      <c r="H897" s="10" t="n">
        <v>1</v>
      </c>
      <c r="I897" s="10" t="n">
        <v>1</v>
      </c>
      <c r="J897" s="10" t="n">
        <v>0</v>
      </c>
      <c r="K897" s="10" t="n">
        <v>0</v>
      </c>
      <c r="L897" s="10" t="n">
        <v>0</v>
      </c>
      <c r="M897" s="10" t="n">
        <v>0</v>
      </c>
      <c r="N897" s="10" t="n">
        <v>0</v>
      </c>
      <c r="P897" s="10" t="n">
        <v>44.1</v>
      </c>
      <c r="Q897" s="10">
        <f>A897&amp;"|"&amp;B897&amp;"|"&amp;C897&amp;"|"&amp;D897&amp;"|"&amp;E897&amp;"|"&amp;F897&amp;"|"&amp;G897&amp;"|"&amp;H897&amp;"|"&amp;I897&amp;"|"&amp;J897&amp;"|"&amp;K897&amp;"|"&amp;L897&amp;"|"&amp;M897&amp;"|"&amp;N897&amp;"|"&amp;O897&amp;"|"&amp;P897</f>
        <v/>
      </c>
      <c r="R897" s="10">
        <f>IF(COUNTIF($Q$2:$Q$1409,Q897)&gt;1,IF(COUNTIF($Q$2:Q897,Q897)=1,"Exact Duplicate - Keep First","Exact Duplicate - Remove"),"Unique")</f>
        <v/>
      </c>
    </row>
    <row r="898" ht="15" customHeight="1" s="11">
      <c r="A898" s="10" t="inlineStr">
        <is>
          <t>USR-100897</t>
        </is>
      </c>
      <c r="B898" s="14" t="n">
        <v>45786</v>
      </c>
      <c r="C898" s="10" t="inlineStr">
        <is>
          <t>Treatment</t>
        </is>
      </c>
      <c r="D898" s="10" t="inlineStr">
        <is>
          <t>South</t>
        </is>
      </c>
      <c r="E898" s="10" t="inlineStr">
        <is>
          <t>Mobile</t>
        </is>
      </c>
      <c r="F898" s="10" t="inlineStr">
        <is>
          <t>Paid Search</t>
        </is>
      </c>
      <c r="G898" s="10" t="inlineStr">
        <is>
          <t>Premium</t>
        </is>
      </c>
      <c r="H898" s="10" t="n">
        <v>1</v>
      </c>
      <c r="I898" s="10" t="n">
        <v>1</v>
      </c>
      <c r="J898" s="10" t="n">
        <v>0</v>
      </c>
      <c r="K898" s="10" t="n">
        <v>0</v>
      </c>
      <c r="L898" s="10" t="n">
        <v>0</v>
      </c>
      <c r="M898" s="10" t="n">
        <v>0</v>
      </c>
      <c r="N898" s="10" t="n">
        <v>0</v>
      </c>
      <c r="P898" s="10" t="n">
        <v>66.7</v>
      </c>
      <c r="Q898" s="10">
        <f>A898&amp;"|"&amp;B898&amp;"|"&amp;C898&amp;"|"&amp;D898&amp;"|"&amp;E898&amp;"|"&amp;F898&amp;"|"&amp;G898&amp;"|"&amp;H898&amp;"|"&amp;I898&amp;"|"&amp;J898&amp;"|"&amp;K898&amp;"|"&amp;L898&amp;"|"&amp;M898&amp;"|"&amp;N898&amp;"|"&amp;O898&amp;"|"&amp;P898</f>
        <v/>
      </c>
      <c r="R898" s="10">
        <f>IF(COUNTIF($Q$2:$Q$1409,Q898)&gt;1,IF(COUNTIF($Q$2:Q898,Q898)=1,"Exact Duplicate - Keep First","Exact Duplicate - Remove"),"Unique")</f>
        <v/>
      </c>
    </row>
    <row r="899" ht="15" customHeight="1" s="11">
      <c r="A899" s="10" t="inlineStr">
        <is>
          <t>USR-100898</t>
        </is>
      </c>
      <c r="B899" s="14" t="n">
        <v>45690</v>
      </c>
      <c r="C899" s="10" t="inlineStr">
        <is>
          <t>Treatment</t>
        </is>
      </c>
      <c r="D899" s="10" t="inlineStr">
        <is>
          <t>South</t>
        </is>
      </c>
      <c r="E899" s="10" t="inlineStr">
        <is>
          <t>Mobile</t>
        </is>
      </c>
      <c r="G899" s="10" t="inlineStr">
        <is>
          <t>Free</t>
        </is>
      </c>
      <c r="H899" s="10" t="n">
        <v>1</v>
      </c>
      <c r="I899" s="10" t="n">
        <v>0</v>
      </c>
      <c r="J899" s="10" t="n">
        <v>0</v>
      </c>
      <c r="K899" s="10" t="n">
        <v>0</v>
      </c>
      <c r="L899" s="10" t="n">
        <v>0</v>
      </c>
      <c r="M899" s="10" t="n">
        <v>0</v>
      </c>
      <c r="N899" s="10" t="n">
        <v>0</v>
      </c>
      <c r="P899" s="10" t="n">
        <v>100</v>
      </c>
      <c r="Q899" s="10">
        <f>A899&amp;"|"&amp;B899&amp;"|"&amp;C899&amp;"|"&amp;D899&amp;"|"&amp;E899&amp;"|"&amp;F899&amp;"|"&amp;G899&amp;"|"&amp;H899&amp;"|"&amp;I899&amp;"|"&amp;J899&amp;"|"&amp;K899&amp;"|"&amp;L899&amp;"|"&amp;M899&amp;"|"&amp;N899&amp;"|"&amp;O899&amp;"|"&amp;P899</f>
        <v/>
      </c>
      <c r="R899" s="10">
        <f>IF(COUNTIF($Q$2:$Q$1409,Q899)&gt;1,IF(COUNTIF($Q$2:Q899,Q899)=1,"Exact Duplicate - Keep First","Exact Duplicate - Remove"),"Unique")</f>
        <v/>
      </c>
    </row>
    <row r="900" ht="15" customHeight="1" s="11">
      <c r="A900" s="10" t="inlineStr">
        <is>
          <t>USR-100899</t>
        </is>
      </c>
      <c r="B900" s="14" t="n">
        <v>45750</v>
      </c>
      <c r="C900" s="10" t="inlineStr">
        <is>
          <t>Treatment</t>
        </is>
      </c>
      <c r="D900" s="10" t="inlineStr">
        <is>
          <t>South</t>
        </is>
      </c>
      <c r="E900" s="10" t="inlineStr">
        <is>
          <t>Mobile</t>
        </is>
      </c>
      <c r="F900" s="10" t="inlineStr">
        <is>
          <t>Social</t>
        </is>
      </c>
      <c r="G900" s="10" t="inlineStr">
        <is>
          <t>Free</t>
        </is>
      </c>
      <c r="H900" s="10" t="n">
        <v>1</v>
      </c>
      <c r="I900" s="10" t="n">
        <v>1</v>
      </c>
      <c r="J900" s="10" t="n">
        <v>0</v>
      </c>
      <c r="K900" s="10" t="n">
        <v>0</v>
      </c>
      <c r="L900" s="10" t="n">
        <v>0</v>
      </c>
      <c r="M900" s="10" t="n">
        <v>0</v>
      </c>
      <c r="N900" s="10" t="n">
        <v>0</v>
      </c>
      <c r="P900" s="10" t="n">
        <v>87.5</v>
      </c>
      <c r="Q900" s="10">
        <f>A900&amp;"|"&amp;B900&amp;"|"&amp;C900&amp;"|"&amp;D900&amp;"|"&amp;E900&amp;"|"&amp;F900&amp;"|"&amp;G900&amp;"|"&amp;H900&amp;"|"&amp;I900&amp;"|"&amp;J900&amp;"|"&amp;K900&amp;"|"&amp;L900&amp;"|"&amp;M900&amp;"|"&amp;N900&amp;"|"&amp;O900&amp;"|"&amp;P900</f>
        <v/>
      </c>
      <c r="R900" s="10">
        <f>IF(COUNTIF($Q$2:$Q$1409,Q900)&gt;1,IF(COUNTIF($Q$2:Q900,Q900)=1,"Exact Duplicate - Keep First","Exact Duplicate - Remove"),"Unique")</f>
        <v/>
      </c>
    </row>
    <row r="901" ht="15" customHeight="1" s="11">
      <c r="A901" s="10" t="inlineStr">
        <is>
          <t>USR-100900</t>
        </is>
      </c>
      <c r="B901" s="14" t="n">
        <v>45703</v>
      </c>
      <c r="C901" s="10" t="inlineStr">
        <is>
          <t>Treatment</t>
        </is>
      </c>
      <c r="D901" s="10" t="inlineStr">
        <is>
          <t>North</t>
        </is>
      </c>
      <c r="E901" s="10" t="inlineStr">
        <is>
          <t>Desktop</t>
        </is>
      </c>
      <c r="F901" s="10" t="inlineStr">
        <is>
          <t>Organic</t>
        </is>
      </c>
      <c r="G901" s="10" t="inlineStr">
        <is>
          <t>Basic</t>
        </is>
      </c>
      <c r="H901" s="10" t="n">
        <v>1</v>
      </c>
      <c r="I901" s="10" t="n">
        <v>0</v>
      </c>
      <c r="J901" s="10" t="n">
        <v>0</v>
      </c>
      <c r="K901" s="10" t="n">
        <v>0</v>
      </c>
      <c r="L901" s="10" t="n">
        <v>0</v>
      </c>
      <c r="M901" s="10" t="n">
        <v>2</v>
      </c>
      <c r="N901" s="10" t="n">
        <v>0</v>
      </c>
      <c r="P901" s="10" t="n">
        <v>65.40000000000001</v>
      </c>
      <c r="Q901" s="10">
        <f>A901&amp;"|"&amp;B901&amp;"|"&amp;C901&amp;"|"&amp;D901&amp;"|"&amp;E901&amp;"|"&amp;F901&amp;"|"&amp;G901&amp;"|"&amp;H901&amp;"|"&amp;I901&amp;"|"&amp;J901&amp;"|"&amp;K901&amp;"|"&amp;L901&amp;"|"&amp;M901&amp;"|"&amp;N901&amp;"|"&amp;O901&amp;"|"&amp;P901</f>
        <v/>
      </c>
      <c r="R901" s="10">
        <f>IF(COUNTIF($Q$2:$Q$1409,Q901)&gt;1,IF(COUNTIF($Q$2:Q901,Q901)=1,"Exact Duplicate - Keep First","Exact Duplicate - Remove"),"Unique")</f>
        <v/>
      </c>
    </row>
    <row r="902" ht="15" customHeight="1" s="11">
      <c r="A902" s="10" t="inlineStr">
        <is>
          <t>USR-100901</t>
        </is>
      </c>
      <c r="B902" s="14" t="n">
        <v>45765</v>
      </c>
      <c r="C902" s="10" t="inlineStr">
        <is>
          <t>Treatment</t>
        </is>
      </c>
      <c r="D902" s="10" t="inlineStr">
        <is>
          <t>South</t>
        </is>
      </c>
      <c r="E902" s="10" t="inlineStr">
        <is>
          <t>Desktop</t>
        </is>
      </c>
      <c r="F902" s="10" t="inlineStr">
        <is>
          <t>Organic</t>
        </is>
      </c>
      <c r="G902" s="10" t="inlineStr">
        <is>
          <t>Free</t>
        </is>
      </c>
      <c r="H902" s="10" t="n">
        <v>1</v>
      </c>
      <c r="I902" s="10" t="n">
        <v>0</v>
      </c>
      <c r="J902" s="10" t="n">
        <v>0</v>
      </c>
      <c r="K902" s="10" t="n">
        <v>0</v>
      </c>
      <c r="L902" s="10" t="n">
        <v>0</v>
      </c>
      <c r="M902" s="10" t="n">
        <v>0</v>
      </c>
      <c r="N902" s="10" t="n">
        <v>0</v>
      </c>
      <c r="P902" s="10" t="n">
        <v>22.9</v>
      </c>
      <c r="Q902" s="10">
        <f>A902&amp;"|"&amp;B902&amp;"|"&amp;C902&amp;"|"&amp;D902&amp;"|"&amp;E902&amp;"|"&amp;F902&amp;"|"&amp;G902&amp;"|"&amp;H902&amp;"|"&amp;I902&amp;"|"&amp;J902&amp;"|"&amp;K902&amp;"|"&amp;L902&amp;"|"&amp;M902&amp;"|"&amp;N902&amp;"|"&amp;O902&amp;"|"&amp;P902</f>
        <v/>
      </c>
      <c r="R902" s="10">
        <f>IF(COUNTIF($Q$2:$Q$1409,Q902)&gt;1,IF(COUNTIF($Q$2:Q902,Q902)=1,"Exact Duplicate - Keep First","Exact Duplicate - Remove"),"Unique")</f>
        <v/>
      </c>
    </row>
    <row r="903" ht="15" customHeight="1" s="11">
      <c r="A903" s="10" t="inlineStr">
        <is>
          <t>USR-100902</t>
        </is>
      </c>
      <c r="B903" s="14" t="n">
        <v>45730</v>
      </c>
      <c r="C903" s="10" t="inlineStr">
        <is>
          <t>Treatment</t>
        </is>
      </c>
      <c r="D903" s="10" t="inlineStr">
        <is>
          <t>West</t>
        </is>
      </c>
      <c r="E903" s="10" t="inlineStr">
        <is>
          <t>Desktop</t>
        </is>
      </c>
      <c r="F903" s="10" t="inlineStr">
        <is>
          <t>Organic</t>
        </is>
      </c>
      <c r="G903" s="10" t="inlineStr">
        <is>
          <t>Premium</t>
        </is>
      </c>
      <c r="H903" s="10" t="n">
        <v>0</v>
      </c>
      <c r="I903" s="10" t="n">
        <v>0</v>
      </c>
      <c r="J903" s="10" t="n">
        <v>0</v>
      </c>
      <c r="K903" s="10" t="n">
        <v>0</v>
      </c>
      <c r="L903" s="10" t="n">
        <v>0</v>
      </c>
      <c r="M903" s="10" t="n">
        <v>0</v>
      </c>
      <c r="N903" s="10" t="n">
        <v>0</v>
      </c>
      <c r="P903" s="10" t="n">
        <v>64.59999999999999</v>
      </c>
      <c r="Q903" s="10">
        <f>A903&amp;"|"&amp;B903&amp;"|"&amp;C903&amp;"|"&amp;D903&amp;"|"&amp;E903&amp;"|"&amp;F903&amp;"|"&amp;G903&amp;"|"&amp;H903&amp;"|"&amp;I903&amp;"|"&amp;J903&amp;"|"&amp;K903&amp;"|"&amp;L903&amp;"|"&amp;M903&amp;"|"&amp;N903&amp;"|"&amp;O903&amp;"|"&amp;P903</f>
        <v/>
      </c>
      <c r="R903" s="10">
        <f>IF(COUNTIF($Q$2:$Q$1409,Q903)&gt;1,IF(COUNTIF($Q$2:Q903,Q903)=1,"Exact Duplicate - Keep First","Exact Duplicate - Remove"),"Unique")</f>
        <v/>
      </c>
    </row>
    <row r="904" ht="15" customHeight="1" s="11">
      <c r="A904" s="10" t="inlineStr">
        <is>
          <t>USR-100903</t>
        </is>
      </c>
      <c r="B904" s="14" t="n">
        <v>45745</v>
      </c>
      <c r="C904" s="10" t="inlineStr">
        <is>
          <t>Treatment</t>
        </is>
      </c>
      <c r="D904" s="10" t="inlineStr">
        <is>
          <t>South</t>
        </is>
      </c>
      <c r="E904" s="10" t="inlineStr">
        <is>
          <t>Mobile</t>
        </is>
      </c>
      <c r="F904" s="10" t="inlineStr">
        <is>
          <t>Referral</t>
        </is>
      </c>
      <c r="G904" s="10" t="inlineStr">
        <is>
          <t>Free</t>
        </is>
      </c>
      <c r="H904" s="10" t="n">
        <v>1</v>
      </c>
      <c r="I904" s="10" t="n">
        <v>0</v>
      </c>
      <c r="J904" s="10" t="n">
        <v>0</v>
      </c>
      <c r="K904" s="10" t="n">
        <v>0</v>
      </c>
      <c r="L904" s="10" t="n">
        <v>0</v>
      </c>
      <c r="M904" s="10" t="n">
        <v>2</v>
      </c>
      <c r="N904" s="10" t="n">
        <v>0</v>
      </c>
      <c r="P904" s="10" t="n">
        <v>54.4</v>
      </c>
      <c r="Q904" s="10">
        <f>A904&amp;"|"&amp;B904&amp;"|"&amp;C904&amp;"|"&amp;D904&amp;"|"&amp;E904&amp;"|"&amp;F904&amp;"|"&amp;G904&amp;"|"&amp;H904&amp;"|"&amp;I904&amp;"|"&amp;J904&amp;"|"&amp;K904&amp;"|"&amp;L904&amp;"|"&amp;M904&amp;"|"&amp;N904&amp;"|"&amp;O904&amp;"|"&amp;P904</f>
        <v/>
      </c>
      <c r="R904" s="10">
        <f>IF(COUNTIF($Q$2:$Q$1409,Q904)&gt;1,IF(COUNTIF($Q$2:Q904,Q904)=1,"Exact Duplicate - Keep First","Exact Duplicate - Remove"),"Unique")</f>
        <v/>
      </c>
    </row>
    <row r="905" ht="15" customHeight="1" s="11">
      <c r="A905" s="10" t="inlineStr">
        <is>
          <t>USR-100904</t>
        </is>
      </c>
      <c r="B905" s="14" t="n">
        <v>45701</v>
      </c>
      <c r="C905" s="10" t="inlineStr">
        <is>
          <t>Treatment</t>
        </is>
      </c>
      <c r="D905" s="10" t="inlineStr">
        <is>
          <t>North</t>
        </is>
      </c>
      <c r="E905" s="10" t="inlineStr">
        <is>
          <t>Desktop</t>
        </is>
      </c>
      <c r="F905" s="10" t="inlineStr">
        <is>
          <t>Organic</t>
        </is>
      </c>
      <c r="G905" s="10" t="inlineStr">
        <is>
          <t>Free</t>
        </is>
      </c>
      <c r="H905" s="10" t="n">
        <v>1</v>
      </c>
      <c r="I905" s="10" t="n">
        <v>1</v>
      </c>
      <c r="J905" s="10" t="n">
        <v>1</v>
      </c>
      <c r="K905" s="10" t="n">
        <v>0</v>
      </c>
      <c r="L905" s="10" t="n">
        <v>0</v>
      </c>
      <c r="M905" s="10" t="n">
        <v>0</v>
      </c>
      <c r="N905" s="10" t="n">
        <v>0</v>
      </c>
      <c r="P905" s="10" t="n">
        <v>56.8</v>
      </c>
      <c r="Q905" s="10">
        <f>A905&amp;"|"&amp;B905&amp;"|"&amp;C905&amp;"|"&amp;D905&amp;"|"&amp;E905&amp;"|"&amp;F905&amp;"|"&amp;G905&amp;"|"&amp;H905&amp;"|"&amp;I905&amp;"|"&amp;J905&amp;"|"&amp;K905&amp;"|"&amp;L905&amp;"|"&amp;M905&amp;"|"&amp;N905&amp;"|"&amp;O905&amp;"|"&amp;P905</f>
        <v/>
      </c>
      <c r="R905" s="10">
        <f>IF(COUNTIF($Q$2:$Q$1409,Q905)&gt;1,IF(COUNTIF($Q$2:Q905,Q905)=1,"Exact Duplicate - Keep First","Exact Duplicate - Remove"),"Unique")</f>
        <v/>
      </c>
    </row>
    <row r="906" ht="15" customHeight="1" s="11">
      <c r="A906" s="10" t="inlineStr">
        <is>
          <t>USR-100905</t>
        </is>
      </c>
      <c r="B906" s="14" t="n">
        <v>45680</v>
      </c>
      <c r="C906" s="10" t="inlineStr">
        <is>
          <t>Treatment</t>
        </is>
      </c>
      <c r="D906" s="10" t="inlineStr">
        <is>
          <t>South</t>
        </is>
      </c>
      <c r="E906" s="10" t="inlineStr">
        <is>
          <t>Mobile</t>
        </is>
      </c>
      <c r="F906" s="10" t="inlineStr">
        <is>
          <t>Paid Search</t>
        </is>
      </c>
      <c r="G906" s="10" t="inlineStr">
        <is>
          <t>Free</t>
        </is>
      </c>
      <c r="H906" s="10" t="n">
        <v>1</v>
      </c>
      <c r="I906" s="10" t="n">
        <v>1</v>
      </c>
      <c r="J906" s="10" t="n">
        <v>1</v>
      </c>
      <c r="K906" s="10" t="n">
        <v>1</v>
      </c>
      <c r="L906" s="10" t="n">
        <v>341.38</v>
      </c>
      <c r="M906" s="10" t="n">
        <v>0</v>
      </c>
      <c r="N906" s="10" t="n">
        <v>0</v>
      </c>
      <c r="O906" s="10" t="n">
        <v>2</v>
      </c>
      <c r="P906" s="10" t="n">
        <v>63.6</v>
      </c>
      <c r="Q906" s="10">
        <f>A906&amp;"|"&amp;B906&amp;"|"&amp;C906&amp;"|"&amp;D906&amp;"|"&amp;E906&amp;"|"&amp;F906&amp;"|"&amp;G906&amp;"|"&amp;H906&amp;"|"&amp;I906&amp;"|"&amp;J906&amp;"|"&amp;K906&amp;"|"&amp;L906&amp;"|"&amp;M906&amp;"|"&amp;N906&amp;"|"&amp;O906&amp;"|"&amp;P906</f>
        <v/>
      </c>
      <c r="R906" s="10">
        <f>IF(COUNTIF($Q$2:$Q$1409,Q906)&gt;1,IF(COUNTIF($Q$2:Q906,Q906)=1,"Exact Duplicate - Keep First","Exact Duplicate - Remove"),"Unique")</f>
        <v/>
      </c>
    </row>
    <row r="907" ht="15" customHeight="1" s="11">
      <c r="A907" s="10" t="inlineStr">
        <is>
          <t>USR-100906</t>
        </is>
      </c>
      <c r="B907" s="14" t="n">
        <v>45712</v>
      </c>
      <c r="C907" s="10" t="inlineStr">
        <is>
          <t>Treatment</t>
        </is>
      </c>
      <c r="D907" s="10" t="inlineStr">
        <is>
          <t>East</t>
        </is>
      </c>
      <c r="E907" s="10" t="inlineStr">
        <is>
          <t>Mobile</t>
        </is>
      </c>
      <c r="F907" s="10" t="inlineStr">
        <is>
          <t>Social</t>
        </is>
      </c>
      <c r="G907" s="10" t="inlineStr">
        <is>
          <t>Free</t>
        </is>
      </c>
      <c r="H907" s="10" t="n">
        <v>1</v>
      </c>
      <c r="I907" s="10" t="n">
        <v>0</v>
      </c>
      <c r="J907" s="10" t="n">
        <v>0</v>
      </c>
      <c r="K907" s="10" t="n">
        <v>0</v>
      </c>
      <c r="L907" s="10" t="n">
        <v>0</v>
      </c>
      <c r="M907" s="10" t="n">
        <v>0</v>
      </c>
      <c r="N907" s="10" t="n">
        <v>0</v>
      </c>
      <c r="P907" s="10" t="n">
        <v>58.2</v>
      </c>
      <c r="Q907" s="10">
        <f>A907&amp;"|"&amp;B907&amp;"|"&amp;C907&amp;"|"&amp;D907&amp;"|"&amp;E907&amp;"|"&amp;F907&amp;"|"&amp;G907&amp;"|"&amp;H907&amp;"|"&amp;I907&amp;"|"&amp;J907&amp;"|"&amp;K907&amp;"|"&amp;L907&amp;"|"&amp;M907&amp;"|"&amp;N907&amp;"|"&amp;O907&amp;"|"&amp;P907</f>
        <v/>
      </c>
      <c r="R907" s="10">
        <f>IF(COUNTIF($Q$2:$Q$1409,Q907)&gt;1,IF(COUNTIF($Q$2:Q907,Q907)=1,"Exact Duplicate - Keep First","Exact Duplicate - Remove"),"Unique")</f>
        <v/>
      </c>
    </row>
    <row r="908" ht="15" customHeight="1" s="11">
      <c r="A908" s="10" t="inlineStr">
        <is>
          <t>USR-100907</t>
        </is>
      </c>
      <c r="B908" s="14" t="n">
        <v>45716</v>
      </c>
      <c r="C908" s="10" t="inlineStr">
        <is>
          <t>Treatment</t>
        </is>
      </c>
      <c r="D908" s="10" t="inlineStr">
        <is>
          <t>West</t>
        </is>
      </c>
      <c r="E908" s="10" t="inlineStr">
        <is>
          <t>Mobile</t>
        </is>
      </c>
      <c r="F908" s="10" t="inlineStr">
        <is>
          <t>Paid Search</t>
        </is>
      </c>
      <c r="G908" s="10" t="inlineStr">
        <is>
          <t>Free</t>
        </is>
      </c>
      <c r="H908" s="10" t="n">
        <v>1</v>
      </c>
      <c r="I908" s="10" t="n">
        <v>1</v>
      </c>
      <c r="J908" s="10" t="n">
        <v>0</v>
      </c>
      <c r="K908" s="10" t="n">
        <v>0</v>
      </c>
      <c r="L908" s="10" t="n">
        <v>0</v>
      </c>
      <c r="M908" s="10" t="n">
        <v>0</v>
      </c>
      <c r="N908" s="10" t="n">
        <v>0</v>
      </c>
      <c r="P908" s="10" t="n">
        <v>54.6</v>
      </c>
      <c r="Q908" s="10">
        <f>A908&amp;"|"&amp;B908&amp;"|"&amp;C908&amp;"|"&amp;D908&amp;"|"&amp;E908&amp;"|"&amp;F908&amp;"|"&amp;G908&amp;"|"&amp;H908&amp;"|"&amp;I908&amp;"|"&amp;J908&amp;"|"&amp;K908&amp;"|"&amp;L908&amp;"|"&amp;M908&amp;"|"&amp;N908&amp;"|"&amp;O908&amp;"|"&amp;P908</f>
        <v/>
      </c>
      <c r="R908" s="10">
        <f>IF(COUNTIF($Q$2:$Q$1409,Q908)&gt;1,IF(COUNTIF($Q$2:Q908,Q908)=1,"Exact Duplicate - Keep First","Exact Duplicate - Remove"),"Unique")</f>
        <v/>
      </c>
    </row>
    <row r="909" ht="15" customHeight="1" s="11">
      <c r="A909" s="10" t="inlineStr">
        <is>
          <t>USR-100908</t>
        </is>
      </c>
      <c r="B909" s="14" t="n">
        <v>45664</v>
      </c>
      <c r="C909" s="10" t="inlineStr">
        <is>
          <t>Treatment</t>
        </is>
      </c>
      <c r="D909" s="10" t="inlineStr">
        <is>
          <t>West</t>
        </is>
      </c>
      <c r="E909" s="10" t="inlineStr">
        <is>
          <t>Tablet</t>
        </is>
      </c>
      <c r="F909" s="10" t="inlineStr">
        <is>
          <t>Organic</t>
        </is>
      </c>
      <c r="G909" s="10" t="inlineStr">
        <is>
          <t>Basic</t>
        </is>
      </c>
      <c r="H909" s="10" t="n">
        <v>1</v>
      </c>
      <c r="I909" s="10" t="n">
        <v>0</v>
      </c>
      <c r="J909" s="10" t="n">
        <v>0</v>
      </c>
      <c r="K909" s="10" t="n">
        <v>0</v>
      </c>
      <c r="L909" s="10" t="n">
        <v>0</v>
      </c>
      <c r="M909" s="10" t="n">
        <v>0</v>
      </c>
      <c r="N909" s="10" t="n">
        <v>0</v>
      </c>
      <c r="P909" s="10" t="n">
        <v>81.90000000000001</v>
      </c>
      <c r="Q909" s="10">
        <f>A909&amp;"|"&amp;B909&amp;"|"&amp;C909&amp;"|"&amp;D909&amp;"|"&amp;E909&amp;"|"&amp;F909&amp;"|"&amp;G909&amp;"|"&amp;H909&amp;"|"&amp;I909&amp;"|"&amp;J909&amp;"|"&amp;K909&amp;"|"&amp;L909&amp;"|"&amp;M909&amp;"|"&amp;N909&amp;"|"&amp;O909&amp;"|"&amp;P909</f>
        <v/>
      </c>
      <c r="R909" s="10">
        <f>IF(COUNTIF($Q$2:$Q$1409,Q909)&gt;1,IF(COUNTIF($Q$2:Q909,Q909)=1,"Exact Duplicate - Keep First","Exact Duplicate - Remove"),"Unique")</f>
        <v/>
      </c>
    </row>
    <row r="910" ht="15" customHeight="1" s="11">
      <c r="A910" s="10" t="inlineStr">
        <is>
          <t>USR-100909</t>
        </is>
      </c>
      <c r="B910" s="14" t="n">
        <v>45737</v>
      </c>
      <c r="C910" s="10" t="inlineStr">
        <is>
          <t>Treatment</t>
        </is>
      </c>
      <c r="D910" s="10" t="inlineStr">
        <is>
          <t>West</t>
        </is>
      </c>
      <c r="E910" s="10" t="inlineStr">
        <is>
          <t>Desktop</t>
        </is>
      </c>
      <c r="F910" s="10" t="inlineStr">
        <is>
          <t>Email</t>
        </is>
      </c>
      <c r="G910" s="10" t="inlineStr">
        <is>
          <t>Free</t>
        </is>
      </c>
      <c r="H910" s="10" t="n">
        <v>1</v>
      </c>
      <c r="I910" s="10" t="n">
        <v>0</v>
      </c>
      <c r="J910" s="10" t="n">
        <v>0</v>
      </c>
      <c r="K910" s="10" t="n">
        <v>0</v>
      </c>
      <c r="L910" s="10" t="n">
        <v>0</v>
      </c>
      <c r="M910" s="10" t="n">
        <v>3</v>
      </c>
      <c r="N910" s="10" t="n">
        <v>0</v>
      </c>
      <c r="P910" s="10" t="n">
        <v>53.3</v>
      </c>
      <c r="Q910" s="10">
        <f>A910&amp;"|"&amp;B910&amp;"|"&amp;C910&amp;"|"&amp;D910&amp;"|"&amp;E910&amp;"|"&amp;F910&amp;"|"&amp;G910&amp;"|"&amp;H910&amp;"|"&amp;I910&amp;"|"&amp;J910&amp;"|"&amp;K910&amp;"|"&amp;L910&amp;"|"&amp;M910&amp;"|"&amp;N910&amp;"|"&amp;O910&amp;"|"&amp;P910</f>
        <v/>
      </c>
      <c r="R910" s="10">
        <f>IF(COUNTIF($Q$2:$Q$1409,Q910)&gt;1,IF(COUNTIF($Q$2:Q910,Q910)=1,"Exact Duplicate - Keep First","Exact Duplicate - Remove"),"Unique")</f>
        <v/>
      </c>
    </row>
    <row r="911" ht="15" customHeight="1" s="11">
      <c r="A911" s="10" t="inlineStr">
        <is>
          <t>USR-100910</t>
        </is>
      </c>
      <c r="B911" s="14" t="n">
        <v>45706</v>
      </c>
      <c r="C911" s="10" t="inlineStr">
        <is>
          <t>Treatment</t>
        </is>
      </c>
      <c r="D911" s="10" t="inlineStr">
        <is>
          <t>North</t>
        </is>
      </c>
      <c r="E911" s="10" t="inlineStr">
        <is>
          <t>Desktop</t>
        </is>
      </c>
      <c r="F911" s="10" t="inlineStr">
        <is>
          <t>Organic</t>
        </is>
      </c>
      <c r="G911" s="10" t="inlineStr">
        <is>
          <t>Basic</t>
        </is>
      </c>
      <c r="H911" s="10" t="n">
        <v>0</v>
      </c>
      <c r="I911" s="10" t="n">
        <v>0</v>
      </c>
      <c r="J911" s="10" t="n">
        <v>0</v>
      </c>
      <c r="K911" s="10" t="n">
        <v>0</v>
      </c>
      <c r="L911" s="10" t="n">
        <v>0</v>
      </c>
      <c r="M911" s="10" t="n">
        <v>0</v>
      </c>
      <c r="N911" s="10" t="n">
        <v>0</v>
      </c>
      <c r="P911" s="10" t="n">
        <v>54.2</v>
      </c>
      <c r="Q911" s="10">
        <f>A911&amp;"|"&amp;B911&amp;"|"&amp;C911&amp;"|"&amp;D911&amp;"|"&amp;E911&amp;"|"&amp;F911&amp;"|"&amp;G911&amp;"|"&amp;H911&amp;"|"&amp;I911&amp;"|"&amp;J911&amp;"|"&amp;K911&amp;"|"&amp;L911&amp;"|"&amp;M911&amp;"|"&amp;N911&amp;"|"&amp;O911&amp;"|"&amp;P911</f>
        <v/>
      </c>
      <c r="R911" s="10">
        <f>IF(COUNTIF($Q$2:$Q$1409,Q911)&gt;1,IF(COUNTIF($Q$2:Q911,Q911)=1,"Exact Duplicate - Keep First","Exact Duplicate - Remove"),"Unique")</f>
        <v/>
      </c>
    </row>
    <row r="912" ht="15" customHeight="1" s="11">
      <c r="A912" s="10" t="inlineStr">
        <is>
          <t>USR-100911</t>
        </is>
      </c>
      <c r="B912" s="14" t="n">
        <v>45662</v>
      </c>
      <c r="C912" s="10" t="inlineStr">
        <is>
          <t>Treatment</t>
        </is>
      </c>
      <c r="D912" s="10" t="inlineStr">
        <is>
          <t>North</t>
        </is>
      </c>
      <c r="E912" s="10" t="inlineStr">
        <is>
          <t>Mobile</t>
        </is>
      </c>
      <c r="F912" s="10" t="inlineStr">
        <is>
          <t>Paid Search</t>
        </is>
      </c>
      <c r="G912" s="10" t="inlineStr">
        <is>
          <t>Free</t>
        </is>
      </c>
      <c r="H912" s="10" t="n">
        <v>1</v>
      </c>
      <c r="I912" s="10" t="n">
        <v>1</v>
      </c>
      <c r="J912" s="10" t="n">
        <v>0</v>
      </c>
      <c r="K912" s="10" t="n">
        <v>0</v>
      </c>
      <c r="L912" s="10" t="n">
        <v>0</v>
      </c>
      <c r="M912" s="10" t="n">
        <v>0</v>
      </c>
      <c r="N912" s="10" t="n">
        <v>0</v>
      </c>
      <c r="P912" s="10" t="n">
        <v>65.59999999999999</v>
      </c>
      <c r="Q912" s="10">
        <f>A912&amp;"|"&amp;B912&amp;"|"&amp;C912&amp;"|"&amp;D912&amp;"|"&amp;E912&amp;"|"&amp;F912&amp;"|"&amp;G912&amp;"|"&amp;H912&amp;"|"&amp;I912&amp;"|"&amp;J912&amp;"|"&amp;K912&amp;"|"&amp;L912&amp;"|"&amp;M912&amp;"|"&amp;N912&amp;"|"&amp;O912&amp;"|"&amp;P912</f>
        <v/>
      </c>
      <c r="R912" s="10">
        <f>IF(COUNTIF($Q$2:$Q$1409,Q912)&gt;1,IF(COUNTIF($Q$2:Q912,Q912)=1,"Exact Duplicate - Keep First","Exact Duplicate - Remove"),"Unique")</f>
        <v/>
      </c>
    </row>
    <row r="913" ht="15" customHeight="1" s="11">
      <c r="A913" s="10" t="inlineStr">
        <is>
          <t>USR-100912</t>
        </is>
      </c>
      <c r="B913" s="14" t="n">
        <v>45727</v>
      </c>
      <c r="C913" s="10" t="inlineStr">
        <is>
          <t>Treatment</t>
        </is>
      </c>
      <c r="D913" s="10" t="inlineStr">
        <is>
          <t>East</t>
        </is>
      </c>
      <c r="E913" s="10" t="inlineStr">
        <is>
          <t>Desktop</t>
        </is>
      </c>
      <c r="F913" s="10" t="inlineStr">
        <is>
          <t>Organic</t>
        </is>
      </c>
      <c r="G913" s="10" t="inlineStr">
        <is>
          <t>Basic</t>
        </is>
      </c>
      <c r="H913" s="10" t="n">
        <v>1</v>
      </c>
      <c r="I913" s="10" t="n">
        <v>0</v>
      </c>
      <c r="J913" s="10" t="n">
        <v>0</v>
      </c>
      <c r="K913" s="10" t="n">
        <v>0</v>
      </c>
      <c r="L913" s="10" t="n">
        <v>0</v>
      </c>
      <c r="M913" s="10" t="n">
        <v>1</v>
      </c>
      <c r="N913" s="10" t="n">
        <v>0</v>
      </c>
      <c r="P913" s="10" t="n">
        <v>56.5</v>
      </c>
      <c r="Q913" s="10">
        <f>A913&amp;"|"&amp;B913&amp;"|"&amp;C913&amp;"|"&amp;D913&amp;"|"&amp;E913&amp;"|"&amp;F913&amp;"|"&amp;G913&amp;"|"&amp;H913&amp;"|"&amp;I913&amp;"|"&amp;J913&amp;"|"&amp;K913&amp;"|"&amp;L913&amp;"|"&amp;M913&amp;"|"&amp;N913&amp;"|"&amp;O913&amp;"|"&amp;P913</f>
        <v/>
      </c>
      <c r="R913" s="10">
        <f>IF(COUNTIF($Q$2:$Q$1409,Q913)&gt;1,IF(COUNTIF($Q$2:Q913,Q913)=1,"Exact Duplicate - Keep First","Exact Duplicate - Remove"),"Unique")</f>
        <v/>
      </c>
    </row>
    <row r="914" ht="15" customHeight="1" s="11">
      <c r="A914" s="10" t="inlineStr">
        <is>
          <t>USR-100913</t>
        </is>
      </c>
      <c r="B914" s="14" t="n">
        <v>45666</v>
      </c>
      <c r="C914" s="10" t="inlineStr">
        <is>
          <t>Treatment</t>
        </is>
      </c>
      <c r="D914" s="10" t="inlineStr">
        <is>
          <t>North</t>
        </is>
      </c>
      <c r="E914" s="10" t="inlineStr">
        <is>
          <t>Desktop</t>
        </is>
      </c>
      <c r="F914" s="10" t="inlineStr">
        <is>
          <t>Organic</t>
        </is>
      </c>
      <c r="G914" s="10" t="inlineStr">
        <is>
          <t>Basic</t>
        </is>
      </c>
      <c r="H914" s="10" t="n">
        <v>1</v>
      </c>
      <c r="I914" s="10" t="n">
        <v>0</v>
      </c>
      <c r="J914" s="10" t="n">
        <v>0</v>
      </c>
      <c r="K914" s="10" t="n">
        <v>0</v>
      </c>
      <c r="L914" s="10" t="n">
        <v>0</v>
      </c>
      <c r="M914" s="10" t="n">
        <v>0</v>
      </c>
      <c r="N914" s="10" t="n">
        <v>0</v>
      </c>
      <c r="P914" s="10" t="n">
        <v>59.7</v>
      </c>
      <c r="Q914" s="10">
        <f>A914&amp;"|"&amp;B914&amp;"|"&amp;C914&amp;"|"&amp;D914&amp;"|"&amp;E914&amp;"|"&amp;F914&amp;"|"&amp;G914&amp;"|"&amp;H914&amp;"|"&amp;I914&amp;"|"&amp;J914&amp;"|"&amp;K914&amp;"|"&amp;L914&amp;"|"&amp;M914&amp;"|"&amp;N914&amp;"|"&amp;O914&amp;"|"&amp;P914</f>
        <v/>
      </c>
      <c r="R914" s="10">
        <f>IF(COUNTIF($Q$2:$Q$1409,Q914)&gt;1,IF(COUNTIF($Q$2:Q914,Q914)=1,"Exact Duplicate - Keep First","Exact Duplicate - Remove"),"Unique")</f>
        <v/>
      </c>
    </row>
    <row r="915" ht="15" customHeight="1" s="11">
      <c r="A915" s="10" t="inlineStr">
        <is>
          <t>USR-100914</t>
        </is>
      </c>
      <c r="B915" s="14" t="n">
        <v>45665</v>
      </c>
      <c r="C915" s="10" t="inlineStr">
        <is>
          <t>Treatment</t>
        </is>
      </c>
      <c r="D915" s="10" t="inlineStr">
        <is>
          <t>South</t>
        </is>
      </c>
      <c r="E915" s="10" t="inlineStr">
        <is>
          <t>Mobile</t>
        </is>
      </c>
      <c r="F915" s="10" t="inlineStr">
        <is>
          <t>Organic</t>
        </is>
      </c>
      <c r="G915" s="10" t="inlineStr">
        <is>
          <t>Free</t>
        </is>
      </c>
      <c r="H915" s="10" t="n">
        <v>1</v>
      </c>
      <c r="I915" s="10" t="n">
        <v>1</v>
      </c>
      <c r="J915" s="10" t="n">
        <v>1</v>
      </c>
      <c r="K915" s="10" t="n">
        <v>0</v>
      </c>
      <c r="L915" s="10" t="n">
        <v>0</v>
      </c>
      <c r="M915" s="10" t="n">
        <v>0</v>
      </c>
      <c r="N915" s="10" t="n">
        <v>0</v>
      </c>
      <c r="P915" s="10" t="n">
        <v>72.5</v>
      </c>
      <c r="Q915" s="10">
        <f>A915&amp;"|"&amp;B915&amp;"|"&amp;C915&amp;"|"&amp;D915&amp;"|"&amp;E915&amp;"|"&amp;F915&amp;"|"&amp;G915&amp;"|"&amp;H915&amp;"|"&amp;I915&amp;"|"&amp;J915&amp;"|"&amp;K915&amp;"|"&amp;L915&amp;"|"&amp;M915&amp;"|"&amp;N915&amp;"|"&amp;O915&amp;"|"&amp;P915</f>
        <v/>
      </c>
      <c r="R915" s="10">
        <f>IF(COUNTIF($Q$2:$Q$1409,Q915)&gt;1,IF(COUNTIF($Q$2:Q915,Q915)=1,"Exact Duplicate - Keep First","Exact Duplicate - Remove"),"Unique")</f>
        <v/>
      </c>
    </row>
    <row r="916" ht="15" customHeight="1" s="11">
      <c r="A916" s="10" t="inlineStr">
        <is>
          <t>USR-100915</t>
        </is>
      </c>
      <c r="B916" s="14" t="n">
        <v>45778</v>
      </c>
      <c r="C916" s="10" t="inlineStr">
        <is>
          <t>Treatment</t>
        </is>
      </c>
      <c r="D916" s="10" t="inlineStr">
        <is>
          <t>East</t>
        </is>
      </c>
      <c r="E916" s="10" t="inlineStr">
        <is>
          <t>Desktop</t>
        </is>
      </c>
      <c r="F916" s="10" t="inlineStr">
        <is>
          <t>Paid Search</t>
        </is>
      </c>
      <c r="G916" s="10" t="inlineStr">
        <is>
          <t>Free</t>
        </is>
      </c>
      <c r="H916" s="10" t="n">
        <v>1</v>
      </c>
      <c r="I916" s="10" t="n">
        <v>0</v>
      </c>
      <c r="J916" s="10" t="n">
        <v>0</v>
      </c>
      <c r="K916" s="10" t="n">
        <v>0</v>
      </c>
      <c r="L916" s="10" t="n">
        <v>0</v>
      </c>
      <c r="M916" s="10" t="n">
        <v>0</v>
      </c>
      <c r="N916" s="10" t="n">
        <v>0</v>
      </c>
      <c r="P916" s="10" t="n">
        <v>64.3</v>
      </c>
      <c r="Q916" s="10">
        <f>A916&amp;"|"&amp;B916&amp;"|"&amp;C916&amp;"|"&amp;D916&amp;"|"&amp;E916&amp;"|"&amp;F916&amp;"|"&amp;G916&amp;"|"&amp;H916&amp;"|"&amp;I916&amp;"|"&amp;J916&amp;"|"&amp;K916&amp;"|"&amp;L916&amp;"|"&amp;M916&amp;"|"&amp;N916&amp;"|"&amp;O916&amp;"|"&amp;P916</f>
        <v/>
      </c>
      <c r="R916" s="10">
        <f>IF(COUNTIF($Q$2:$Q$1409,Q916)&gt;1,IF(COUNTIF($Q$2:Q916,Q916)=1,"Exact Duplicate - Keep First","Exact Duplicate - Remove"),"Unique")</f>
        <v/>
      </c>
    </row>
    <row r="917" ht="15" customHeight="1" s="11">
      <c r="A917" s="10" t="inlineStr">
        <is>
          <t>USR-100916</t>
        </is>
      </c>
      <c r="B917" s="14" t="n">
        <v>45719</v>
      </c>
      <c r="C917" s="10" t="inlineStr">
        <is>
          <t>Treatment</t>
        </is>
      </c>
      <c r="D917" s="10" t="inlineStr">
        <is>
          <t>South</t>
        </is>
      </c>
      <c r="E917" s="10" t="inlineStr">
        <is>
          <t>Mobile</t>
        </is>
      </c>
      <c r="F917" s="10" t="inlineStr">
        <is>
          <t>Social</t>
        </is>
      </c>
      <c r="G917" s="10" t="inlineStr">
        <is>
          <t>Free</t>
        </is>
      </c>
      <c r="H917" s="10" t="n">
        <v>1</v>
      </c>
      <c r="I917" s="10" t="n">
        <v>0</v>
      </c>
      <c r="J917" s="10" t="n">
        <v>0</v>
      </c>
      <c r="K917" s="10" t="n">
        <v>0</v>
      </c>
      <c r="L917" s="10" t="n">
        <v>0</v>
      </c>
      <c r="M917" s="10" t="n">
        <v>0</v>
      </c>
      <c r="N917" s="10" t="n">
        <v>0</v>
      </c>
      <c r="P917" s="10" t="n">
        <v>64.5</v>
      </c>
      <c r="Q917" s="10">
        <f>A917&amp;"|"&amp;B917&amp;"|"&amp;C917&amp;"|"&amp;D917&amp;"|"&amp;E917&amp;"|"&amp;F917&amp;"|"&amp;G917&amp;"|"&amp;H917&amp;"|"&amp;I917&amp;"|"&amp;J917&amp;"|"&amp;K917&amp;"|"&amp;L917&amp;"|"&amp;M917&amp;"|"&amp;N917&amp;"|"&amp;O917&amp;"|"&amp;P917</f>
        <v/>
      </c>
      <c r="R917" s="10">
        <f>IF(COUNTIF($Q$2:$Q$1409,Q917)&gt;1,IF(COUNTIF($Q$2:Q917,Q917)=1,"Exact Duplicate - Keep First","Exact Duplicate - Remove"),"Unique")</f>
        <v/>
      </c>
    </row>
    <row r="918" ht="15" customHeight="1" s="11">
      <c r="A918" s="10" t="inlineStr">
        <is>
          <t>USR-100917</t>
        </is>
      </c>
      <c r="B918" s="14" t="n">
        <v>45711</v>
      </c>
      <c r="C918" s="10" t="inlineStr">
        <is>
          <t>Treatment</t>
        </is>
      </c>
      <c r="D918" s="10" t="inlineStr">
        <is>
          <t>West</t>
        </is>
      </c>
      <c r="E918" s="10" t="inlineStr">
        <is>
          <t>Desktop</t>
        </is>
      </c>
      <c r="F918" s="10" t="inlineStr">
        <is>
          <t>Social</t>
        </is>
      </c>
      <c r="G918" s="10" t="inlineStr">
        <is>
          <t>Basic</t>
        </is>
      </c>
      <c r="H918" s="10" t="n">
        <v>1</v>
      </c>
      <c r="I918" s="10" t="n">
        <v>1</v>
      </c>
      <c r="J918" s="10" t="n">
        <v>1</v>
      </c>
      <c r="K918" s="10" t="n">
        <v>0</v>
      </c>
      <c r="L918" s="10" t="n">
        <v>0</v>
      </c>
      <c r="M918" s="10" t="n">
        <v>0</v>
      </c>
      <c r="N918" s="10" t="n">
        <v>0</v>
      </c>
      <c r="P918" s="10" t="n">
        <v>70.59999999999999</v>
      </c>
      <c r="Q918" s="10">
        <f>A918&amp;"|"&amp;B918&amp;"|"&amp;C918&amp;"|"&amp;D918&amp;"|"&amp;E918&amp;"|"&amp;F918&amp;"|"&amp;G918&amp;"|"&amp;H918&amp;"|"&amp;I918&amp;"|"&amp;J918&amp;"|"&amp;K918&amp;"|"&amp;L918&amp;"|"&amp;M918&amp;"|"&amp;N918&amp;"|"&amp;O918&amp;"|"&amp;P918</f>
        <v/>
      </c>
      <c r="R918" s="10">
        <f>IF(COUNTIF($Q$2:$Q$1409,Q918)&gt;1,IF(COUNTIF($Q$2:Q918,Q918)=1,"Exact Duplicate - Keep First","Exact Duplicate - Remove"),"Unique")</f>
        <v/>
      </c>
    </row>
    <row r="919" ht="15" customHeight="1" s="11">
      <c r="A919" s="10" t="inlineStr">
        <is>
          <t>USR-100918</t>
        </is>
      </c>
      <c r="B919" s="14" t="n">
        <v>45705</v>
      </c>
      <c r="C919" s="10" t="inlineStr">
        <is>
          <t>Treatment</t>
        </is>
      </c>
      <c r="D919" s="10" t="inlineStr">
        <is>
          <t>South</t>
        </is>
      </c>
      <c r="E919" s="10" t="inlineStr">
        <is>
          <t>Desktop</t>
        </is>
      </c>
      <c r="F919" s="10" t="inlineStr">
        <is>
          <t>Organic</t>
        </is>
      </c>
      <c r="G919" s="10" t="inlineStr">
        <is>
          <t>Basic</t>
        </is>
      </c>
      <c r="H919" s="10" t="n">
        <v>0</v>
      </c>
      <c r="I919" s="10" t="n">
        <v>0</v>
      </c>
      <c r="J919" s="10" t="n">
        <v>0</v>
      </c>
      <c r="K919" s="10" t="n">
        <v>0</v>
      </c>
      <c r="L919" s="10" t="n">
        <v>0</v>
      </c>
      <c r="M919" s="10" t="n">
        <v>0</v>
      </c>
      <c r="N919" s="10" t="n">
        <v>0</v>
      </c>
      <c r="P919" s="10" t="n">
        <v>58.4</v>
      </c>
      <c r="Q919" s="10">
        <f>A919&amp;"|"&amp;B919&amp;"|"&amp;C919&amp;"|"&amp;D919&amp;"|"&amp;E919&amp;"|"&amp;F919&amp;"|"&amp;G919&amp;"|"&amp;H919&amp;"|"&amp;I919&amp;"|"&amp;J919&amp;"|"&amp;K919&amp;"|"&amp;L919&amp;"|"&amp;M919&amp;"|"&amp;N919&amp;"|"&amp;O919&amp;"|"&amp;P919</f>
        <v/>
      </c>
      <c r="R919" s="10">
        <f>IF(COUNTIF($Q$2:$Q$1409,Q919)&gt;1,IF(COUNTIF($Q$2:Q919,Q919)=1,"Exact Duplicate - Keep First","Exact Duplicate - Remove"),"Unique")</f>
        <v/>
      </c>
    </row>
    <row r="920" ht="15" customHeight="1" s="11">
      <c r="A920" s="10" t="inlineStr">
        <is>
          <t>USR-100919</t>
        </is>
      </c>
      <c r="B920" s="14" t="n">
        <v>45798</v>
      </c>
      <c r="C920" s="10" t="inlineStr">
        <is>
          <t>Treatment</t>
        </is>
      </c>
      <c r="D920" s="10" t="inlineStr">
        <is>
          <t>East</t>
        </is>
      </c>
      <c r="E920" s="10" t="inlineStr">
        <is>
          <t>Mobile</t>
        </is>
      </c>
      <c r="F920" s="10" t="inlineStr">
        <is>
          <t>Organic</t>
        </is>
      </c>
      <c r="G920" s="10" t="inlineStr">
        <is>
          <t>Basic</t>
        </is>
      </c>
      <c r="H920" s="10" t="n">
        <v>1</v>
      </c>
      <c r="I920" s="10" t="n">
        <v>0</v>
      </c>
      <c r="J920" s="10" t="n">
        <v>0</v>
      </c>
      <c r="K920" s="10" t="n">
        <v>0</v>
      </c>
      <c r="L920" s="10" t="n">
        <v>0</v>
      </c>
      <c r="M920" s="10" t="n">
        <v>0</v>
      </c>
      <c r="N920" s="10" t="n">
        <v>0</v>
      </c>
      <c r="P920" s="10" t="n">
        <v>56.6</v>
      </c>
      <c r="Q920" s="10">
        <f>A920&amp;"|"&amp;B920&amp;"|"&amp;C920&amp;"|"&amp;D920&amp;"|"&amp;E920&amp;"|"&amp;F920&amp;"|"&amp;G920&amp;"|"&amp;H920&amp;"|"&amp;I920&amp;"|"&amp;J920&amp;"|"&amp;K920&amp;"|"&amp;L920&amp;"|"&amp;M920&amp;"|"&amp;N920&amp;"|"&amp;O920&amp;"|"&amp;P920</f>
        <v/>
      </c>
      <c r="R920" s="10">
        <f>IF(COUNTIF($Q$2:$Q$1409,Q920)&gt;1,IF(COUNTIF($Q$2:Q920,Q920)=1,"Exact Duplicate - Keep First","Exact Duplicate - Remove"),"Unique")</f>
        <v/>
      </c>
    </row>
    <row r="921" ht="15" customHeight="1" s="11">
      <c r="A921" s="10" t="inlineStr">
        <is>
          <t>USR-100920</t>
        </is>
      </c>
      <c r="B921" s="14" t="n">
        <v>45687</v>
      </c>
      <c r="C921" s="10" t="inlineStr">
        <is>
          <t>Treatment</t>
        </is>
      </c>
      <c r="D921" s="10" t="inlineStr">
        <is>
          <t>South</t>
        </is>
      </c>
      <c r="E921" s="10" t="inlineStr">
        <is>
          <t>Mobile</t>
        </is>
      </c>
      <c r="F921" s="10" t="inlineStr">
        <is>
          <t>Organic</t>
        </is>
      </c>
      <c r="G921" s="10" t="inlineStr">
        <is>
          <t>Free</t>
        </is>
      </c>
      <c r="H921" s="10" t="n">
        <v>1</v>
      </c>
      <c r="I921" s="10" t="n">
        <v>0</v>
      </c>
      <c r="J921" s="10" t="n">
        <v>0</v>
      </c>
      <c r="K921" s="10" t="n">
        <v>0</v>
      </c>
      <c r="L921" s="10" t="n">
        <v>0</v>
      </c>
      <c r="M921" s="10" t="n">
        <v>0</v>
      </c>
      <c r="N921" s="10" t="n">
        <v>0</v>
      </c>
      <c r="P921" s="10" t="n">
        <v>61.8</v>
      </c>
      <c r="Q921" s="10">
        <f>A921&amp;"|"&amp;B921&amp;"|"&amp;C921&amp;"|"&amp;D921&amp;"|"&amp;E921&amp;"|"&amp;F921&amp;"|"&amp;G921&amp;"|"&amp;H921&amp;"|"&amp;I921&amp;"|"&amp;J921&amp;"|"&amp;K921&amp;"|"&amp;L921&amp;"|"&amp;M921&amp;"|"&amp;N921&amp;"|"&amp;O921&amp;"|"&amp;P921</f>
        <v/>
      </c>
      <c r="R921" s="10">
        <f>IF(COUNTIF($Q$2:$Q$1409,Q921)&gt;1,IF(COUNTIF($Q$2:Q921,Q921)=1,"Exact Duplicate - Keep First","Exact Duplicate - Remove"),"Unique")</f>
        <v/>
      </c>
    </row>
    <row r="922" ht="15" customHeight="1" s="11">
      <c r="A922" s="10" t="inlineStr">
        <is>
          <t>USR-100921</t>
        </is>
      </c>
      <c r="B922" s="14" t="n">
        <v>45736</v>
      </c>
      <c r="C922" s="10" t="inlineStr">
        <is>
          <t>Treatment</t>
        </is>
      </c>
      <c r="D922" s="10" t="inlineStr">
        <is>
          <t>West</t>
        </is>
      </c>
      <c r="E922" s="10" t="inlineStr">
        <is>
          <t>Mobile</t>
        </is>
      </c>
      <c r="F922" s="10" t="inlineStr">
        <is>
          <t>Email</t>
        </is>
      </c>
      <c r="G922" s="10" t="inlineStr">
        <is>
          <t>Free</t>
        </is>
      </c>
      <c r="H922" s="10" t="n">
        <v>1</v>
      </c>
      <c r="I922" s="10" t="n">
        <v>1</v>
      </c>
      <c r="J922" s="10" t="n">
        <v>1</v>
      </c>
      <c r="K922" s="10" t="n">
        <v>1</v>
      </c>
      <c r="L922" s="10" t="n">
        <v>513.52</v>
      </c>
      <c r="M922" s="10" t="n">
        <v>0</v>
      </c>
      <c r="N922" s="10" t="n">
        <v>0</v>
      </c>
      <c r="O922" s="10" t="n">
        <v>8</v>
      </c>
      <c r="P922" s="10" t="n">
        <v>43.4</v>
      </c>
      <c r="Q922" s="10">
        <f>A922&amp;"|"&amp;B922&amp;"|"&amp;C922&amp;"|"&amp;D922&amp;"|"&amp;E922&amp;"|"&amp;F922&amp;"|"&amp;G922&amp;"|"&amp;H922&amp;"|"&amp;I922&amp;"|"&amp;J922&amp;"|"&amp;K922&amp;"|"&amp;L922&amp;"|"&amp;M922&amp;"|"&amp;N922&amp;"|"&amp;O922&amp;"|"&amp;P922</f>
        <v/>
      </c>
      <c r="R922" s="10">
        <f>IF(COUNTIF($Q$2:$Q$1409,Q922)&gt;1,IF(COUNTIF($Q$2:Q922,Q922)=1,"Exact Duplicate - Keep First","Exact Duplicate - Remove"),"Unique")</f>
        <v/>
      </c>
    </row>
    <row r="923" ht="15" customHeight="1" s="11">
      <c r="A923" s="10" t="inlineStr">
        <is>
          <t>USR-100922</t>
        </is>
      </c>
      <c r="B923" s="14" t="n">
        <v>45757</v>
      </c>
      <c r="C923" s="10" t="inlineStr">
        <is>
          <t>Treatment</t>
        </is>
      </c>
      <c r="D923" s="10" t="inlineStr">
        <is>
          <t>West</t>
        </is>
      </c>
      <c r="E923" s="10" t="inlineStr">
        <is>
          <t>Tablet</t>
        </is>
      </c>
      <c r="F923" s="10" t="inlineStr">
        <is>
          <t>Paid Search</t>
        </is>
      </c>
      <c r="G923" s="10" t="inlineStr">
        <is>
          <t>Free</t>
        </is>
      </c>
      <c r="H923" s="10" t="n">
        <v>0</v>
      </c>
      <c r="I923" s="10" t="n">
        <v>0</v>
      </c>
      <c r="J923" s="10" t="n">
        <v>0</v>
      </c>
      <c r="K923" s="10" t="n">
        <v>0</v>
      </c>
      <c r="L923" s="10" t="n">
        <v>0</v>
      </c>
      <c r="M923" s="10" t="n">
        <v>0</v>
      </c>
      <c r="N923" s="10" t="n">
        <v>0</v>
      </c>
      <c r="P923" s="10" t="n">
        <v>43</v>
      </c>
      <c r="Q923" s="10">
        <f>A923&amp;"|"&amp;B923&amp;"|"&amp;C923&amp;"|"&amp;D923&amp;"|"&amp;E923&amp;"|"&amp;F923&amp;"|"&amp;G923&amp;"|"&amp;H923&amp;"|"&amp;I923&amp;"|"&amp;J923&amp;"|"&amp;K923&amp;"|"&amp;L923&amp;"|"&amp;M923&amp;"|"&amp;N923&amp;"|"&amp;O923&amp;"|"&amp;P923</f>
        <v/>
      </c>
      <c r="R923" s="10">
        <f>IF(COUNTIF($Q$2:$Q$1409,Q923)&gt;1,IF(COUNTIF($Q$2:Q923,Q923)=1,"Exact Duplicate - Keep First","Exact Duplicate - Remove"),"Unique")</f>
        <v/>
      </c>
    </row>
    <row r="924" ht="15" customHeight="1" s="11">
      <c r="A924" s="10" t="inlineStr">
        <is>
          <t>USR-100923</t>
        </is>
      </c>
      <c r="B924" s="14" t="n">
        <v>45723</v>
      </c>
      <c r="C924" s="10" t="inlineStr">
        <is>
          <t>Treatment</t>
        </is>
      </c>
      <c r="D924" s="10" t="inlineStr">
        <is>
          <t>North</t>
        </is>
      </c>
      <c r="E924" s="10" t="inlineStr">
        <is>
          <t>Desktop</t>
        </is>
      </c>
      <c r="F924" s="10" t="inlineStr">
        <is>
          <t>Organic</t>
        </is>
      </c>
      <c r="G924" s="10" t="inlineStr">
        <is>
          <t>Free</t>
        </is>
      </c>
      <c r="H924" s="10" t="n">
        <v>1</v>
      </c>
      <c r="I924" s="10" t="n">
        <v>1</v>
      </c>
      <c r="J924" s="10" t="n">
        <v>1</v>
      </c>
      <c r="K924" s="10" t="n">
        <v>0</v>
      </c>
      <c r="L924" s="10" t="n">
        <v>0</v>
      </c>
      <c r="M924" s="10" t="n">
        <v>0</v>
      </c>
      <c r="N924" s="10" t="n">
        <v>0</v>
      </c>
      <c r="P924" s="10" t="n">
        <v>51.1</v>
      </c>
      <c r="Q924" s="10">
        <f>A924&amp;"|"&amp;B924&amp;"|"&amp;C924&amp;"|"&amp;D924&amp;"|"&amp;E924&amp;"|"&amp;F924&amp;"|"&amp;G924&amp;"|"&amp;H924&amp;"|"&amp;I924&amp;"|"&amp;J924&amp;"|"&amp;K924&amp;"|"&amp;L924&amp;"|"&amp;M924&amp;"|"&amp;N924&amp;"|"&amp;O924&amp;"|"&amp;P924</f>
        <v/>
      </c>
      <c r="R924" s="10">
        <f>IF(COUNTIF($Q$2:$Q$1409,Q924)&gt;1,IF(COUNTIF($Q$2:Q924,Q924)=1,"Exact Duplicate - Keep First","Exact Duplicate - Remove"),"Unique")</f>
        <v/>
      </c>
    </row>
    <row r="925" ht="15" customHeight="1" s="11">
      <c r="A925" s="10" t="inlineStr">
        <is>
          <t>USR-100924</t>
        </is>
      </c>
      <c r="B925" s="14" t="n">
        <v>45728</v>
      </c>
      <c r="C925" s="10" t="inlineStr">
        <is>
          <t>Treatment</t>
        </is>
      </c>
      <c r="D925" s="10" t="inlineStr">
        <is>
          <t>West</t>
        </is>
      </c>
      <c r="E925" s="10" t="inlineStr">
        <is>
          <t>Mobile</t>
        </is>
      </c>
      <c r="F925" s="10" t="inlineStr">
        <is>
          <t>Email</t>
        </is>
      </c>
      <c r="G925" s="10" t="inlineStr">
        <is>
          <t>Basic</t>
        </is>
      </c>
      <c r="H925" s="10" t="n">
        <v>1</v>
      </c>
      <c r="I925" s="10" t="n">
        <v>0</v>
      </c>
      <c r="J925" s="10" t="n">
        <v>0</v>
      </c>
      <c r="K925" s="10" t="n">
        <v>0</v>
      </c>
      <c r="L925" s="10" t="n">
        <v>0</v>
      </c>
      <c r="M925" s="10" t="n">
        <v>0</v>
      </c>
      <c r="N925" s="10" t="n">
        <v>0</v>
      </c>
      <c r="P925" s="10" t="n">
        <v>48.8</v>
      </c>
      <c r="Q925" s="10">
        <f>A925&amp;"|"&amp;B925&amp;"|"&amp;C925&amp;"|"&amp;D925&amp;"|"&amp;E925&amp;"|"&amp;F925&amp;"|"&amp;G925&amp;"|"&amp;H925&amp;"|"&amp;I925&amp;"|"&amp;J925&amp;"|"&amp;K925&amp;"|"&amp;L925&amp;"|"&amp;M925&amp;"|"&amp;N925&amp;"|"&amp;O925&amp;"|"&amp;P925</f>
        <v/>
      </c>
      <c r="R925" s="10">
        <f>IF(COUNTIF($Q$2:$Q$1409,Q925)&gt;1,IF(COUNTIF($Q$2:Q925,Q925)=1,"Exact Duplicate - Keep First","Exact Duplicate - Remove"),"Unique")</f>
        <v/>
      </c>
    </row>
    <row r="926" ht="15" customHeight="1" s="11">
      <c r="A926" s="10" t="inlineStr">
        <is>
          <t>USR-100925</t>
        </is>
      </c>
      <c r="B926" s="14" t="n">
        <v>45712</v>
      </c>
      <c r="C926" s="10" t="inlineStr">
        <is>
          <t>Treatment</t>
        </is>
      </c>
      <c r="D926" s="10" t="inlineStr">
        <is>
          <t>East</t>
        </is>
      </c>
      <c r="E926" s="10" t="inlineStr">
        <is>
          <t>Mobile</t>
        </is>
      </c>
      <c r="F926" s="10" t="inlineStr">
        <is>
          <t>Referral</t>
        </is>
      </c>
      <c r="G926" s="10" t="inlineStr">
        <is>
          <t>Free</t>
        </is>
      </c>
      <c r="H926" s="10" t="n">
        <v>0</v>
      </c>
      <c r="I926" s="10" t="n">
        <v>0</v>
      </c>
      <c r="J926" s="10" t="n">
        <v>0</v>
      </c>
      <c r="K926" s="10" t="n">
        <v>0</v>
      </c>
      <c r="L926" s="10" t="n">
        <v>0</v>
      </c>
      <c r="M926" s="10" t="n">
        <v>0</v>
      </c>
      <c r="N926" s="10" t="n">
        <v>0</v>
      </c>
      <c r="P926" s="10" t="n">
        <v>73.2</v>
      </c>
      <c r="Q926" s="10">
        <f>A926&amp;"|"&amp;B926&amp;"|"&amp;C926&amp;"|"&amp;D926&amp;"|"&amp;E926&amp;"|"&amp;F926&amp;"|"&amp;G926&amp;"|"&amp;H926&amp;"|"&amp;I926&amp;"|"&amp;J926&amp;"|"&amp;K926&amp;"|"&amp;L926&amp;"|"&amp;M926&amp;"|"&amp;N926&amp;"|"&amp;O926&amp;"|"&amp;P926</f>
        <v/>
      </c>
      <c r="R926" s="10">
        <f>IF(COUNTIF($Q$2:$Q$1409,Q926)&gt;1,IF(COUNTIF($Q$2:Q926,Q926)=1,"Exact Duplicate - Keep First","Exact Duplicate - Remove"),"Unique")</f>
        <v/>
      </c>
    </row>
    <row r="927" ht="15" customHeight="1" s="11">
      <c r="A927" s="10" t="inlineStr">
        <is>
          <t>USR-100926</t>
        </is>
      </c>
      <c r="B927" s="14" t="n">
        <v>45672</v>
      </c>
      <c r="C927" s="10" t="inlineStr">
        <is>
          <t>Treatment</t>
        </is>
      </c>
      <c r="D927" s="10" t="inlineStr">
        <is>
          <t>East</t>
        </is>
      </c>
      <c r="E927" s="10" t="inlineStr">
        <is>
          <t>Mobile</t>
        </is>
      </c>
      <c r="F927" s="10" t="inlineStr">
        <is>
          <t>Referral</t>
        </is>
      </c>
      <c r="G927" s="10" t="inlineStr">
        <is>
          <t>Free</t>
        </is>
      </c>
      <c r="H927" s="10" t="n">
        <v>1</v>
      </c>
      <c r="I927" s="10" t="n">
        <v>1</v>
      </c>
      <c r="J927" s="10" t="n">
        <v>1</v>
      </c>
      <c r="K927" s="10" t="n">
        <v>0</v>
      </c>
      <c r="L927" s="10" t="n">
        <v>0</v>
      </c>
      <c r="M927" s="10" t="n">
        <v>0</v>
      </c>
      <c r="N927" s="10" t="n">
        <v>0</v>
      </c>
      <c r="P927" s="10" t="n">
        <v>80</v>
      </c>
      <c r="Q927" s="10">
        <f>A927&amp;"|"&amp;B927&amp;"|"&amp;C927&amp;"|"&amp;D927&amp;"|"&amp;E927&amp;"|"&amp;F927&amp;"|"&amp;G927&amp;"|"&amp;H927&amp;"|"&amp;I927&amp;"|"&amp;J927&amp;"|"&amp;K927&amp;"|"&amp;L927&amp;"|"&amp;M927&amp;"|"&amp;N927&amp;"|"&amp;O927&amp;"|"&amp;P927</f>
        <v/>
      </c>
      <c r="R927" s="10">
        <f>IF(COUNTIF($Q$2:$Q$1409,Q927)&gt;1,IF(COUNTIF($Q$2:Q927,Q927)=1,"Exact Duplicate - Keep First","Exact Duplicate - Remove"),"Unique")</f>
        <v/>
      </c>
    </row>
    <row r="928" ht="15" customHeight="1" s="11">
      <c r="A928" s="10" t="inlineStr">
        <is>
          <t>USR-100927</t>
        </is>
      </c>
      <c r="B928" s="14" t="n">
        <v>45664</v>
      </c>
      <c r="C928" s="10" t="inlineStr">
        <is>
          <t>Treatment</t>
        </is>
      </c>
      <c r="D928" s="10" t="inlineStr">
        <is>
          <t>North</t>
        </is>
      </c>
      <c r="E928" s="10" t="inlineStr">
        <is>
          <t>Desktop</t>
        </is>
      </c>
      <c r="F928" s="10" t="inlineStr">
        <is>
          <t>Paid Search</t>
        </is>
      </c>
      <c r="G928" s="10" t="inlineStr">
        <is>
          <t>Free</t>
        </is>
      </c>
      <c r="H928" s="10" t="n">
        <v>1</v>
      </c>
      <c r="I928" s="10" t="n">
        <v>0</v>
      </c>
      <c r="J928" s="10" t="n">
        <v>0</v>
      </c>
      <c r="K928" s="10" t="n">
        <v>0</v>
      </c>
      <c r="L928" s="10" t="n">
        <v>0</v>
      </c>
      <c r="M928" s="10" t="n">
        <v>0</v>
      </c>
      <c r="N928" s="10" t="n">
        <v>0</v>
      </c>
      <c r="P928" s="10" t="n">
        <v>52.3</v>
      </c>
      <c r="Q928" s="10">
        <f>A928&amp;"|"&amp;B928&amp;"|"&amp;C928&amp;"|"&amp;D928&amp;"|"&amp;E928&amp;"|"&amp;F928&amp;"|"&amp;G928&amp;"|"&amp;H928&amp;"|"&amp;I928&amp;"|"&amp;J928&amp;"|"&amp;K928&amp;"|"&amp;L928&amp;"|"&amp;M928&amp;"|"&amp;N928&amp;"|"&amp;O928&amp;"|"&amp;P928</f>
        <v/>
      </c>
      <c r="R928" s="10">
        <f>IF(COUNTIF($Q$2:$Q$1409,Q928)&gt;1,IF(COUNTIF($Q$2:Q928,Q928)=1,"Exact Duplicate - Keep First","Exact Duplicate - Remove"),"Unique")</f>
        <v/>
      </c>
    </row>
    <row r="929" ht="15" customHeight="1" s="11">
      <c r="A929" s="10" t="inlineStr">
        <is>
          <t>USR-100928</t>
        </is>
      </c>
      <c r="B929" s="14" t="n">
        <v>45718</v>
      </c>
      <c r="C929" s="10" t="inlineStr">
        <is>
          <t>Treatment</t>
        </is>
      </c>
      <c r="D929" s="10" t="inlineStr">
        <is>
          <t>North</t>
        </is>
      </c>
      <c r="E929" s="10" t="inlineStr">
        <is>
          <t>Desktop</t>
        </is>
      </c>
      <c r="F929" s="10" t="inlineStr">
        <is>
          <t>Organic</t>
        </is>
      </c>
      <c r="G929" s="10" t="inlineStr">
        <is>
          <t>Free</t>
        </is>
      </c>
      <c r="H929" s="10" t="n">
        <v>0</v>
      </c>
      <c r="I929" s="10" t="n">
        <v>0</v>
      </c>
      <c r="J929" s="10" t="n">
        <v>0</v>
      </c>
      <c r="K929" s="10" t="n">
        <v>0</v>
      </c>
      <c r="L929" s="10" t="n">
        <v>0</v>
      </c>
      <c r="M929" s="10" t="n">
        <v>0</v>
      </c>
      <c r="N929" s="10" t="n">
        <v>0</v>
      </c>
      <c r="P929" s="10" t="n">
        <v>49.1</v>
      </c>
      <c r="Q929" s="10">
        <f>A929&amp;"|"&amp;B929&amp;"|"&amp;C929&amp;"|"&amp;D929&amp;"|"&amp;E929&amp;"|"&amp;F929&amp;"|"&amp;G929&amp;"|"&amp;H929&amp;"|"&amp;I929&amp;"|"&amp;J929&amp;"|"&amp;K929&amp;"|"&amp;L929&amp;"|"&amp;M929&amp;"|"&amp;N929&amp;"|"&amp;O929&amp;"|"&amp;P929</f>
        <v/>
      </c>
      <c r="R929" s="10">
        <f>IF(COUNTIF($Q$2:$Q$1409,Q929)&gt;1,IF(COUNTIF($Q$2:Q929,Q929)=1,"Exact Duplicate - Keep First","Exact Duplicate - Remove"),"Unique")</f>
        <v/>
      </c>
    </row>
    <row r="930" ht="15" customHeight="1" s="11">
      <c r="A930" s="10" t="inlineStr">
        <is>
          <t>USR-100929</t>
        </is>
      </c>
      <c r="B930" s="14" t="n">
        <v>45662</v>
      </c>
      <c r="C930" s="10" t="inlineStr">
        <is>
          <t>Treatment</t>
        </is>
      </c>
      <c r="D930" s="10" t="inlineStr">
        <is>
          <t>South</t>
        </is>
      </c>
      <c r="E930" s="10" t="inlineStr">
        <is>
          <t>Desktop</t>
        </is>
      </c>
      <c r="F930" s="10" t="inlineStr">
        <is>
          <t>Referral</t>
        </is>
      </c>
      <c r="G930" s="10" t="inlineStr">
        <is>
          <t>Basic</t>
        </is>
      </c>
      <c r="H930" s="10" t="n">
        <v>0</v>
      </c>
      <c r="I930" s="10" t="n">
        <v>0</v>
      </c>
      <c r="J930" s="10" t="n">
        <v>0</v>
      </c>
      <c r="K930" s="10" t="n">
        <v>0</v>
      </c>
      <c r="L930" s="10" t="n">
        <v>0</v>
      </c>
      <c r="M930" s="10" t="n">
        <v>0</v>
      </c>
      <c r="N930" s="10" t="n">
        <v>0</v>
      </c>
      <c r="P930" s="10" t="n">
        <v>45.3</v>
      </c>
      <c r="Q930" s="10">
        <f>A930&amp;"|"&amp;B930&amp;"|"&amp;C930&amp;"|"&amp;D930&amp;"|"&amp;E930&amp;"|"&amp;F930&amp;"|"&amp;G930&amp;"|"&amp;H930&amp;"|"&amp;I930&amp;"|"&amp;J930&amp;"|"&amp;K930&amp;"|"&amp;L930&amp;"|"&amp;M930&amp;"|"&amp;N930&amp;"|"&amp;O930&amp;"|"&amp;P930</f>
        <v/>
      </c>
      <c r="R930" s="10">
        <f>IF(COUNTIF($Q$2:$Q$1409,Q930)&gt;1,IF(COUNTIF($Q$2:Q930,Q930)=1,"Exact Duplicate - Keep First","Exact Duplicate - Remove"),"Unique")</f>
        <v/>
      </c>
    </row>
    <row r="931" ht="15" customHeight="1" s="11">
      <c r="A931" s="10" t="inlineStr">
        <is>
          <t>USR-100930</t>
        </is>
      </c>
      <c r="B931" s="14" t="n">
        <v>45719</v>
      </c>
      <c r="C931" s="10" t="inlineStr">
        <is>
          <t>Treatment</t>
        </is>
      </c>
      <c r="D931" s="10" t="inlineStr">
        <is>
          <t>South</t>
        </is>
      </c>
      <c r="E931" s="10" t="inlineStr">
        <is>
          <t>Mobile</t>
        </is>
      </c>
      <c r="F931" s="10" t="inlineStr">
        <is>
          <t>Organic</t>
        </is>
      </c>
      <c r="G931" s="10" t="inlineStr">
        <is>
          <t>Free</t>
        </is>
      </c>
      <c r="H931" s="10" t="n">
        <v>1</v>
      </c>
      <c r="I931" s="10" t="n">
        <v>1</v>
      </c>
      <c r="J931" s="10" t="n">
        <v>0</v>
      </c>
      <c r="K931" s="10" t="n">
        <v>0</v>
      </c>
      <c r="L931" s="10" t="n">
        <v>0</v>
      </c>
      <c r="M931" s="10" t="n">
        <v>0</v>
      </c>
      <c r="N931" s="10" t="n">
        <v>0</v>
      </c>
      <c r="P931" s="10" t="n">
        <v>49.1</v>
      </c>
      <c r="Q931" s="10">
        <f>A931&amp;"|"&amp;B931&amp;"|"&amp;C931&amp;"|"&amp;D931&amp;"|"&amp;E931&amp;"|"&amp;F931&amp;"|"&amp;G931&amp;"|"&amp;H931&amp;"|"&amp;I931&amp;"|"&amp;J931&amp;"|"&amp;K931&amp;"|"&amp;L931&amp;"|"&amp;M931&amp;"|"&amp;N931&amp;"|"&amp;O931&amp;"|"&amp;P931</f>
        <v/>
      </c>
      <c r="R931" s="10">
        <f>IF(COUNTIF($Q$2:$Q$1409,Q931)&gt;1,IF(COUNTIF($Q$2:Q931,Q931)=1,"Exact Duplicate - Keep First","Exact Duplicate - Remove"),"Unique")</f>
        <v/>
      </c>
    </row>
    <row r="932" ht="15" customHeight="1" s="11">
      <c r="A932" s="10" t="inlineStr">
        <is>
          <t>USR-100931</t>
        </is>
      </c>
      <c r="B932" s="14" t="n">
        <v>45747</v>
      </c>
      <c r="C932" s="10" t="inlineStr">
        <is>
          <t>Treatment</t>
        </is>
      </c>
      <c r="D932" s="10" t="inlineStr">
        <is>
          <t>East</t>
        </is>
      </c>
      <c r="E932" s="10" t="inlineStr">
        <is>
          <t>Desktop</t>
        </is>
      </c>
      <c r="F932" s="10" t="inlineStr">
        <is>
          <t>Referral</t>
        </is>
      </c>
      <c r="G932" s="10" t="inlineStr">
        <is>
          <t>Free</t>
        </is>
      </c>
      <c r="H932" s="10" t="n">
        <v>1</v>
      </c>
      <c r="I932" s="10" t="n">
        <v>1</v>
      </c>
      <c r="J932" s="10" t="n">
        <v>1</v>
      </c>
      <c r="K932" s="10" t="n">
        <v>1</v>
      </c>
      <c r="L932" s="10" t="n">
        <v>476.44</v>
      </c>
      <c r="M932" s="10" t="n">
        <v>0</v>
      </c>
      <c r="N932" s="10" t="n">
        <v>0</v>
      </c>
      <c r="O932" s="10" t="n">
        <v>3</v>
      </c>
      <c r="P932" s="10" t="n">
        <v>88.59999999999999</v>
      </c>
      <c r="Q932" s="10">
        <f>A932&amp;"|"&amp;B932&amp;"|"&amp;C932&amp;"|"&amp;D932&amp;"|"&amp;E932&amp;"|"&amp;F932&amp;"|"&amp;G932&amp;"|"&amp;H932&amp;"|"&amp;I932&amp;"|"&amp;J932&amp;"|"&amp;K932&amp;"|"&amp;L932&amp;"|"&amp;M932&amp;"|"&amp;N932&amp;"|"&amp;O932&amp;"|"&amp;P932</f>
        <v/>
      </c>
      <c r="R932" s="10">
        <f>IF(COUNTIF($Q$2:$Q$1409,Q932)&gt;1,IF(COUNTIF($Q$2:Q932,Q932)=1,"Exact Duplicate - Keep First","Exact Duplicate - Remove"),"Unique")</f>
        <v/>
      </c>
    </row>
    <row r="933" ht="15" customHeight="1" s="11">
      <c r="A933" s="10" t="inlineStr">
        <is>
          <t>USR-100932</t>
        </is>
      </c>
      <c r="B933" s="14" t="n">
        <v>45671</v>
      </c>
      <c r="C933" s="10" t="inlineStr">
        <is>
          <t>Treatment</t>
        </is>
      </c>
      <c r="D933" s="10" t="inlineStr">
        <is>
          <t>East</t>
        </is>
      </c>
      <c r="E933" s="10" t="inlineStr">
        <is>
          <t>Desktop</t>
        </is>
      </c>
      <c r="F933" s="10" t="inlineStr">
        <is>
          <t>Paid Search</t>
        </is>
      </c>
      <c r="G933" s="10" t="inlineStr">
        <is>
          <t>Premium</t>
        </is>
      </c>
      <c r="H933" s="10" t="n">
        <v>0</v>
      </c>
      <c r="I933" s="10" t="n">
        <v>0</v>
      </c>
      <c r="J933" s="10" t="n">
        <v>0</v>
      </c>
      <c r="K933" s="10" t="n">
        <v>0</v>
      </c>
      <c r="L933" s="10" t="n">
        <v>0</v>
      </c>
      <c r="M933" s="10" t="n">
        <v>1</v>
      </c>
      <c r="N933" s="10" t="n">
        <v>0</v>
      </c>
      <c r="P933" s="10" t="n">
        <v>54.4</v>
      </c>
      <c r="Q933" s="10">
        <f>A933&amp;"|"&amp;B933&amp;"|"&amp;C933&amp;"|"&amp;D933&amp;"|"&amp;E933&amp;"|"&amp;F933&amp;"|"&amp;G933&amp;"|"&amp;H933&amp;"|"&amp;I933&amp;"|"&amp;J933&amp;"|"&amp;K933&amp;"|"&amp;L933&amp;"|"&amp;M933&amp;"|"&amp;N933&amp;"|"&amp;O933&amp;"|"&amp;P933</f>
        <v/>
      </c>
      <c r="R933" s="10">
        <f>IF(COUNTIF($Q$2:$Q$1409,Q933)&gt;1,IF(COUNTIF($Q$2:Q933,Q933)=1,"Exact Duplicate - Keep First","Exact Duplicate - Remove"),"Unique")</f>
        <v/>
      </c>
    </row>
    <row r="934" ht="15" customHeight="1" s="11">
      <c r="A934" s="10" t="inlineStr">
        <is>
          <t>USR-100933</t>
        </is>
      </c>
      <c r="B934" s="14" t="n">
        <v>45672</v>
      </c>
      <c r="C934" s="10" t="inlineStr">
        <is>
          <t>Treatment</t>
        </is>
      </c>
      <c r="D934" s="10" t="inlineStr">
        <is>
          <t>West</t>
        </is>
      </c>
      <c r="E934" s="10" t="inlineStr">
        <is>
          <t>Desktop</t>
        </is>
      </c>
      <c r="F934" s="10" t="inlineStr">
        <is>
          <t>Paid Search</t>
        </is>
      </c>
      <c r="G934" s="10" t="inlineStr">
        <is>
          <t>Premium</t>
        </is>
      </c>
      <c r="H934" s="10" t="n">
        <v>1</v>
      </c>
      <c r="I934" s="10" t="n">
        <v>0</v>
      </c>
      <c r="J934" s="10" t="n">
        <v>0</v>
      </c>
      <c r="K934" s="10" t="n">
        <v>0</v>
      </c>
      <c r="L934" s="10" t="n">
        <v>0</v>
      </c>
      <c r="M934" s="10" t="n">
        <v>0</v>
      </c>
      <c r="N934" s="10" t="n">
        <v>0</v>
      </c>
      <c r="P934" s="10" t="n">
        <v>72.90000000000001</v>
      </c>
      <c r="Q934" s="10">
        <f>A934&amp;"|"&amp;B934&amp;"|"&amp;C934&amp;"|"&amp;D934&amp;"|"&amp;E934&amp;"|"&amp;F934&amp;"|"&amp;G934&amp;"|"&amp;H934&amp;"|"&amp;I934&amp;"|"&amp;J934&amp;"|"&amp;K934&amp;"|"&amp;L934&amp;"|"&amp;M934&amp;"|"&amp;N934&amp;"|"&amp;O934&amp;"|"&amp;P934</f>
        <v/>
      </c>
      <c r="R934" s="10">
        <f>IF(COUNTIF($Q$2:$Q$1409,Q934)&gt;1,IF(COUNTIF($Q$2:Q934,Q934)=1,"Exact Duplicate - Keep First","Exact Duplicate - Remove"),"Unique")</f>
        <v/>
      </c>
    </row>
    <row r="935" ht="15" customHeight="1" s="11">
      <c r="A935" s="10" t="inlineStr">
        <is>
          <t>USR-100934</t>
        </is>
      </c>
      <c r="B935" s="14" t="n">
        <v>45772</v>
      </c>
      <c r="C935" s="10" t="inlineStr">
        <is>
          <t>Treatment</t>
        </is>
      </c>
      <c r="D935" s="10" t="inlineStr">
        <is>
          <t>West</t>
        </is>
      </c>
      <c r="E935" s="10" t="inlineStr">
        <is>
          <t>Desktop</t>
        </is>
      </c>
      <c r="F935" s="10" t="inlineStr">
        <is>
          <t>Organic</t>
        </is>
      </c>
      <c r="G935" s="10" t="inlineStr">
        <is>
          <t>Free</t>
        </is>
      </c>
      <c r="H935" s="10" t="n">
        <v>1</v>
      </c>
      <c r="I935" s="10" t="n">
        <v>0</v>
      </c>
      <c r="J935" s="10" t="n">
        <v>0</v>
      </c>
      <c r="K935" s="10" t="n">
        <v>0</v>
      </c>
      <c r="L935" s="10" t="n">
        <v>0</v>
      </c>
      <c r="M935" s="10" t="n">
        <v>0</v>
      </c>
      <c r="N935" s="10" t="n">
        <v>0</v>
      </c>
      <c r="P935" s="10" t="n">
        <v>53.2</v>
      </c>
      <c r="Q935" s="10">
        <f>A935&amp;"|"&amp;B935&amp;"|"&amp;C935&amp;"|"&amp;D935&amp;"|"&amp;E935&amp;"|"&amp;F935&amp;"|"&amp;G935&amp;"|"&amp;H935&amp;"|"&amp;I935&amp;"|"&amp;J935&amp;"|"&amp;K935&amp;"|"&amp;L935&amp;"|"&amp;M935&amp;"|"&amp;N935&amp;"|"&amp;O935&amp;"|"&amp;P935</f>
        <v/>
      </c>
      <c r="R935" s="10">
        <f>IF(COUNTIF($Q$2:$Q$1409,Q935)&gt;1,IF(COUNTIF($Q$2:Q935,Q935)=1,"Exact Duplicate - Keep First","Exact Duplicate - Remove"),"Unique")</f>
        <v/>
      </c>
    </row>
    <row r="936" ht="15" customHeight="1" s="11">
      <c r="A936" s="10" t="inlineStr">
        <is>
          <t>USR-100935</t>
        </is>
      </c>
      <c r="B936" s="14" t="n">
        <v>45737</v>
      </c>
      <c r="C936" s="10" t="inlineStr">
        <is>
          <t>Treatment</t>
        </is>
      </c>
      <c r="D936" s="10" t="inlineStr">
        <is>
          <t>East</t>
        </is>
      </c>
      <c r="E936" s="10" t="inlineStr">
        <is>
          <t>Mobile</t>
        </is>
      </c>
      <c r="F936" s="10" t="inlineStr">
        <is>
          <t>Organic</t>
        </is>
      </c>
      <c r="G936" s="10" t="inlineStr">
        <is>
          <t>Basic</t>
        </is>
      </c>
      <c r="H936" s="10" t="n">
        <v>1</v>
      </c>
      <c r="I936" s="10" t="n">
        <v>1</v>
      </c>
      <c r="J936" s="10" t="n">
        <v>0</v>
      </c>
      <c r="K936" s="10" t="n">
        <v>0</v>
      </c>
      <c r="L936" s="10" t="n">
        <v>0</v>
      </c>
      <c r="M936" s="10" t="n">
        <v>0</v>
      </c>
      <c r="N936" s="10" t="n">
        <v>0</v>
      </c>
      <c r="P936" s="10" t="n">
        <v>48.7</v>
      </c>
      <c r="Q936" s="10">
        <f>A936&amp;"|"&amp;B936&amp;"|"&amp;C936&amp;"|"&amp;D936&amp;"|"&amp;E936&amp;"|"&amp;F936&amp;"|"&amp;G936&amp;"|"&amp;H936&amp;"|"&amp;I936&amp;"|"&amp;J936&amp;"|"&amp;K936&amp;"|"&amp;L936&amp;"|"&amp;M936&amp;"|"&amp;N936&amp;"|"&amp;O936&amp;"|"&amp;P936</f>
        <v/>
      </c>
      <c r="R936" s="10">
        <f>IF(COUNTIF($Q$2:$Q$1409,Q936)&gt;1,IF(COUNTIF($Q$2:Q936,Q936)=1,"Exact Duplicate - Keep First","Exact Duplicate - Remove"),"Unique")</f>
        <v/>
      </c>
    </row>
    <row r="937" ht="15" customHeight="1" s="11">
      <c r="A937" s="10" t="inlineStr">
        <is>
          <t>USR-100936</t>
        </is>
      </c>
      <c r="B937" s="14" t="n">
        <v>45773</v>
      </c>
      <c r="C937" s="10" t="inlineStr">
        <is>
          <t>Treatment</t>
        </is>
      </c>
      <c r="D937" s="10" t="inlineStr">
        <is>
          <t>South</t>
        </is>
      </c>
      <c r="E937" s="10" t="inlineStr">
        <is>
          <t>Mobile</t>
        </is>
      </c>
      <c r="F937" s="10" t="inlineStr">
        <is>
          <t>Paid Search</t>
        </is>
      </c>
      <c r="G937" s="10" t="inlineStr">
        <is>
          <t>Basic</t>
        </is>
      </c>
      <c r="H937" s="10" t="n">
        <v>1</v>
      </c>
      <c r="I937" s="10" t="n">
        <v>1</v>
      </c>
      <c r="J937" s="10" t="n">
        <v>1</v>
      </c>
      <c r="K937" s="10" t="n">
        <v>0</v>
      </c>
      <c r="L937" s="10" t="n">
        <v>0</v>
      </c>
      <c r="M937" s="10" t="n">
        <v>0</v>
      </c>
      <c r="N937" s="10" t="n">
        <v>0</v>
      </c>
      <c r="P937" s="10" t="n">
        <v>59.9</v>
      </c>
      <c r="Q937" s="10">
        <f>A937&amp;"|"&amp;B937&amp;"|"&amp;C937&amp;"|"&amp;D937&amp;"|"&amp;E937&amp;"|"&amp;F937&amp;"|"&amp;G937&amp;"|"&amp;H937&amp;"|"&amp;I937&amp;"|"&amp;J937&amp;"|"&amp;K937&amp;"|"&amp;L937&amp;"|"&amp;M937&amp;"|"&amp;N937&amp;"|"&amp;O937&amp;"|"&amp;P937</f>
        <v/>
      </c>
      <c r="R937" s="10">
        <f>IF(COUNTIF($Q$2:$Q$1409,Q937)&gt;1,IF(COUNTIF($Q$2:Q937,Q937)=1,"Exact Duplicate - Keep First","Exact Duplicate - Remove"),"Unique")</f>
        <v/>
      </c>
    </row>
    <row r="938" ht="15" customHeight="1" s="11">
      <c r="A938" s="10" t="inlineStr">
        <is>
          <t>USR-100937</t>
        </is>
      </c>
      <c r="B938" s="14" t="n">
        <v>45798</v>
      </c>
      <c r="C938" s="10" t="inlineStr">
        <is>
          <t>Treatment</t>
        </is>
      </c>
      <c r="D938" s="10" t="inlineStr">
        <is>
          <t>South</t>
        </is>
      </c>
      <c r="E938" s="10" t="inlineStr">
        <is>
          <t>Desktop</t>
        </is>
      </c>
      <c r="G938" s="10" t="inlineStr">
        <is>
          <t>Basic</t>
        </is>
      </c>
      <c r="H938" s="10" t="n">
        <v>0</v>
      </c>
      <c r="I938" s="10" t="n">
        <v>0</v>
      </c>
      <c r="J938" s="10" t="n">
        <v>0</v>
      </c>
      <c r="K938" s="10" t="n">
        <v>0</v>
      </c>
      <c r="L938" s="10" t="n">
        <v>0</v>
      </c>
      <c r="M938" s="10" t="n">
        <v>0</v>
      </c>
      <c r="N938" s="10" t="n">
        <v>0</v>
      </c>
      <c r="P938" s="10" t="n">
        <v>82</v>
      </c>
      <c r="Q938" s="10">
        <f>A938&amp;"|"&amp;B938&amp;"|"&amp;C938&amp;"|"&amp;D938&amp;"|"&amp;E938&amp;"|"&amp;F938&amp;"|"&amp;G938&amp;"|"&amp;H938&amp;"|"&amp;I938&amp;"|"&amp;J938&amp;"|"&amp;K938&amp;"|"&amp;L938&amp;"|"&amp;M938&amp;"|"&amp;N938&amp;"|"&amp;O938&amp;"|"&amp;P938</f>
        <v/>
      </c>
      <c r="R938" s="10">
        <f>IF(COUNTIF($Q$2:$Q$1409,Q938)&gt;1,IF(COUNTIF($Q$2:Q938,Q938)=1,"Exact Duplicate - Keep First","Exact Duplicate - Remove"),"Unique")</f>
        <v/>
      </c>
    </row>
    <row r="939" ht="15" customHeight="1" s="11">
      <c r="A939" s="10" t="inlineStr">
        <is>
          <t>USR-100938</t>
        </is>
      </c>
      <c r="B939" s="14" t="n">
        <v>45765</v>
      </c>
      <c r="C939" s="10" t="inlineStr">
        <is>
          <t>Treatment</t>
        </is>
      </c>
      <c r="D939" s="10" t="inlineStr">
        <is>
          <t>East</t>
        </is>
      </c>
      <c r="E939" s="10" t="inlineStr">
        <is>
          <t>Mobile</t>
        </is>
      </c>
      <c r="F939" s="10" t="inlineStr">
        <is>
          <t>Paid Search</t>
        </is>
      </c>
      <c r="G939" s="10" t="inlineStr">
        <is>
          <t>Free</t>
        </is>
      </c>
      <c r="H939" s="10" t="n">
        <v>0</v>
      </c>
      <c r="I939" s="10" t="n">
        <v>0</v>
      </c>
      <c r="J939" s="10" t="n">
        <v>0</v>
      </c>
      <c r="K939" s="10" t="n">
        <v>0</v>
      </c>
      <c r="L939" s="10" t="n">
        <v>0</v>
      </c>
      <c r="M939" s="10" t="n">
        <v>0</v>
      </c>
      <c r="N939" s="10" t="n">
        <v>0</v>
      </c>
      <c r="P939" s="10" t="n">
        <v>72.09999999999999</v>
      </c>
      <c r="Q939" s="10">
        <f>A939&amp;"|"&amp;B939&amp;"|"&amp;C939&amp;"|"&amp;D939&amp;"|"&amp;E939&amp;"|"&amp;F939&amp;"|"&amp;G939&amp;"|"&amp;H939&amp;"|"&amp;I939&amp;"|"&amp;J939&amp;"|"&amp;K939&amp;"|"&amp;L939&amp;"|"&amp;M939&amp;"|"&amp;N939&amp;"|"&amp;O939&amp;"|"&amp;P939</f>
        <v/>
      </c>
      <c r="R939" s="10">
        <f>IF(COUNTIF($Q$2:$Q$1409,Q939)&gt;1,IF(COUNTIF($Q$2:Q939,Q939)=1,"Exact Duplicate - Keep First","Exact Duplicate - Remove"),"Unique")</f>
        <v/>
      </c>
    </row>
    <row r="940" ht="15" customHeight="1" s="11">
      <c r="A940" s="10" t="inlineStr">
        <is>
          <t>USR-100939</t>
        </is>
      </c>
      <c r="B940" s="14" t="n">
        <v>45686</v>
      </c>
      <c r="C940" s="10" t="inlineStr">
        <is>
          <t>Treatment</t>
        </is>
      </c>
      <c r="D940" s="10" t="inlineStr">
        <is>
          <t>North</t>
        </is>
      </c>
      <c r="E940" s="10" t="inlineStr">
        <is>
          <t>Desktop</t>
        </is>
      </c>
      <c r="F940" s="10" t="inlineStr">
        <is>
          <t>Email</t>
        </is>
      </c>
      <c r="G940" s="10" t="inlineStr">
        <is>
          <t>Premium</t>
        </is>
      </c>
      <c r="H940" s="10" t="n">
        <v>1</v>
      </c>
      <c r="I940" s="10" t="n">
        <v>1</v>
      </c>
      <c r="J940" s="10" t="n">
        <v>0</v>
      </c>
      <c r="K940" s="10" t="n">
        <v>0</v>
      </c>
      <c r="L940" s="10" t="n">
        <v>0</v>
      </c>
      <c r="M940" s="10" t="n">
        <v>0</v>
      </c>
      <c r="N940" s="10" t="n">
        <v>0</v>
      </c>
      <c r="P940" s="10" t="n">
        <v>68.3</v>
      </c>
      <c r="Q940" s="10">
        <f>A940&amp;"|"&amp;B940&amp;"|"&amp;C940&amp;"|"&amp;D940&amp;"|"&amp;E940&amp;"|"&amp;F940&amp;"|"&amp;G940&amp;"|"&amp;H940&amp;"|"&amp;I940&amp;"|"&amp;J940&amp;"|"&amp;K940&amp;"|"&amp;L940&amp;"|"&amp;M940&amp;"|"&amp;N940&amp;"|"&amp;O940&amp;"|"&amp;P940</f>
        <v/>
      </c>
      <c r="R940" s="10">
        <f>IF(COUNTIF($Q$2:$Q$1409,Q940)&gt;1,IF(COUNTIF($Q$2:Q940,Q940)=1,"Exact Duplicate - Keep First","Exact Duplicate - Remove"),"Unique")</f>
        <v/>
      </c>
    </row>
    <row r="941" ht="15" customHeight="1" s="11">
      <c r="A941" s="10" t="inlineStr">
        <is>
          <t>USR-100940</t>
        </is>
      </c>
      <c r="B941" s="14" t="n">
        <v>45805</v>
      </c>
      <c r="C941" s="10" t="inlineStr">
        <is>
          <t>Treatment</t>
        </is>
      </c>
      <c r="D941" s="10" t="inlineStr">
        <is>
          <t>West</t>
        </is>
      </c>
      <c r="E941" s="10" t="inlineStr">
        <is>
          <t>Mobile</t>
        </is>
      </c>
      <c r="F941" s="10" t="inlineStr">
        <is>
          <t>Organic</t>
        </is>
      </c>
      <c r="G941" s="10" t="inlineStr">
        <is>
          <t>Premium</t>
        </is>
      </c>
      <c r="H941" s="10" t="n">
        <v>0</v>
      </c>
      <c r="I941" s="10" t="n">
        <v>0</v>
      </c>
      <c r="J941" s="10" t="n">
        <v>0</v>
      </c>
      <c r="K941" s="10" t="n">
        <v>0</v>
      </c>
      <c r="L941" s="10" t="n">
        <v>0</v>
      </c>
      <c r="M941" s="10" t="n">
        <v>0</v>
      </c>
      <c r="N941" s="10" t="n">
        <v>0</v>
      </c>
      <c r="P941" s="10" t="n">
        <v>100</v>
      </c>
      <c r="Q941" s="10">
        <f>A941&amp;"|"&amp;B941&amp;"|"&amp;C941&amp;"|"&amp;D941&amp;"|"&amp;E941&amp;"|"&amp;F941&amp;"|"&amp;G941&amp;"|"&amp;H941&amp;"|"&amp;I941&amp;"|"&amp;J941&amp;"|"&amp;K941&amp;"|"&amp;L941&amp;"|"&amp;M941&amp;"|"&amp;N941&amp;"|"&amp;O941&amp;"|"&amp;P941</f>
        <v/>
      </c>
      <c r="R941" s="10">
        <f>IF(COUNTIF($Q$2:$Q$1409,Q941)&gt;1,IF(COUNTIF($Q$2:Q941,Q941)=1,"Exact Duplicate - Keep First","Exact Duplicate - Remove"),"Unique")</f>
        <v/>
      </c>
    </row>
    <row r="942" ht="15" customHeight="1" s="11">
      <c r="A942" s="10" t="inlineStr">
        <is>
          <t>USR-100941</t>
        </is>
      </c>
      <c r="B942" s="14" t="n">
        <v>45672</v>
      </c>
      <c r="C942" s="10" t="inlineStr">
        <is>
          <t>Treatment</t>
        </is>
      </c>
      <c r="D942" s="10" t="inlineStr">
        <is>
          <t>East</t>
        </is>
      </c>
      <c r="E942" s="10" t="inlineStr">
        <is>
          <t>Mobile</t>
        </is>
      </c>
      <c r="F942" s="10" t="inlineStr">
        <is>
          <t>Email</t>
        </is>
      </c>
      <c r="G942" s="10" t="inlineStr">
        <is>
          <t>Free</t>
        </is>
      </c>
      <c r="H942" s="10" t="n">
        <v>1</v>
      </c>
      <c r="I942" s="10" t="n">
        <v>1</v>
      </c>
      <c r="J942" s="10" t="n">
        <v>1</v>
      </c>
      <c r="K942" s="10" t="n">
        <v>0</v>
      </c>
      <c r="L942" s="10" t="n">
        <v>0</v>
      </c>
      <c r="M942" s="10" t="n">
        <v>2</v>
      </c>
      <c r="N942" s="10" t="n">
        <v>0</v>
      </c>
      <c r="P942" s="10" t="n">
        <v>76.5</v>
      </c>
      <c r="Q942" s="10">
        <f>A942&amp;"|"&amp;B942&amp;"|"&amp;C942&amp;"|"&amp;D942&amp;"|"&amp;E942&amp;"|"&amp;F942&amp;"|"&amp;G942&amp;"|"&amp;H942&amp;"|"&amp;I942&amp;"|"&amp;J942&amp;"|"&amp;K942&amp;"|"&amp;L942&amp;"|"&amp;M942&amp;"|"&amp;N942&amp;"|"&amp;O942&amp;"|"&amp;P942</f>
        <v/>
      </c>
      <c r="R942" s="10">
        <f>IF(COUNTIF($Q$2:$Q$1409,Q942)&gt;1,IF(COUNTIF($Q$2:Q942,Q942)=1,"Exact Duplicate - Keep First","Exact Duplicate - Remove"),"Unique")</f>
        <v/>
      </c>
    </row>
    <row r="943" ht="15" customHeight="1" s="11">
      <c r="A943" s="10" t="inlineStr">
        <is>
          <t>USR-100942</t>
        </is>
      </c>
      <c r="B943" s="14" t="n">
        <v>45660</v>
      </c>
      <c r="C943" s="10" t="inlineStr">
        <is>
          <t>Treatment</t>
        </is>
      </c>
      <c r="D943" s="10" t="inlineStr">
        <is>
          <t>South</t>
        </is>
      </c>
      <c r="E943" s="10" t="inlineStr">
        <is>
          <t>Mobile</t>
        </is>
      </c>
      <c r="F943" s="10" t="inlineStr">
        <is>
          <t>Organic</t>
        </is>
      </c>
      <c r="G943" s="10" t="inlineStr">
        <is>
          <t>Basic</t>
        </is>
      </c>
      <c r="H943" s="10" t="n">
        <v>1</v>
      </c>
      <c r="I943" s="10" t="n">
        <v>1</v>
      </c>
      <c r="J943" s="10" t="n">
        <v>0</v>
      </c>
      <c r="K943" s="10" t="n">
        <v>0</v>
      </c>
      <c r="L943" s="10" t="n">
        <v>0</v>
      </c>
      <c r="M943" s="10" t="n">
        <v>0</v>
      </c>
      <c r="N943" s="10" t="n">
        <v>0</v>
      </c>
      <c r="P943" s="10" t="n">
        <v>62</v>
      </c>
      <c r="Q943" s="10">
        <f>A943&amp;"|"&amp;B943&amp;"|"&amp;C943&amp;"|"&amp;D943&amp;"|"&amp;E943&amp;"|"&amp;F943&amp;"|"&amp;G943&amp;"|"&amp;H943&amp;"|"&amp;I943&amp;"|"&amp;J943&amp;"|"&amp;K943&amp;"|"&amp;L943&amp;"|"&amp;M943&amp;"|"&amp;N943&amp;"|"&amp;O943&amp;"|"&amp;P943</f>
        <v/>
      </c>
      <c r="R943" s="10">
        <f>IF(COUNTIF($Q$2:$Q$1409,Q943)&gt;1,IF(COUNTIF($Q$2:Q943,Q943)=1,"Exact Duplicate - Keep First","Exact Duplicate - Remove"),"Unique")</f>
        <v/>
      </c>
    </row>
    <row r="944" ht="15" customHeight="1" s="11">
      <c r="A944" s="10" t="inlineStr">
        <is>
          <t>USR-100943</t>
        </is>
      </c>
      <c r="B944" s="14" t="n">
        <v>45692</v>
      </c>
      <c r="C944" s="10" t="inlineStr">
        <is>
          <t>Treatment</t>
        </is>
      </c>
      <c r="D944" s="10" t="inlineStr">
        <is>
          <t>South</t>
        </is>
      </c>
      <c r="E944" s="10" t="inlineStr">
        <is>
          <t>Mobile</t>
        </is>
      </c>
      <c r="F944" s="10" t="inlineStr">
        <is>
          <t>Paid Search</t>
        </is>
      </c>
      <c r="G944" s="10" t="inlineStr">
        <is>
          <t>Free</t>
        </is>
      </c>
      <c r="H944" s="10" t="n">
        <v>1</v>
      </c>
      <c r="I944" s="10" t="n">
        <v>1</v>
      </c>
      <c r="J944" s="10" t="n">
        <v>1</v>
      </c>
      <c r="K944" s="10" t="n">
        <v>1</v>
      </c>
      <c r="L944" s="10" t="n">
        <v>324.68</v>
      </c>
      <c r="M944" s="10" t="n">
        <v>1</v>
      </c>
      <c r="N944" s="10" t="n">
        <v>0</v>
      </c>
      <c r="O944" s="10" t="n">
        <v>7</v>
      </c>
      <c r="P944" s="10" t="n">
        <v>50.1</v>
      </c>
      <c r="Q944" s="10">
        <f>A944&amp;"|"&amp;B944&amp;"|"&amp;C944&amp;"|"&amp;D944&amp;"|"&amp;E944&amp;"|"&amp;F944&amp;"|"&amp;G944&amp;"|"&amp;H944&amp;"|"&amp;I944&amp;"|"&amp;J944&amp;"|"&amp;K944&amp;"|"&amp;L944&amp;"|"&amp;M944&amp;"|"&amp;N944&amp;"|"&amp;O944&amp;"|"&amp;P944</f>
        <v/>
      </c>
      <c r="R944" s="10">
        <f>IF(COUNTIF($Q$2:$Q$1409,Q944)&gt;1,IF(COUNTIF($Q$2:Q944,Q944)=1,"Exact Duplicate - Keep First","Exact Duplicate - Remove"),"Unique")</f>
        <v/>
      </c>
    </row>
    <row r="945" ht="15" customHeight="1" s="11">
      <c r="A945" s="10" t="inlineStr">
        <is>
          <t>USR-100944</t>
        </is>
      </c>
      <c r="B945" s="14" t="n">
        <v>45710</v>
      </c>
      <c r="C945" s="10" t="inlineStr">
        <is>
          <t>Treatment</t>
        </is>
      </c>
      <c r="D945" s="10" t="inlineStr">
        <is>
          <t>South</t>
        </is>
      </c>
      <c r="E945" s="10" t="inlineStr">
        <is>
          <t>Mobile</t>
        </is>
      </c>
      <c r="F945" s="10" t="inlineStr">
        <is>
          <t>Referral</t>
        </is>
      </c>
      <c r="G945" s="10" t="inlineStr">
        <is>
          <t>Premium</t>
        </is>
      </c>
      <c r="H945" s="10" t="n">
        <v>1</v>
      </c>
      <c r="I945" s="10" t="n">
        <v>0</v>
      </c>
      <c r="J945" s="10" t="n">
        <v>0</v>
      </c>
      <c r="K945" s="10" t="n">
        <v>0</v>
      </c>
      <c r="L945" s="10" t="n">
        <v>0</v>
      </c>
      <c r="M945" s="10" t="n">
        <v>0</v>
      </c>
      <c r="N945" s="10" t="n">
        <v>0</v>
      </c>
      <c r="P945" s="10" t="n">
        <v>62.1</v>
      </c>
      <c r="Q945" s="10">
        <f>A945&amp;"|"&amp;B945&amp;"|"&amp;C945&amp;"|"&amp;D945&amp;"|"&amp;E945&amp;"|"&amp;F945&amp;"|"&amp;G945&amp;"|"&amp;H945&amp;"|"&amp;I945&amp;"|"&amp;J945&amp;"|"&amp;K945&amp;"|"&amp;L945&amp;"|"&amp;M945&amp;"|"&amp;N945&amp;"|"&amp;O945&amp;"|"&amp;P945</f>
        <v/>
      </c>
      <c r="R945" s="10">
        <f>IF(COUNTIF($Q$2:$Q$1409,Q945)&gt;1,IF(COUNTIF($Q$2:Q945,Q945)=1,"Exact Duplicate - Keep First","Exact Duplicate - Remove"),"Unique")</f>
        <v/>
      </c>
    </row>
    <row r="946" ht="15" customHeight="1" s="11">
      <c r="A946" s="10" t="inlineStr">
        <is>
          <t>USR-100945</t>
        </is>
      </c>
      <c r="B946" s="14" t="n">
        <v>45783</v>
      </c>
      <c r="C946" s="10" t="inlineStr">
        <is>
          <t>Treatment</t>
        </is>
      </c>
      <c r="D946" s="10" t="inlineStr">
        <is>
          <t>West</t>
        </is>
      </c>
      <c r="E946" s="10" t="inlineStr">
        <is>
          <t>Mobile</t>
        </is>
      </c>
      <c r="F946" s="10" t="inlineStr">
        <is>
          <t>Organic</t>
        </is>
      </c>
      <c r="G946" s="10" t="inlineStr">
        <is>
          <t>Basic</t>
        </is>
      </c>
      <c r="H946" s="10" t="n">
        <v>1</v>
      </c>
      <c r="I946" s="10" t="n">
        <v>0</v>
      </c>
      <c r="J946" s="10" t="n">
        <v>0</v>
      </c>
      <c r="K946" s="10" t="n">
        <v>0</v>
      </c>
      <c r="L946" s="10" t="n">
        <v>0</v>
      </c>
      <c r="M946" s="10" t="n">
        <v>0</v>
      </c>
      <c r="N946" s="10" t="n">
        <v>0</v>
      </c>
      <c r="P946" s="10" t="n">
        <v>49.7</v>
      </c>
      <c r="Q946" s="10">
        <f>A946&amp;"|"&amp;B946&amp;"|"&amp;C946&amp;"|"&amp;D946&amp;"|"&amp;E946&amp;"|"&amp;F946&amp;"|"&amp;G946&amp;"|"&amp;H946&amp;"|"&amp;I946&amp;"|"&amp;J946&amp;"|"&amp;K946&amp;"|"&amp;L946&amp;"|"&amp;M946&amp;"|"&amp;N946&amp;"|"&amp;O946&amp;"|"&amp;P946</f>
        <v/>
      </c>
      <c r="R946" s="10">
        <f>IF(COUNTIF($Q$2:$Q$1409,Q946)&gt;1,IF(COUNTIF($Q$2:Q946,Q946)=1,"Exact Duplicate - Keep First","Exact Duplicate - Remove"),"Unique")</f>
        <v/>
      </c>
    </row>
    <row r="947" ht="15" customHeight="1" s="11">
      <c r="A947" s="10" t="inlineStr">
        <is>
          <t>USR-100946</t>
        </is>
      </c>
      <c r="B947" s="14" t="n">
        <v>45688</v>
      </c>
      <c r="C947" s="10" t="inlineStr">
        <is>
          <t>Treatment</t>
        </is>
      </c>
      <c r="D947" s="10" t="inlineStr">
        <is>
          <t>South</t>
        </is>
      </c>
      <c r="E947" s="10" t="inlineStr">
        <is>
          <t>Mobile</t>
        </is>
      </c>
      <c r="F947" s="10" t="inlineStr">
        <is>
          <t>Organic</t>
        </is>
      </c>
      <c r="G947" s="10" t="inlineStr">
        <is>
          <t>Free</t>
        </is>
      </c>
      <c r="H947" s="10" t="n">
        <v>1</v>
      </c>
      <c r="I947" s="10" t="n">
        <v>0</v>
      </c>
      <c r="J947" s="10" t="n">
        <v>0</v>
      </c>
      <c r="K947" s="10" t="n">
        <v>0</v>
      </c>
      <c r="L947" s="10" t="n">
        <v>0</v>
      </c>
      <c r="M947" s="10" t="n">
        <v>3</v>
      </c>
      <c r="N947" s="10" t="n">
        <v>0</v>
      </c>
      <c r="P947" s="10" t="n">
        <v>71.09999999999999</v>
      </c>
      <c r="Q947" s="10">
        <f>A947&amp;"|"&amp;B947&amp;"|"&amp;C947&amp;"|"&amp;D947&amp;"|"&amp;E947&amp;"|"&amp;F947&amp;"|"&amp;G947&amp;"|"&amp;H947&amp;"|"&amp;I947&amp;"|"&amp;J947&amp;"|"&amp;K947&amp;"|"&amp;L947&amp;"|"&amp;M947&amp;"|"&amp;N947&amp;"|"&amp;O947&amp;"|"&amp;P947</f>
        <v/>
      </c>
      <c r="R947" s="10">
        <f>IF(COUNTIF($Q$2:$Q$1409,Q947)&gt;1,IF(COUNTIF($Q$2:Q947,Q947)=1,"Exact Duplicate - Keep First","Exact Duplicate - Remove"),"Unique")</f>
        <v/>
      </c>
    </row>
    <row r="948" ht="15" customHeight="1" s="11">
      <c r="A948" s="10" t="inlineStr">
        <is>
          <t>USR-100947</t>
        </is>
      </c>
      <c r="B948" s="14" t="n">
        <v>45706</v>
      </c>
      <c r="C948" s="10" t="inlineStr">
        <is>
          <t>Treatment</t>
        </is>
      </c>
      <c r="D948" s="10" t="inlineStr">
        <is>
          <t>North</t>
        </is>
      </c>
      <c r="E948" s="10" t="inlineStr">
        <is>
          <t>Mobile</t>
        </is>
      </c>
      <c r="F948" s="10" t="inlineStr">
        <is>
          <t>Social</t>
        </is>
      </c>
      <c r="G948" s="10" t="inlineStr">
        <is>
          <t>Basic</t>
        </is>
      </c>
      <c r="H948" s="10" t="n">
        <v>0</v>
      </c>
      <c r="I948" s="10" t="n">
        <v>0</v>
      </c>
      <c r="J948" s="10" t="n">
        <v>0</v>
      </c>
      <c r="K948" s="10" t="n">
        <v>0</v>
      </c>
      <c r="L948" s="10" t="n">
        <v>0</v>
      </c>
      <c r="M948" s="10" t="n">
        <v>0</v>
      </c>
      <c r="N948" s="10" t="n">
        <v>0</v>
      </c>
      <c r="P948" s="10" t="n">
        <v>70.8</v>
      </c>
      <c r="Q948" s="10">
        <f>A948&amp;"|"&amp;B948&amp;"|"&amp;C948&amp;"|"&amp;D948&amp;"|"&amp;E948&amp;"|"&amp;F948&amp;"|"&amp;G948&amp;"|"&amp;H948&amp;"|"&amp;I948&amp;"|"&amp;J948&amp;"|"&amp;K948&amp;"|"&amp;L948&amp;"|"&amp;M948&amp;"|"&amp;N948&amp;"|"&amp;O948&amp;"|"&amp;P948</f>
        <v/>
      </c>
      <c r="R948" s="10">
        <f>IF(COUNTIF($Q$2:$Q$1409,Q948)&gt;1,IF(COUNTIF($Q$2:Q948,Q948)=1,"Exact Duplicate - Keep First","Exact Duplicate - Remove"),"Unique")</f>
        <v/>
      </c>
    </row>
    <row r="949" ht="15" customHeight="1" s="11">
      <c r="A949" s="10" t="inlineStr">
        <is>
          <t>USR-100948</t>
        </is>
      </c>
      <c r="B949" s="14" t="n">
        <v>45770</v>
      </c>
      <c r="C949" s="10" t="inlineStr">
        <is>
          <t>Treatment</t>
        </is>
      </c>
      <c r="D949" s="10" t="inlineStr">
        <is>
          <t>East</t>
        </is>
      </c>
      <c r="E949" s="10" t="inlineStr">
        <is>
          <t>Mobile</t>
        </is>
      </c>
      <c r="F949" s="10" t="inlineStr">
        <is>
          <t>Paid Search</t>
        </is>
      </c>
      <c r="G949" s="10" t="inlineStr">
        <is>
          <t>Free</t>
        </is>
      </c>
      <c r="H949" s="10" t="n">
        <v>1</v>
      </c>
      <c r="I949" s="10" t="n">
        <v>1</v>
      </c>
      <c r="J949" s="10" t="n">
        <v>1</v>
      </c>
      <c r="K949" s="10" t="n">
        <v>1</v>
      </c>
      <c r="L949" s="10" t="n">
        <v>301.98</v>
      </c>
      <c r="M949" s="10" t="n">
        <v>0</v>
      </c>
      <c r="N949" s="10" t="n">
        <v>0</v>
      </c>
      <c r="O949" s="10" t="n">
        <v>10</v>
      </c>
      <c r="P949" s="10" t="n">
        <v>52.2</v>
      </c>
      <c r="Q949" s="10">
        <f>A949&amp;"|"&amp;B949&amp;"|"&amp;C949&amp;"|"&amp;D949&amp;"|"&amp;E949&amp;"|"&amp;F949&amp;"|"&amp;G949&amp;"|"&amp;H949&amp;"|"&amp;I949&amp;"|"&amp;J949&amp;"|"&amp;K949&amp;"|"&amp;L949&amp;"|"&amp;M949&amp;"|"&amp;N949&amp;"|"&amp;O949&amp;"|"&amp;P949</f>
        <v/>
      </c>
      <c r="R949" s="10">
        <f>IF(COUNTIF($Q$2:$Q$1409,Q949)&gt;1,IF(COUNTIF($Q$2:Q949,Q949)=1,"Exact Duplicate - Keep First","Exact Duplicate - Remove"),"Unique")</f>
        <v/>
      </c>
    </row>
    <row r="950" ht="15" customHeight="1" s="11">
      <c r="A950" s="10" t="inlineStr">
        <is>
          <t>USR-100949</t>
        </is>
      </c>
      <c r="B950" s="14" t="n">
        <v>45694</v>
      </c>
      <c r="C950" s="10" t="inlineStr">
        <is>
          <t>Treatment</t>
        </is>
      </c>
      <c r="D950" s="10" t="inlineStr">
        <is>
          <t>North</t>
        </is>
      </c>
      <c r="E950" s="10" t="inlineStr">
        <is>
          <t>Mobile</t>
        </is>
      </c>
      <c r="F950" s="10" t="inlineStr">
        <is>
          <t>Organic</t>
        </is>
      </c>
      <c r="G950" s="10" t="inlineStr">
        <is>
          <t>Free</t>
        </is>
      </c>
      <c r="H950" s="10" t="n">
        <v>1</v>
      </c>
      <c r="I950" s="10" t="n">
        <v>1</v>
      </c>
      <c r="J950" s="10" t="n">
        <v>1</v>
      </c>
      <c r="K950" s="10" t="n">
        <v>0</v>
      </c>
      <c r="L950" s="10" t="n">
        <v>0</v>
      </c>
      <c r="M950" s="10" t="n">
        <v>0</v>
      </c>
      <c r="N950" s="10" t="n">
        <v>0</v>
      </c>
      <c r="P950" s="10" t="n">
        <v>73</v>
      </c>
      <c r="Q950" s="10">
        <f>A950&amp;"|"&amp;B950&amp;"|"&amp;C950&amp;"|"&amp;D950&amp;"|"&amp;E950&amp;"|"&amp;F950&amp;"|"&amp;G950&amp;"|"&amp;H950&amp;"|"&amp;I950&amp;"|"&amp;J950&amp;"|"&amp;K950&amp;"|"&amp;L950&amp;"|"&amp;M950&amp;"|"&amp;N950&amp;"|"&amp;O950&amp;"|"&amp;P950</f>
        <v/>
      </c>
      <c r="R950" s="10">
        <f>IF(COUNTIF($Q$2:$Q$1409,Q950)&gt;1,IF(COUNTIF($Q$2:Q950,Q950)=1,"Exact Duplicate - Keep First","Exact Duplicate - Remove"),"Unique")</f>
        <v/>
      </c>
    </row>
    <row r="951" ht="15" customHeight="1" s="11">
      <c r="A951" s="10" t="inlineStr">
        <is>
          <t>USR-100950</t>
        </is>
      </c>
      <c r="B951" s="14" t="n">
        <v>45773</v>
      </c>
      <c r="C951" s="10" t="inlineStr">
        <is>
          <t>Treatment</t>
        </is>
      </c>
      <c r="D951" s="10" t="inlineStr">
        <is>
          <t>South</t>
        </is>
      </c>
      <c r="E951" s="10" t="inlineStr">
        <is>
          <t>Desktop</t>
        </is>
      </c>
      <c r="F951" s="10" t="inlineStr">
        <is>
          <t>Paid Search</t>
        </is>
      </c>
      <c r="G951" s="10" t="inlineStr">
        <is>
          <t>Free</t>
        </is>
      </c>
      <c r="H951" s="10" t="n">
        <v>0</v>
      </c>
      <c r="I951" s="10" t="n">
        <v>0</v>
      </c>
      <c r="J951" s="10" t="n">
        <v>0</v>
      </c>
      <c r="K951" s="10" t="n">
        <v>0</v>
      </c>
      <c r="L951" s="10" t="n">
        <v>0</v>
      </c>
      <c r="M951" s="10" t="n">
        <v>0</v>
      </c>
      <c r="N951" s="10" t="n">
        <v>0</v>
      </c>
      <c r="P951" s="10" t="n">
        <v>78.2</v>
      </c>
      <c r="Q951" s="10">
        <f>A951&amp;"|"&amp;B951&amp;"|"&amp;C951&amp;"|"&amp;D951&amp;"|"&amp;E951&amp;"|"&amp;F951&amp;"|"&amp;G951&amp;"|"&amp;H951&amp;"|"&amp;I951&amp;"|"&amp;J951&amp;"|"&amp;K951&amp;"|"&amp;L951&amp;"|"&amp;M951&amp;"|"&amp;N951&amp;"|"&amp;O951&amp;"|"&amp;P951</f>
        <v/>
      </c>
      <c r="R951" s="10">
        <f>IF(COUNTIF($Q$2:$Q$1409,Q951)&gt;1,IF(COUNTIF($Q$2:Q951,Q951)=1,"Exact Duplicate - Keep First","Exact Duplicate - Remove"),"Unique")</f>
        <v/>
      </c>
    </row>
    <row r="952" ht="15" customHeight="1" s="11">
      <c r="A952" s="10" t="inlineStr">
        <is>
          <t>USR-100951</t>
        </is>
      </c>
      <c r="B952" s="14" t="n">
        <v>45746</v>
      </c>
      <c r="C952" s="10" t="inlineStr">
        <is>
          <t>Treatment</t>
        </is>
      </c>
      <c r="D952" s="10" t="inlineStr">
        <is>
          <t>West</t>
        </is>
      </c>
      <c r="E952" s="10" t="inlineStr">
        <is>
          <t>Desktop</t>
        </is>
      </c>
      <c r="F952" s="10" t="inlineStr">
        <is>
          <t>Paid Search</t>
        </is>
      </c>
      <c r="G952" s="10" t="inlineStr">
        <is>
          <t>Basic</t>
        </is>
      </c>
      <c r="H952" s="10" t="n">
        <v>1</v>
      </c>
      <c r="I952" s="10" t="n">
        <v>0</v>
      </c>
      <c r="J952" s="10" t="n">
        <v>0</v>
      </c>
      <c r="K952" s="10" t="n">
        <v>0</v>
      </c>
      <c r="L952" s="10" t="n">
        <v>0</v>
      </c>
      <c r="M952" s="10" t="n">
        <v>0</v>
      </c>
      <c r="N952" s="10" t="n">
        <v>0</v>
      </c>
      <c r="P952" s="10" t="n">
        <v>68.8</v>
      </c>
      <c r="Q952" s="10">
        <f>A952&amp;"|"&amp;B952&amp;"|"&amp;C952&amp;"|"&amp;D952&amp;"|"&amp;E952&amp;"|"&amp;F952&amp;"|"&amp;G952&amp;"|"&amp;H952&amp;"|"&amp;I952&amp;"|"&amp;J952&amp;"|"&amp;K952&amp;"|"&amp;L952&amp;"|"&amp;M952&amp;"|"&amp;N952&amp;"|"&amp;O952&amp;"|"&amp;P952</f>
        <v/>
      </c>
      <c r="R952" s="10">
        <f>IF(COUNTIF($Q$2:$Q$1409,Q952)&gt;1,IF(COUNTIF($Q$2:Q952,Q952)=1,"Exact Duplicate - Keep First","Exact Duplicate - Remove"),"Unique")</f>
        <v/>
      </c>
    </row>
    <row r="953" ht="15" customHeight="1" s="11">
      <c r="A953" s="10" t="inlineStr">
        <is>
          <t>USR-100952</t>
        </is>
      </c>
      <c r="B953" s="14" t="n">
        <v>45760</v>
      </c>
      <c r="C953" s="10" t="inlineStr">
        <is>
          <t>Treatment</t>
        </is>
      </c>
      <c r="D953" s="10" t="inlineStr">
        <is>
          <t>West</t>
        </is>
      </c>
      <c r="E953" s="10" t="inlineStr">
        <is>
          <t>Mobile</t>
        </is>
      </c>
      <c r="G953" s="10" t="inlineStr">
        <is>
          <t>Premium</t>
        </is>
      </c>
      <c r="H953" s="10" t="n">
        <v>1</v>
      </c>
      <c r="I953" s="10" t="n">
        <v>0</v>
      </c>
      <c r="J953" s="10" t="n">
        <v>0</v>
      </c>
      <c r="K953" s="10" t="n">
        <v>0</v>
      </c>
      <c r="L953" s="10" t="n">
        <v>0</v>
      </c>
      <c r="M953" s="10" t="n">
        <v>0</v>
      </c>
      <c r="N953" s="10" t="n">
        <v>0</v>
      </c>
      <c r="P953" s="10" t="n">
        <v>57.1</v>
      </c>
      <c r="Q953" s="10">
        <f>A953&amp;"|"&amp;B953&amp;"|"&amp;C953&amp;"|"&amp;D953&amp;"|"&amp;E953&amp;"|"&amp;F953&amp;"|"&amp;G953&amp;"|"&amp;H953&amp;"|"&amp;I953&amp;"|"&amp;J953&amp;"|"&amp;K953&amp;"|"&amp;L953&amp;"|"&amp;M953&amp;"|"&amp;N953&amp;"|"&amp;O953&amp;"|"&amp;P953</f>
        <v/>
      </c>
      <c r="R953" s="10">
        <f>IF(COUNTIF($Q$2:$Q$1409,Q953)&gt;1,IF(COUNTIF($Q$2:Q953,Q953)=1,"Exact Duplicate - Keep First","Exact Duplicate - Remove"),"Unique")</f>
        <v/>
      </c>
    </row>
    <row r="954" ht="15" customHeight="1" s="11">
      <c r="A954" s="10" t="inlineStr">
        <is>
          <t>USR-100953</t>
        </is>
      </c>
      <c r="B954" s="14" t="n">
        <v>45751</v>
      </c>
      <c r="C954" s="10" t="inlineStr">
        <is>
          <t>Treatment</t>
        </is>
      </c>
      <c r="D954" s="10" t="inlineStr">
        <is>
          <t>East</t>
        </is>
      </c>
      <c r="E954" s="10" t="inlineStr">
        <is>
          <t>Desktop</t>
        </is>
      </c>
      <c r="F954" s="10" t="inlineStr">
        <is>
          <t>Organic</t>
        </is>
      </c>
      <c r="G954" s="10" t="inlineStr">
        <is>
          <t>Premium</t>
        </is>
      </c>
      <c r="H954" s="10" t="n">
        <v>0</v>
      </c>
      <c r="I954" s="10" t="n">
        <v>0</v>
      </c>
      <c r="J954" s="10" t="n">
        <v>0</v>
      </c>
      <c r="K954" s="10" t="n">
        <v>0</v>
      </c>
      <c r="L954" s="10" t="n">
        <v>0</v>
      </c>
      <c r="M954" s="10" t="n">
        <v>1</v>
      </c>
      <c r="N954" s="10" t="n">
        <v>0</v>
      </c>
      <c r="P954" s="10" t="n">
        <v>74.59999999999999</v>
      </c>
      <c r="Q954" s="10">
        <f>A954&amp;"|"&amp;B954&amp;"|"&amp;C954&amp;"|"&amp;D954&amp;"|"&amp;E954&amp;"|"&amp;F954&amp;"|"&amp;G954&amp;"|"&amp;H954&amp;"|"&amp;I954&amp;"|"&amp;J954&amp;"|"&amp;K954&amp;"|"&amp;L954&amp;"|"&amp;M954&amp;"|"&amp;N954&amp;"|"&amp;O954&amp;"|"&amp;P954</f>
        <v/>
      </c>
      <c r="R954" s="10">
        <f>IF(COUNTIF($Q$2:$Q$1409,Q954)&gt;1,IF(COUNTIF($Q$2:Q954,Q954)=1,"Exact Duplicate - Keep First","Exact Duplicate - Remove"),"Unique")</f>
        <v/>
      </c>
    </row>
    <row r="955" ht="15" customHeight="1" s="11">
      <c r="A955" s="10" t="inlineStr">
        <is>
          <t>USR-100954</t>
        </is>
      </c>
      <c r="B955" s="14" t="n">
        <v>45750</v>
      </c>
      <c r="C955" s="10" t="inlineStr">
        <is>
          <t>Treatment</t>
        </is>
      </c>
      <c r="D955" s="10" t="inlineStr">
        <is>
          <t>North</t>
        </is>
      </c>
      <c r="E955" s="10" t="inlineStr">
        <is>
          <t>Desktop</t>
        </is>
      </c>
      <c r="F955" s="10" t="inlineStr">
        <is>
          <t>Referral</t>
        </is>
      </c>
      <c r="G955" s="10" t="inlineStr">
        <is>
          <t>Free</t>
        </is>
      </c>
      <c r="H955" s="10" t="n">
        <v>1</v>
      </c>
      <c r="I955" s="10" t="n">
        <v>0</v>
      </c>
      <c r="J955" s="10" t="n">
        <v>0</v>
      </c>
      <c r="K955" s="10" t="n">
        <v>0</v>
      </c>
      <c r="L955" s="10" t="n">
        <v>0</v>
      </c>
      <c r="M955" s="10" t="n">
        <v>1</v>
      </c>
      <c r="N955" s="10" t="n">
        <v>0</v>
      </c>
      <c r="P955" s="10" t="n">
        <v>64.09999999999999</v>
      </c>
      <c r="Q955" s="10">
        <f>A955&amp;"|"&amp;B955&amp;"|"&amp;C955&amp;"|"&amp;D955&amp;"|"&amp;E955&amp;"|"&amp;F955&amp;"|"&amp;G955&amp;"|"&amp;H955&amp;"|"&amp;I955&amp;"|"&amp;J955&amp;"|"&amp;K955&amp;"|"&amp;L955&amp;"|"&amp;M955&amp;"|"&amp;N955&amp;"|"&amp;O955&amp;"|"&amp;P955</f>
        <v/>
      </c>
      <c r="R955" s="10">
        <f>IF(COUNTIF($Q$2:$Q$1409,Q955)&gt;1,IF(COUNTIF($Q$2:Q955,Q955)=1,"Exact Duplicate - Keep First","Exact Duplicate - Remove"),"Unique")</f>
        <v/>
      </c>
    </row>
    <row r="956" ht="15" customHeight="1" s="11">
      <c r="A956" s="10" t="inlineStr">
        <is>
          <t>USR-100955</t>
        </is>
      </c>
      <c r="B956" s="14" t="n">
        <v>45730</v>
      </c>
      <c r="C956" s="10" t="inlineStr">
        <is>
          <t>Treatment</t>
        </is>
      </c>
      <c r="D956" s="10" t="inlineStr">
        <is>
          <t>West</t>
        </is>
      </c>
      <c r="E956" s="10" t="inlineStr">
        <is>
          <t>Mobile</t>
        </is>
      </c>
      <c r="F956" s="10" t="inlineStr">
        <is>
          <t>Paid Search</t>
        </is>
      </c>
      <c r="G956" s="10" t="inlineStr">
        <is>
          <t>Premium</t>
        </is>
      </c>
      <c r="H956" s="10" t="n">
        <v>1</v>
      </c>
      <c r="I956" s="10" t="n">
        <v>0</v>
      </c>
      <c r="J956" s="10" t="n">
        <v>0</v>
      </c>
      <c r="K956" s="10" t="n">
        <v>0</v>
      </c>
      <c r="L956" s="10" t="n">
        <v>0</v>
      </c>
      <c r="M956" s="10" t="n">
        <v>0</v>
      </c>
      <c r="N956" s="10" t="n">
        <v>0</v>
      </c>
      <c r="P956" s="10" t="n">
        <v>67.3</v>
      </c>
      <c r="Q956" s="10">
        <f>A956&amp;"|"&amp;B956&amp;"|"&amp;C956&amp;"|"&amp;D956&amp;"|"&amp;E956&amp;"|"&amp;F956&amp;"|"&amp;G956&amp;"|"&amp;H956&amp;"|"&amp;I956&amp;"|"&amp;J956&amp;"|"&amp;K956&amp;"|"&amp;L956&amp;"|"&amp;M956&amp;"|"&amp;N956&amp;"|"&amp;O956&amp;"|"&amp;P956</f>
        <v/>
      </c>
      <c r="R956" s="10">
        <f>IF(COUNTIF($Q$2:$Q$1409,Q956)&gt;1,IF(COUNTIF($Q$2:Q956,Q956)=1,"Exact Duplicate - Keep First","Exact Duplicate - Remove"),"Unique")</f>
        <v/>
      </c>
    </row>
    <row r="957" ht="15" customHeight="1" s="11">
      <c r="A957" s="10" t="inlineStr">
        <is>
          <t>USR-100956</t>
        </is>
      </c>
      <c r="B957" s="14" t="n">
        <v>45671</v>
      </c>
      <c r="C957" s="10" t="inlineStr">
        <is>
          <t>Treatment</t>
        </is>
      </c>
      <c r="D957" s="10" t="inlineStr">
        <is>
          <t>West</t>
        </is>
      </c>
      <c r="E957" s="10" t="inlineStr">
        <is>
          <t>Mobile</t>
        </is>
      </c>
      <c r="F957" s="10" t="inlineStr">
        <is>
          <t>Referral</t>
        </is>
      </c>
      <c r="G957" s="10" t="inlineStr">
        <is>
          <t>Free</t>
        </is>
      </c>
      <c r="H957" s="10" t="n">
        <v>0</v>
      </c>
      <c r="I957" s="10" t="n">
        <v>0</v>
      </c>
      <c r="J957" s="10" t="n">
        <v>0</v>
      </c>
      <c r="K957" s="10" t="n">
        <v>0</v>
      </c>
      <c r="L957" s="10" t="n">
        <v>0</v>
      </c>
      <c r="M957" s="10" t="n">
        <v>2</v>
      </c>
      <c r="N957" s="10" t="n">
        <v>0</v>
      </c>
      <c r="P957" s="10" t="n">
        <v>41</v>
      </c>
      <c r="Q957" s="10">
        <f>A957&amp;"|"&amp;B957&amp;"|"&amp;C957&amp;"|"&amp;D957&amp;"|"&amp;E957&amp;"|"&amp;F957&amp;"|"&amp;G957&amp;"|"&amp;H957&amp;"|"&amp;I957&amp;"|"&amp;J957&amp;"|"&amp;K957&amp;"|"&amp;L957&amp;"|"&amp;M957&amp;"|"&amp;N957&amp;"|"&amp;O957&amp;"|"&amp;P957</f>
        <v/>
      </c>
      <c r="R957" s="10">
        <f>IF(COUNTIF($Q$2:$Q$1409,Q957)&gt;1,IF(COUNTIF($Q$2:Q957,Q957)=1,"Exact Duplicate - Keep First","Exact Duplicate - Remove"),"Unique")</f>
        <v/>
      </c>
    </row>
    <row r="958" ht="15" customHeight="1" s="11">
      <c r="A958" s="10" t="inlineStr">
        <is>
          <t>USR-100957</t>
        </is>
      </c>
      <c r="B958" s="14" t="n">
        <v>45782</v>
      </c>
      <c r="C958" s="10" t="inlineStr">
        <is>
          <t>Treatment</t>
        </is>
      </c>
      <c r="D958" s="10" t="inlineStr">
        <is>
          <t>West</t>
        </is>
      </c>
      <c r="E958" s="10" t="inlineStr">
        <is>
          <t>Mobile</t>
        </is>
      </c>
      <c r="F958" s="10" t="inlineStr">
        <is>
          <t>Paid Search</t>
        </is>
      </c>
      <c r="G958" s="10" t="inlineStr">
        <is>
          <t>Free</t>
        </is>
      </c>
      <c r="H958" s="10" t="n">
        <v>0</v>
      </c>
      <c r="I958" s="10" t="n">
        <v>0</v>
      </c>
      <c r="J958" s="10" t="n">
        <v>0</v>
      </c>
      <c r="K958" s="10" t="n">
        <v>0</v>
      </c>
      <c r="L958" s="10" t="n">
        <v>0</v>
      </c>
      <c r="M958" s="10" t="n">
        <v>0</v>
      </c>
      <c r="N958" s="10" t="n">
        <v>0</v>
      </c>
      <c r="P958" s="10" t="n">
        <v>48.1</v>
      </c>
      <c r="Q958" s="10">
        <f>A958&amp;"|"&amp;B958&amp;"|"&amp;C958&amp;"|"&amp;D958&amp;"|"&amp;E958&amp;"|"&amp;F958&amp;"|"&amp;G958&amp;"|"&amp;H958&amp;"|"&amp;I958&amp;"|"&amp;J958&amp;"|"&amp;K958&amp;"|"&amp;L958&amp;"|"&amp;M958&amp;"|"&amp;N958&amp;"|"&amp;O958&amp;"|"&amp;P958</f>
        <v/>
      </c>
      <c r="R958" s="10">
        <f>IF(COUNTIF($Q$2:$Q$1409,Q958)&gt;1,IF(COUNTIF($Q$2:Q958,Q958)=1,"Exact Duplicate - Keep First","Exact Duplicate - Remove"),"Unique")</f>
        <v/>
      </c>
    </row>
    <row r="959" ht="15" customHeight="1" s="11">
      <c r="A959" s="10" t="inlineStr">
        <is>
          <t>USR-100958</t>
        </is>
      </c>
      <c r="B959" s="14" t="n">
        <v>45779</v>
      </c>
      <c r="C959" s="10" t="inlineStr">
        <is>
          <t>Treatment</t>
        </is>
      </c>
      <c r="D959" s="10" t="inlineStr">
        <is>
          <t>West</t>
        </is>
      </c>
      <c r="E959" s="10" t="inlineStr">
        <is>
          <t>Desktop</t>
        </is>
      </c>
      <c r="F959" s="10" t="inlineStr">
        <is>
          <t>Social</t>
        </is>
      </c>
      <c r="G959" s="10" t="inlineStr">
        <is>
          <t>Free</t>
        </is>
      </c>
      <c r="H959" s="10" t="n">
        <v>0</v>
      </c>
      <c r="I959" s="10" t="n">
        <v>0</v>
      </c>
      <c r="J959" s="10" t="n">
        <v>0</v>
      </c>
      <c r="K959" s="10" t="n">
        <v>0</v>
      </c>
      <c r="L959" s="10" t="n">
        <v>0</v>
      </c>
      <c r="M959" s="10" t="n">
        <v>1</v>
      </c>
      <c r="N959" s="10" t="n">
        <v>0</v>
      </c>
      <c r="P959" s="10" t="n">
        <v>60.8</v>
      </c>
      <c r="Q959" s="10">
        <f>A959&amp;"|"&amp;B959&amp;"|"&amp;C959&amp;"|"&amp;D959&amp;"|"&amp;E959&amp;"|"&amp;F959&amp;"|"&amp;G959&amp;"|"&amp;H959&amp;"|"&amp;I959&amp;"|"&amp;J959&amp;"|"&amp;K959&amp;"|"&amp;L959&amp;"|"&amp;M959&amp;"|"&amp;N959&amp;"|"&amp;O959&amp;"|"&amp;P959</f>
        <v/>
      </c>
      <c r="R959" s="10">
        <f>IF(COUNTIF($Q$2:$Q$1409,Q959)&gt;1,IF(COUNTIF($Q$2:Q959,Q959)=1,"Exact Duplicate - Keep First","Exact Duplicate - Remove"),"Unique")</f>
        <v/>
      </c>
    </row>
    <row r="960" ht="15" customHeight="1" s="11">
      <c r="A960" s="10" t="inlineStr">
        <is>
          <t>USR-100959</t>
        </is>
      </c>
      <c r="B960" s="14" t="n">
        <v>45798</v>
      </c>
      <c r="C960" s="10" t="inlineStr">
        <is>
          <t>Treatment</t>
        </is>
      </c>
      <c r="D960" s="10" t="inlineStr">
        <is>
          <t>East</t>
        </is>
      </c>
      <c r="E960" s="10" t="inlineStr">
        <is>
          <t>Mobile</t>
        </is>
      </c>
      <c r="F960" s="10" t="inlineStr">
        <is>
          <t>Organic</t>
        </is>
      </c>
      <c r="G960" s="10" t="inlineStr">
        <is>
          <t>Free</t>
        </is>
      </c>
      <c r="H960" s="10" t="n">
        <v>1</v>
      </c>
      <c r="I960" s="10" t="n">
        <v>0</v>
      </c>
      <c r="J960" s="10" t="n">
        <v>0</v>
      </c>
      <c r="K960" s="10" t="n">
        <v>0</v>
      </c>
      <c r="L960" s="10" t="n">
        <v>0</v>
      </c>
      <c r="M960" s="10" t="n">
        <v>0</v>
      </c>
      <c r="N960" s="10" t="n">
        <v>0</v>
      </c>
      <c r="P960" s="10" t="n">
        <v>63.1</v>
      </c>
      <c r="Q960" s="10">
        <f>A960&amp;"|"&amp;B960&amp;"|"&amp;C960&amp;"|"&amp;D960&amp;"|"&amp;E960&amp;"|"&amp;F960&amp;"|"&amp;G960&amp;"|"&amp;H960&amp;"|"&amp;I960&amp;"|"&amp;J960&amp;"|"&amp;K960&amp;"|"&amp;L960&amp;"|"&amp;M960&amp;"|"&amp;N960&amp;"|"&amp;O960&amp;"|"&amp;P960</f>
        <v/>
      </c>
      <c r="R960" s="10">
        <f>IF(COUNTIF($Q$2:$Q$1409,Q960)&gt;1,IF(COUNTIF($Q$2:Q960,Q960)=1,"Exact Duplicate - Keep First","Exact Duplicate - Remove"),"Unique")</f>
        <v/>
      </c>
    </row>
    <row r="961" ht="15" customHeight="1" s="11">
      <c r="A961" s="10" t="inlineStr">
        <is>
          <t>USR-100960</t>
        </is>
      </c>
      <c r="B961" s="14" t="n">
        <v>45793</v>
      </c>
      <c r="C961" s="10" t="inlineStr">
        <is>
          <t>Treatment</t>
        </is>
      </c>
      <c r="D961" s="10" t="inlineStr">
        <is>
          <t>North</t>
        </is>
      </c>
      <c r="E961" s="10" t="inlineStr">
        <is>
          <t>Mobile</t>
        </is>
      </c>
      <c r="F961" s="10" t="inlineStr">
        <is>
          <t>Referral</t>
        </is>
      </c>
      <c r="G961" s="10" t="inlineStr">
        <is>
          <t>Premium</t>
        </is>
      </c>
      <c r="H961" s="10" t="n">
        <v>1</v>
      </c>
      <c r="I961" s="10" t="n">
        <v>0</v>
      </c>
      <c r="J961" s="10" t="n">
        <v>0</v>
      </c>
      <c r="K961" s="10" t="n">
        <v>0</v>
      </c>
      <c r="L961" s="10" t="n">
        <v>0</v>
      </c>
      <c r="M961" s="10" t="n">
        <v>2</v>
      </c>
      <c r="N961" s="10" t="n">
        <v>0</v>
      </c>
      <c r="P961" s="10" t="n">
        <v>49.7</v>
      </c>
      <c r="Q961" s="10">
        <f>A961&amp;"|"&amp;B961&amp;"|"&amp;C961&amp;"|"&amp;D961&amp;"|"&amp;E961&amp;"|"&amp;F961&amp;"|"&amp;G961&amp;"|"&amp;H961&amp;"|"&amp;I961&amp;"|"&amp;J961&amp;"|"&amp;K961&amp;"|"&amp;L961&amp;"|"&amp;M961&amp;"|"&amp;N961&amp;"|"&amp;O961&amp;"|"&amp;P961</f>
        <v/>
      </c>
      <c r="R961" s="10">
        <f>IF(COUNTIF($Q$2:$Q$1409,Q961)&gt;1,IF(COUNTIF($Q$2:Q961,Q961)=1,"Exact Duplicate - Keep First","Exact Duplicate - Remove"),"Unique")</f>
        <v/>
      </c>
    </row>
    <row r="962" ht="15" customHeight="1" s="11">
      <c r="A962" s="10" t="inlineStr">
        <is>
          <t>USR-100961</t>
        </is>
      </c>
      <c r="B962" s="14" t="n">
        <v>45801</v>
      </c>
      <c r="C962" s="10" t="inlineStr">
        <is>
          <t>Treatment</t>
        </is>
      </c>
      <c r="D962" s="10" t="inlineStr">
        <is>
          <t>East</t>
        </is>
      </c>
      <c r="E962" s="10" t="inlineStr">
        <is>
          <t>Desktop</t>
        </is>
      </c>
      <c r="F962" s="10" t="inlineStr">
        <is>
          <t>Organic</t>
        </is>
      </c>
      <c r="G962" s="10" t="inlineStr">
        <is>
          <t>Premium</t>
        </is>
      </c>
      <c r="H962" s="10" t="n">
        <v>1</v>
      </c>
      <c r="I962" s="10" t="n">
        <v>1</v>
      </c>
      <c r="J962" s="10" t="n">
        <v>1</v>
      </c>
      <c r="K962" s="10" t="n">
        <v>0</v>
      </c>
      <c r="L962" s="10" t="n">
        <v>0</v>
      </c>
      <c r="M962" s="10" t="n">
        <v>1</v>
      </c>
      <c r="N962" s="10" t="n">
        <v>0</v>
      </c>
      <c r="P962" s="10" t="n">
        <v>83.40000000000001</v>
      </c>
      <c r="Q962" s="10">
        <f>A962&amp;"|"&amp;B962&amp;"|"&amp;C962&amp;"|"&amp;D962&amp;"|"&amp;E962&amp;"|"&amp;F962&amp;"|"&amp;G962&amp;"|"&amp;H962&amp;"|"&amp;I962&amp;"|"&amp;J962&amp;"|"&amp;K962&amp;"|"&amp;L962&amp;"|"&amp;M962&amp;"|"&amp;N962&amp;"|"&amp;O962&amp;"|"&amp;P962</f>
        <v/>
      </c>
      <c r="R962" s="10">
        <f>IF(COUNTIF($Q$2:$Q$1409,Q962)&gt;1,IF(COUNTIF($Q$2:Q962,Q962)=1,"Exact Duplicate - Keep First","Exact Duplicate - Remove"),"Unique")</f>
        <v/>
      </c>
    </row>
    <row r="963" ht="15" customHeight="1" s="11">
      <c r="A963" s="10" t="inlineStr">
        <is>
          <t>USR-100962</t>
        </is>
      </c>
      <c r="B963" s="14" t="n">
        <v>45734</v>
      </c>
      <c r="C963" s="10" t="inlineStr">
        <is>
          <t>Treatment</t>
        </is>
      </c>
      <c r="D963" s="10" t="inlineStr">
        <is>
          <t>East</t>
        </is>
      </c>
      <c r="E963" s="10" t="inlineStr">
        <is>
          <t>Mobile</t>
        </is>
      </c>
      <c r="F963" s="10" t="inlineStr">
        <is>
          <t>Organic</t>
        </is>
      </c>
      <c r="G963" s="10" t="inlineStr">
        <is>
          <t>Basic</t>
        </is>
      </c>
      <c r="H963" s="10" t="n">
        <v>1</v>
      </c>
      <c r="I963" s="10" t="n">
        <v>0</v>
      </c>
      <c r="J963" s="10" t="n">
        <v>0</v>
      </c>
      <c r="K963" s="10" t="n">
        <v>0</v>
      </c>
      <c r="L963" s="10" t="n">
        <v>0</v>
      </c>
      <c r="M963" s="10" t="n">
        <v>0</v>
      </c>
      <c r="N963" s="10" t="n">
        <v>0</v>
      </c>
      <c r="P963" s="10" t="n">
        <v>75.90000000000001</v>
      </c>
      <c r="Q963" s="10">
        <f>A963&amp;"|"&amp;B963&amp;"|"&amp;C963&amp;"|"&amp;D963&amp;"|"&amp;E963&amp;"|"&amp;F963&amp;"|"&amp;G963&amp;"|"&amp;H963&amp;"|"&amp;I963&amp;"|"&amp;J963&amp;"|"&amp;K963&amp;"|"&amp;L963&amp;"|"&amp;M963&amp;"|"&amp;N963&amp;"|"&amp;O963&amp;"|"&amp;P963</f>
        <v/>
      </c>
      <c r="R963" s="10">
        <f>IF(COUNTIF($Q$2:$Q$1409,Q963)&gt;1,IF(COUNTIF($Q$2:Q963,Q963)=1,"Exact Duplicate - Keep First","Exact Duplicate - Remove"),"Unique")</f>
        <v/>
      </c>
    </row>
    <row r="964" ht="15" customHeight="1" s="11">
      <c r="A964" s="10" t="inlineStr">
        <is>
          <t>USR-100963</t>
        </is>
      </c>
      <c r="B964" s="14" t="n">
        <v>45668</v>
      </c>
      <c r="C964" s="10" t="inlineStr">
        <is>
          <t>Treatment</t>
        </is>
      </c>
      <c r="D964" s="10" t="inlineStr">
        <is>
          <t>East</t>
        </is>
      </c>
      <c r="E964" s="10" t="inlineStr">
        <is>
          <t>Desktop</t>
        </is>
      </c>
      <c r="F964" s="10" t="inlineStr">
        <is>
          <t>Paid Search</t>
        </is>
      </c>
      <c r="G964" s="10" t="inlineStr">
        <is>
          <t>Free</t>
        </is>
      </c>
      <c r="H964" s="10" t="n">
        <v>0</v>
      </c>
      <c r="I964" s="10" t="n">
        <v>0</v>
      </c>
      <c r="J964" s="10" t="n">
        <v>0</v>
      </c>
      <c r="K964" s="10" t="n">
        <v>0</v>
      </c>
      <c r="L964" s="10" t="n">
        <v>0</v>
      </c>
      <c r="M964" s="10" t="n">
        <v>1</v>
      </c>
      <c r="N964" s="10" t="n">
        <v>0</v>
      </c>
      <c r="P964" s="10" t="n">
        <v>71.8</v>
      </c>
      <c r="Q964" s="10">
        <f>A964&amp;"|"&amp;B964&amp;"|"&amp;C964&amp;"|"&amp;D964&amp;"|"&amp;E964&amp;"|"&amp;F964&amp;"|"&amp;G964&amp;"|"&amp;H964&amp;"|"&amp;I964&amp;"|"&amp;J964&amp;"|"&amp;K964&amp;"|"&amp;L964&amp;"|"&amp;M964&amp;"|"&amp;N964&amp;"|"&amp;O964&amp;"|"&amp;P964</f>
        <v/>
      </c>
      <c r="R964" s="10">
        <f>IF(COUNTIF($Q$2:$Q$1409,Q964)&gt;1,IF(COUNTIF($Q$2:Q964,Q964)=1,"Exact Duplicate - Keep First","Exact Duplicate - Remove"),"Unique")</f>
        <v/>
      </c>
    </row>
    <row r="965" ht="15" customHeight="1" s="11">
      <c r="A965" s="10" t="inlineStr">
        <is>
          <t>USR-100964</t>
        </is>
      </c>
      <c r="B965" s="14" t="n">
        <v>45697</v>
      </c>
      <c r="C965" s="10" t="inlineStr">
        <is>
          <t>Treatment</t>
        </is>
      </c>
      <c r="D965" s="10" t="inlineStr">
        <is>
          <t>South</t>
        </is>
      </c>
      <c r="E965" s="10" t="inlineStr">
        <is>
          <t>Mobile</t>
        </is>
      </c>
      <c r="F965" s="10" t="inlineStr">
        <is>
          <t>Organic</t>
        </is>
      </c>
      <c r="G965" s="10" t="inlineStr">
        <is>
          <t>Basic</t>
        </is>
      </c>
      <c r="H965" s="10" t="n">
        <v>0</v>
      </c>
      <c r="I965" s="10" t="n">
        <v>0</v>
      </c>
      <c r="J965" s="10" t="n">
        <v>0</v>
      </c>
      <c r="K965" s="10" t="n">
        <v>0</v>
      </c>
      <c r="L965" s="10" t="n">
        <v>0</v>
      </c>
      <c r="M965" s="10" t="n">
        <v>0</v>
      </c>
      <c r="N965" s="10" t="n">
        <v>0</v>
      </c>
      <c r="P965" s="10" t="n">
        <v>37.9</v>
      </c>
      <c r="Q965" s="10">
        <f>A965&amp;"|"&amp;B965&amp;"|"&amp;C965&amp;"|"&amp;D965&amp;"|"&amp;E965&amp;"|"&amp;F965&amp;"|"&amp;G965&amp;"|"&amp;H965&amp;"|"&amp;I965&amp;"|"&amp;J965&amp;"|"&amp;K965&amp;"|"&amp;L965&amp;"|"&amp;M965&amp;"|"&amp;N965&amp;"|"&amp;O965&amp;"|"&amp;P965</f>
        <v/>
      </c>
      <c r="R965" s="10">
        <f>IF(COUNTIF($Q$2:$Q$1409,Q965)&gt;1,IF(COUNTIF($Q$2:Q965,Q965)=1,"Exact Duplicate - Keep First","Exact Duplicate - Remove"),"Unique")</f>
        <v/>
      </c>
    </row>
    <row r="966" ht="15" customHeight="1" s="11">
      <c r="A966" s="10" t="inlineStr">
        <is>
          <t>USR-100965</t>
        </is>
      </c>
      <c r="B966" s="14" t="n">
        <v>45717</v>
      </c>
      <c r="C966" s="10" t="inlineStr">
        <is>
          <t>Treatment</t>
        </is>
      </c>
      <c r="D966" s="10" t="inlineStr">
        <is>
          <t>North</t>
        </is>
      </c>
      <c r="E966" s="10" t="inlineStr">
        <is>
          <t>Desktop</t>
        </is>
      </c>
      <c r="F966" s="10" t="inlineStr">
        <is>
          <t>Social</t>
        </is>
      </c>
      <c r="G966" s="10" t="inlineStr">
        <is>
          <t>Free</t>
        </is>
      </c>
      <c r="H966" s="10" t="n">
        <v>1</v>
      </c>
      <c r="I966" s="10" t="n">
        <v>0</v>
      </c>
      <c r="J966" s="10" t="n">
        <v>0</v>
      </c>
      <c r="K966" s="10" t="n">
        <v>0</v>
      </c>
      <c r="L966" s="10" t="n">
        <v>0</v>
      </c>
      <c r="M966" s="10" t="n">
        <v>0</v>
      </c>
      <c r="N966" s="10" t="n">
        <v>0</v>
      </c>
      <c r="P966" s="10" t="n">
        <v>59.8</v>
      </c>
      <c r="Q966" s="10">
        <f>A966&amp;"|"&amp;B966&amp;"|"&amp;C966&amp;"|"&amp;D966&amp;"|"&amp;E966&amp;"|"&amp;F966&amp;"|"&amp;G966&amp;"|"&amp;H966&amp;"|"&amp;I966&amp;"|"&amp;J966&amp;"|"&amp;K966&amp;"|"&amp;L966&amp;"|"&amp;M966&amp;"|"&amp;N966&amp;"|"&amp;O966&amp;"|"&amp;P966</f>
        <v/>
      </c>
      <c r="R966" s="10">
        <f>IF(COUNTIF($Q$2:$Q$1409,Q966)&gt;1,IF(COUNTIF($Q$2:Q966,Q966)=1,"Exact Duplicate - Keep First","Exact Duplicate - Remove"),"Unique")</f>
        <v/>
      </c>
    </row>
    <row r="967" ht="15" customHeight="1" s="11">
      <c r="A967" s="10" t="inlineStr">
        <is>
          <t>USR-100966</t>
        </is>
      </c>
      <c r="B967" s="14" t="n">
        <v>45784</v>
      </c>
      <c r="C967" s="10" t="inlineStr">
        <is>
          <t>Treatment</t>
        </is>
      </c>
      <c r="D967" s="10" t="inlineStr">
        <is>
          <t>North</t>
        </is>
      </c>
      <c r="E967" s="10" t="inlineStr">
        <is>
          <t>Mobile</t>
        </is>
      </c>
      <c r="F967" s="10" t="inlineStr">
        <is>
          <t>Organic</t>
        </is>
      </c>
      <c r="G967" s="10" t="inlineStr">
        <is>
          <t>Basic</t>
        </is>
      </c>
      <c r="H967" s="10" t="n">
        <v>0</v>
      </c>
      <c r="I967" s="10" t="n">
        <v>0</v>
      </c>
      <c r="J967" s="10" t="n">
        <v>0</v>
      </c>
      <c r="K967" s="10" t="n">
        <v>0</v>
      </c>
      <c r="L967" s="10" t="n">
        <v>0</v>
      </c>
      <c r="M967" s="10" t="n">
        <v>0</v>
      </c>
      <c r="N967" s="10" t="n">
        <v>0</v>
      </c>
      <c r="P967" s="10" t="n">
        <v>66.90000000000001</v>
      </c>
      <c r="Q967" s="10">
        <f>A967&amp;"|"&amp;B967&amp;"|"&amp;C967&amp;"|"&amp;D967&amp;"|"&amp;E967&amp;"|"&amp;F967&amp;"|"&amp;G967&amp;"|"&amp;H967&amp;"|"&amp;I967&amp;"|"&amp;J967&amp;"|"&amp;K967&amp;"|"&amp;L967&amp;"|"&amp;M967&amp;"|"&amp;N967&amp;"|"&amp;O967&amp;"|"&amp;P967</f>
        <v/>
      </c>
      <c r="R967" s="10">
        <f>IF(COUNTIF($Q$2:$Q$1409,Q967)&gt;1,IF(COUNTIF($Q$2:Q967,Q967)=1,"Exact Duplicate - Keep First","Exact Duplicate - Remove"),"Unique")</f>
        <v/>
      </c>
    </row>
    <row r="968" ht="15" customHeight="1" s="11">
      <c r="A968" s="10" t="inlineStr">
        <is>
          <t>USR-100967</t>
        </is>
      </c>
      <c r="B968" s="14" t="n">
        <v>45707</v>
      </c>
      <c r="C968" s="10" t="inlineStr">
        <is>
          <t>Treatment</t>
        </is>
      </c>
      <c r="D968" s="10" t="inlineStr">
        <is>
          <t>South</t>
        </is>
      </c>
      <c r="E968" s="10" t="inlineStr">
        <is>
          <t>Desktop</t>
        </is>
      </c>
      <c r="G968" s="10" t="inlineStr">
        <is>
          <t>Free</t>
        </is>
      </c>
      <c r="H968" s="10" t="n">
        <v>1</v>
      </c>
      <c r="I968" s="10" t="n">
        <v>0</v>
      </c>
      <c r="J968" s="10" t="n">
        <v>0</v>
      </c>
      <c r="K968" s="10" t="n">
        <v>0</v>
      </c>
      <c r="L968" s="10" t="n">
        <v>0</v>
      </c>
      <c r="M968" s="10" t="n">
        <v>0</v>
      </c>
      <c r="N968" s="10" t="n">
        <v>0</v>
      </c>
      <c r="P968" s="10" t="n">
        <v>59</v>
      </c>
      <c r="Q968" s="10">
        <f>A968&amp;"|"&amp;B968&amp;"|"&amp;C968&amp;"|"&amp;D968&amp;"|"&amp;E968&amp;"|"&amp;F968&amp;"|"&amp;G968&amp;"|"&amp;H968&amp;"|"&amp;I968&amp;"|"&amp;J968&amp;"|"&amp;K968&amp;"|"&amp;L968&amp;"|"&amp;M968&amp;"|"&amp;N968&amp;"|"&amp;O968&amp;"|"&amp;P968</f>
        <v/>
      </c>
      <c r="R968" s="10">
        <f>IF(COUNTIF($Q$2:$Q$1409,Q968)&gt;1,IF(COUNTIF($Q$2:Q968,Q968)=1,"Exact Duplicate - Keep First","Exact Duplicate - Remove"),"Unique")</f>
        <v/>
      </c>
    </row>
    <row r="969" ht="15" customHeight="1" s="11">
      <c r="A969" s="10" t="inlineStr">
        <is>
          <t>USR-100968</t>
        </is>
      </c>
      <c r="B969" s="14" t="n">
        <v>45714</v>
      </c>
      <c r="C969" s="10" t="inlineStr">
        <is>
          <t>Treatment</t>
        </is>
      </c>
      <c r="D969" s="10" t="inlineStr">
        <is>
          <t>West</t>
        </is>
      </c>
      <c r="E969" s="10" t="inlineStr">
        <is>
          <t>Mobile</t>
        </is>
      </c>
      <c r="F969" s="10" t="inlineStr">
        <is>
          <t>Organic</t>
        </is>
      </c>
      <c r="G969" s="10" t="inlineStr">
        <is>
          <t>Premium</t>
        </is>
      </c>
      <c r="H969" s="10" t="n">
        <v>1</v>
      </c>
      <c r="I969" s="10" t="n">
        <v>0</v>
      </c>
      <c r="J969" s="10" t="n">
        <v>0</v>
      </c>
      <c r="K969" s="10" t="n">
        <v>0</v>
      </c>
      <c r="L969" s="10" t="n">
        <v>0</v>
      </c>
      <c r="M969" s="10" t="n">
        <v>0</v>
      </c>
      <c r="N969" s="10" t="n">
        <v>0</v>
      </c>
      <c r="P969" s="10" t="n">
        <v>80.09999999999999</v>
      </c>
      <c r="Q969" s="10">
        <f>A969&amp;"|"&amp;B969&amp;"|"&amp;C969&amp;"|"&amp;D969&amp;"|"&amp;E969&amp;"|"&amp;F969&amp;"|"&amp;G969&amp;"|"&amp;H969&amp;"|"&amp;I969&amp;"|"&amp;J969&amp;"|"&amp;K969&amp;"|"&amp;L969&amp;"|"&amp;M969&amp;"|"&amp;N969&amp;"|"&amp;O969&amp;"|"&amp;P969</f>
        <v/>
      </c>
      <c r="R969" s="10">
        <f>IF(COUNTIF($Q$2:$Q$1409,Q969)&gt;1,IF(COUNTIF($Q$2:Q969,Q969)=1,"Exact Duplicate - Keep First","Exact Duplicate - Remove"),"Unique")</f>
        <v/>
      </c>
    </row>
    <row r="970" ht="15" customHeight="1" s="11">
      <c r="A970" s="10" t="inlineStr">
        <is>
          <t>USR-100969</t>
        </is>
      </c>
      <c r="B970" s="14" t="n">
        <v>45739</v>
      </c>
      <c r="C970" s="10" t="inlineStr">
        <is>
          <t>Treatment</t>
        </is>
      </c>
      <c r="D970" s="10" t="inlineStr">
        <is>
          <t>South</t>
        </is>
      </c>
      <c r="E970" s="10" t="inlineStr">
        <is>
          <t>Mobile</t>
        </is>
      </c>
      <c r="F970" s="10" t="inlineStr">
        <is>
          <t>Social</t>
        </is>
      </c>
      <c r="G970" s="10" t="inlineStr">
        <is>
          <t>Free</t>
        </is>
      </c>
      <c r="H970" s="10" t="n">
        <v>0</v>
      </c>
      <c r="I970" s="10" t="n">
        <v>0</v>
      </c>
      <c r="J970" s="10" t="n">
        <v>0</v>
      </c>
      <c r="K970" s="10" t="n">
        <v>0</v>
      </c>
      <c r="L970" s="10" t="n">
        <v>0</v>
      </c>
      <c r="M970" s="10" t="n">
        <v>0</v>
      </c>
      <c r="N970" s="10" t="n">
        <v>0</v>
      </c>
      <c r="P970" s="10" t="n">
        <v>64.3</v>
      </c>
      <c r="Q970" s="10">
        <f>A970&amp;"|"&amp;B970&amp;"|"&amp;C970&amp;"|"&amp;D970&amp;"|"&amp;E970&amp;"|"&amp;F970&amp;"|"&amp;G970&amp;"|"&amp;H970&amp;"|"&amp;I970&amp;"|"&amp;J970&amp;"|"&amp;K970&amp;"|"&amp;L970&amp;"|"&amp;M970&amp;"|"&amp;N970&amp;"|"&amp;O970&amp;"|"&amp;P970</f>
        <v/>
      </c>
      <c r="R970" s="10">
        <f>IF(COUNTIF($Q$2:$Q$1409,Q970)&gt;1,IF(COUNTIF($Q$2:Q970,Q970)=1,"Exact Duplicate - Keep First","Exact Duplicate - Remove"),"Unique")</f>
        <v/>
      </c>
    </row>
    <row r="971" ht="15" customHeight="1" s="11">
      <c r="A971" s="10" t="inlineStr">
        <is>
          <t>USR-100970</t>
        </is>
      </c>
      <c r="B971" s="14" t="n">
        <v>45772</v>
      </c>
      <c r="C971" s="10" t="inlineStr">
        <is>
          <t>Treatment</t>
        </is>
      </c>
      <c r="D971" s="10" t="inlineStr">
        <is>
          <t>South</t>
        </is>
      </c>
      <c r="E971" s="10" t="inlineStr">
        <is>
          <t>Desktop</t>
        </is>
      </c>
      <c r="F971" s="10" t="inlineStr">
        <is>
          <t>Social</t>
        </is>
      </c>
      <c r="G971" s="10" t="inlineStr">
        <is>
          <t>Free</t>
        </is>
      </c>
      <c r="H971" s="10" t="n">
        <v>0</v>
      </c>
      <c r="I971" s="10" t="n">
        <v>0</v>
      </c>
      <c r="J971" s="10" t="n">
        <v>0</v>
      </c>
      <c r="K971" s="10" t="n">
        <v>0</v>
      </c>
      <c r="L971" s="10" t="n">
        <v>0</v>
      </c>
      <c r="M971" s="10" t="n">
        <v>1</v>
      </c>
      <c r="N971" s="10" t="n">
        <v>0</v>
      </c>
      <c r="P971" s="10" t="n">
        <v>57.4</v>
      </c>
      <c r="Q971" s="10">
        <f>A971&amp;"|"&amp;B971&amp;"|"&amp;C971&amp;"|"&amp;D971&amp;"|"&amp;E971&amp;"|"&amp;F971&amp;"|"&amp;G971&amp;"|"&amp;H971&amp;"|"&amp;I971&amp;"|"&amp;J971&amp;"|"&amp;K971&amp;"|"&amp;L971&amp;"|"&amp;M971&amp;"|"&amp;N971&amp;"|"&amp;O971&amp;"|"&amp;P971</f>
        <v/>
      </c>
      <c r="R971" s="10">
        <f>IF(COUNTIF($Q$2:$Q$1409,Q971)&gt;1,IF(COUNTIF($Q$2:Q971,Q971)=1,"Exact Duplicate - Keep First","Exact Duplicate - Remove"),"Unique")</f>
        <v/>
      </c>
    </row>
    <row r="972" ht="15" customHeight="1" s="11">
      <c r="A972" s="10" t="inlineStr">
        <is>
          <t>USR-100971</t>
        </is>
      </c>
      <c r="B972" s="14" t="n">
        <v>45787</v>
      </c>
      <c r="C972" s="10" t="inlineStr">
        <is>
          <t>Treatment</t>
        </is>
      </c>
      <c r="D972" s="10" t="inlineStr">
        <is>
          <t>North</t>
        </is>
      </c>
      <c r="E972" s="10" t="inlineStr">
        <is>
          <t>Desktop</t>
        </is>
      </c>
      <c r="F972" s="10" t="inlineStr">
        <is>
          <t>Social</t>
        </is>
      </c>
      <c r="G972" s="10" t="inlineStr">
        <is>
          <t>Free</t>
        </is>
      </c>
      <c r="H972" s="10" t="n">
        <v>1</v>
      </c>
      <c r="I972" s="10" t="n">
        <v>1</v>
      </c>
      <c r="J972" s="10" t="n">
        <v>1</v>
      </c>
      <c r="K972" s="10" t="n">
        <v>0</v>
      </c>
      <c r="L972" s="10" t="n">
        <v>0</v>
      </c>
      <c r="M972" s="10" t="n">
        <v>0</v>
      </c>
      <c r="N972" s="10" t="n">
        <v>0</v>
      </c>
      <c r="P972" s="10" t="n">
        <v>83.59999999999999</v>
      </c>
      <c r="Q972" s="10">
        <f>A972&amp;"|"&amp;B972&amp;"|"&amp;C972&amp;"|"&amp;D972&amp;"|"&amp;E972&amp;"|"&amp;F972&amp;"|"&amp;G972&amp;"|"&amp;H972&amp;"|"&amp;I972&amp;"|"&amp;J972&amp;"|"&amp;K972&amp;"|"&amp;L972&amp;"|"&amp;M972&amp;"|"&amp;N972&amp;"|"&amp;O972&amp;"|"&amp;P972</f>
        <v/>
      </c>
      <c r="R972" s="10">
        <f>IF(COUNTIF($Q$2:$Q$1409,Q972)&gt;1,IF(COUNTIF($Q$2:Q972,Q972)=1,"Exact Duplicate - Keep First","Exact Duplicate - Remove"),"Unique")</f>
        <v/>
      </c>
    </row>
    <row r="973" ht="15" customHeight="1" s="11">
      <c r="A973" s="10" t="inlineStr">
        <is>
          <t>USR-100972</t>
        </is>
      </c>
      <c r="B973" s="14" t="n">
        <v>45769</v>
      </c>
      <c r="C973" s="10" t="inlineStr">
        <is>
          <t>Treatment</t>
        </is>
      </c>
      <c r="D973" s="10" t="inlineStr">
        <is>
          <t>East</t>
        </is>
      </c>
      <c r="E973" s="10" t="inlineStr">
        <is>
          <t>Mobile</t>
        </is>
      </c>
      <c r="F973" s="10" t="inlineStr">
        <is>
          <t>Paid Search</t>
        </is>
      </c>
      <c r="G973" s="10" t="inlineStr">
        <is>
          <t>Premium</t>
        </is>
      </c>
      <c r="H973" s="10" t="n">
        <v>0</v>
      </c>
      <c r="I973" s="10" t="n">
        <v>0</v>
      </c>
      <c r="J973" s="10" t="n">
        <v>0</v>
      </c>
      <c r="K973" s="10" t="n">
        <v>0</v>
      </c>
      <c r="L973" s="10" t="n">
        <v>0</v>
      </c>
      <c r="M973" s="10" t="n">
        <v>0</v>
      </c>
      <c r="N973" s="10" t="n">
        <v>0</v>
      </c>
      <c r="P973" s="10" t="n">
        <v>45.8</v>
      </c>
      <c r="Q973" s="10">
        <f>A973&amp;"|"&amp;B973&amp;"|"&amp;C973&amp;"|"&amp;D973&amp;"|"&amp;E973&amp;"|"&amp;F973&amp;"|"&amp;G973&amp;"|"&amp;H973&amp;"|"&amp;I973&amp;"|"&amp;J973&amp;"|"&amp;K973&amp;"|"&amp;L973&amp;"|"&amp;M973&amp;"|"&amp;N973&amp;"|"&amp;O973&amp;"|"&amp;P973</f>
        <v/>
      </c>
      <c r="R973" s="10">
        <f>IF(COUNTIF($Q$2:$Q$1409,Q973)&gt;1,IF(COUNTIF($Q$2:Q973,Q973)=1,"Exact Duplicate - Keep First","Exact Duplicate - Remove"),"Unique")</f>
        <v/>
      </c>
    </row>
    <row r="974" ht="15" customHeight="1" s="11">
      <c r="A974" s="10" t="inlineStr">
        <is>
          <t>USR-100973</t>
        </is>
      </c>
      <c r="B974" s="14" t="n">
        <v>45706</v>
      </c>
      <c r="C974" s="10" t="inlineStr">
        <is>
          <t>Treatment</t>
        </is>
      </c>
      <c r="D974" s="10" t="inlineStr">
        <is>
          <t>West</t>
        </is>
      </c>
      <c r="E974" s="10" t="inlineStr">
        <is>
          <t>Mobile</t>
        </is>
      </c>
      <c r="F974" s="10" t="inlineStr">
        <is>
          <t>Referral</t>
        </is>
      </c>
      <c r="G974" s="10" t="inlineStr">
        <is>
          <t>Basic</t>
        </is>
      </c>
      <c r="H974" s="10" t="n">
        <v>1</v>
      </c>
      <c r="I974" s="10" t="n">
        <v>1</v>
      </c>
      <c r="J974" s="10" t="n">
        <v>1</v>
      </c>
      <c r="K974" s="10" t="n">
        <v>0</v>
      </c>
      <c r="L974" s="10" t="n">
        <v>0</v>
      </c>
      <c r="M974" s="10" t="n">
        <v>0</v>
      </c>
      <c r="N974" s="10" t="n">
        <v>0</v>
      </c>
      <c r="P974" s="10" t="n">
        <v>64.3</v>
      </c>
      <c r="Q974" s="10">
        <f>A974&amp;"|"&amp;B974&amp;"|"&amp;C974&amp;"|"&amp;D974&amp;"|"&amp;E974&amp;"|"&amp;F974&amp;"|"&amp;G974&amp;"|"&amp;H974&amp;"|"&amp;I974&amp;"|"&amp;J974&amp;"|"&amp;K974&amp;"|"&amp;L974&amp;"|"&amp;M974&amp;"|"&amp;N974&amp;"|"&amp;O974&amp;"|"&amp;P974</f>
        <v/>
      </c>
      <c r="R974" s="10">
        <f>IF(COUNTIF($Q$2:$Q$1409,Q974)&gt;1,IF(COUNTIF($Q$2:Q974,Q974)=1,"Exact Duplicate - Keep First","Exact Duplicate - Remove"),"Unique")</f>
        <v/>
      </c>
    </row>
    <row r="975" ht="15" customHeight="1" s="11">
      <c r="A975" s="10" t="inlineStr">
        <is>
          <t>USR-100974</t>
        </is>
      </c>
      <c r="B975" s="14" t="n">
        <v>45683</v>
      </c>
      <c r="C975" s="10" t="inlineStr">
        <is>
          <t>Treatment</t>
        </is>
      </c>
      <c r="D975" s="10" t="inlineStr">
        <is>
          <t>South</t>
        </is>
      </c>
      <c r="E975" s="10" t="inlineStr">
        <is>
          <t>Mobile</t>
        </is>
      </c>
      <c r="F975" s="10" t="inlineStr">
        <is>
          <t>Paid Search</t>
        </is>
      </c>
      <c r="G975" s="10" t="inlineStr">
        <is>
          <t>Premium</t>
        </is>
      </c>
      <c r="H975" s="10" t="n">
        <v>1</v>
      </c>
      <c r="I975" s="10" t="n">
        <v>1</v>
      </c>
      <c r="J975" s="10" t="n">
        <v>1</v>
      </c>
      <c r="K975" s="10" t="n">
        <v>0</v>
      </c>
      <c r="L975" s="10" t="n">
        <v>0</v>
      </c>
      <c r="M975" s="10" t="n">
        <v>0</v>
      </c>
      <c r="N975" s="10" t="n">
        <v>0</v>
      </c>
      <c r="P975" s="10" t="n">
        <v>80.5</v>
      </c>
      <c r="Q975" s="10">
        <f>A975&amp;"|"&amp;B975&amp;"|"&amp;C975&amp;"|"&amp;D975&amp;"|"&amp;E975&amp;"|"&amp;F975&amp;"|"&amp;G975&amp;"|"&amp;H975&amp;"|"&amp;I975&amp;"|"&amp;J975&amp;"|"&amp;K975&amp;"|"&amp;L975&amp;"|"&amp;M975&amp;"|"&amp;N975&amp;"|"&amp;O975&amp;"|"&amp;P975</f>
        <v/>
      </c>
      <c r="R975" s="10">
        <f>IF(COUNTIF($Q$2:$Q$1409,Q975)&gt;1,IF(COUNTIF($Q$2:Q975,Q975)=1,"Exact Duplicate - Keep First","Exact Duplicate - Remove"),"Unique")</f>
        <v/>
      </c>
    </row>
    <row r="976" ht="15" customHeight="1" s="11">
      <c r="A976" s="10" t="inlineStr">
        <is>
          <t>USR-100975</t>
        </is>
      </c>
      <c r="B976" s="14" t="n">
        <v>45775</v>
      </c>
      <c r="C976" s="10" t="inlineStr">
        <is>
          <t>Treatment</t>
        </is>
      </c>
      <c r="D976" s="10" t="inlineStr">
        <is>
          <t>North</t>
        </is>
      </c>
      <c r="E976" s="10" t="inlineStr">
        <is>
          <t>Mobile</t>
        </is>
      </c>
      <c r="F976" s="10" t="inlineStr">
        <is>
          <t>Organic</t>
        </is>
      </c>
      <c r="G976" s="10" t="inlineStr">
        <is>
          <t>Free</t>
        </is>
      </c>
      <c r="H976" s="10" t="n">
        <v>1</v>
      </c>
      <c r="I976" s="10" t="n">
        <v>0</v>
      </c>
      <c r="J976" s="10" t="n">
        <v>0</v>
      </c>
      <c r="K976" s="10" t="n">
        <v>0</v>
      </c>
      <c r="L976" s="10" t="n">
        <v>0</v>
      </c>
      <c r="M976" s="10" t="n">
        <v>0</v>
      </c>
      <c r="N976" s="10" t="n">
        <v>0</v>
      </c>
      <c r="P976" s="10" t="n">
        <v>46.3</v>
      </c>
      <c r="Q976" s="10">
        <f>A976&amp;"|"&amp;B976&amp;"|"&amp;C976&amp;"|"&amp;D976&amp;"|"&amp;E976&amp;"|"&amp;F976&amp;"|"&amp;G976&amp;"|"&amp;H976&amp;"|"&amp;I976&amp;"|"&amp;J976&amp;"|"&amp;K976&amp;"|"&amp;L976&amp;"|"&amp;M976&amp;"|"&amp;N976&amp;"|"&amp;O976&amp;"|"&amp;P976</f>
        <v/>
      </c>
      <c r="R976" s="10">
        <f>IF(COUNTIF($Q$2:$Q$1409,Q976)&gt;1,IF(COUNTIF($Q$2:Q976,Q976)=1,"Exact Duplicate - Keep First","Exact Duplicate - Remove"),"Unique")</f>
        <v/>
      </c>
    </row>
    <row r="977" ht="15" customHeight="1" s="11">
      <c r="A977" s="10" t="inlineStr">
        <is>
          <t>USR-100976</t>
        </is>
      </c>
      <c r="B977" s="14" t="n">
        <v>45749</v>
      </c>
      <c r="C977" s="10" t="inlineStr">
        <is>
          <t>Treatment</t>
        </is>
      </c>
      <c r="D977" s="10" t="inlineStr">
        <is>
          <t>South</t>
        </is>
      </c>
      <c r="E977" s="10" t="inlineStr">
        <is>
          <t>Desktop</t>
        </is>
      </c>
      <c r="F977" s="10" t="inlineStr">
        <is>
          <t>Email</t>
        </is>
      </c>
      <c r="G977" s="10" t="inlineStr">
        <is>
          <t>Basic</t>
        </is>
      </c>
      <c r="H977" s="10" t="n">
        <v>1</v>
      </c>
      <c r="I977" s="10" t="n">
        <v>0</v>
      </c>
      <c r="J977" s="10" t="n">
        <v>0</v>
      </c>
      <c r="K977" s="10" t="n">
        <v>0</v>
      </c>
      <c r="L977" s="10" t="n">
        <v>0</v>
      </c>
      <c r="M977" s="10" t="n">
        <v>0</v>
      </c>
      <c r="N977" s="10" t="n">
        <v>0</v>
      </c>
      <c r="P977" s="10" t="n">
        <v>71.59999999999999</v>
      </c>
      <c r="Q977" s="10">
        <f>A977&amp;"|"&amp;B977&amp;"|"&amp;C977&amp;"|"&amp;D977&amp;"|"&amp;E977&amp;"|"&amp;F977&amp;"|"&amp;G977&amp;"|"&amp;H977&amp;"|"&amp;I977&amp;"|"&amp;J977&amp;"|"&amp;K977&amp;"|"&amp;L977&amp;"|"&amp;M977&amp;"|"&amp;N977&amp;"|"&amp;O977&amp;"|"&amp;P977</f>
        <v/>
      </c>
      <c r="R977" s="10">
        <f>IF(COUNTIF($Q$2:$Q$1409,Q977)&gt;1,IF(COUNTIF($Q$2:Q977,Q977)=1,"Exact Duplicate - Keep First","Exact Duplicate - Remove"),"Unique")</f>
        <v/>
      </c>
    </row>
    <row r="978" ht="15" customHeight="1" s="11">
      <c r="A978" s="10" t="inlineStr">
        <is>
          <t>USR-100977</t>
        </is>
      </c>
      <c r="B978" s="14" t="n">
        <v>45759</v>
      </c>
      <c r="C978" s="10" t="inlineStr">
        <is>
          <t>Treatment</t>
        </is>
      </c>
      <c r="D978" s="10" t="inlineStr">
        <is>
          <t>South</t>
        </is>
      </c>
      <c r="E978" s="10" t="inlineStr">
        <is>
          <t>Desktop</t>
        </is>
      </c>
      <c r="F978" s="10" t="inlineStr">
        <is>
          <t>Email</t>
        </is>
      </c>
      <c r="G978" s="10" t="inlineStr">
        <is>
          <t>Premium</t>
        </is>
      </c>
      <c r="H978" s="10" t="n">
        <v>1</v>
      </c>
      <c r="I978" s="10" t="n">
        <v>1</v>
      </c>
      <c r="J978" s="10" t="n">
        <v>0</v>
      </c>
      <c r="K978" s="10" t="n">
        <v>0</v>
      </c>
      <c r="L978" s="10" t="n">
        <v>0</v>
      </c>
      <c r="M978" s="10" t="n">
        <v>0</v>
      </c>
      <c r="N978" s="10" t="n">
        <v>0</v>
      </c>
      <c r="P978" s="10" t="n">
        <v>57.8</v>
      </c>
      <c r="Q978" s="10">
        <f>A978&amp;"|"&amp;B978&amp;"|"&amp;C978&amp;"|"&amp;D978&amp;"|"&amp;E978&amp;"|"&amp;F978&amp;"|"&amp;G978&amp;"|"&amp;H978&amp;"|"&amp;I978&amp;"|"&amp;J978&amp;"|"&amp;K978&amp;"|"&amp;L978&amp;"|"&amp;M978&amp;"|"&amp;N978&amp;"|"&amp;O978&amp;"|"&amp;P978</f>
        <v/>
      </c>
      <c r="R978" s="10">
        <f>IF(COUNTIF($Q$2:$Q$1409,Q978)&gt;1,IF(COUNTIF($Q$2:Q978,Q978)=1,"Exact Duplicate - Keep First","Exact Duplicate - Remove"),"Unique")</f>
        <v/>
      </c>
    </row>
    <row r="979" ht="15" customHeight="1" s="11">
      <c r="A979" s="10" t="inlineStr">
        <is>
          <t>USR-100978</t>
        </is>
      </c>
      <c r="B979" s="14" t="n">
        <v>45660</v>
      </c>
      <c r="C979" s="10" t="inlineStr">
        <is>
          <t>Treatment</t>
        </is>
      </c>
      <c r="D979" s="10" t="inlineStr">
        <is>
          <t>West</t>
        </is>
      </c>
      <c r="E979" s="10" t="inlineStr">
        <is>
          <t>Desktop</t>
        </is>
      </c>
      <c r="F979" s="10" t="inlineStr">
        <is>
          <t>Email</t>
        </is>
      </c>
      <c r="G979" s="10" t="inlineStr">
        <is>
          <t>Basic</t>
        </is>
      </c>
      <c r="H979" s="10" t="n">
        <v>1</v>
      </c>
      <c r="I979" s="10" t="n">
        <v>1</v>
      </c>
      <c r="J979" s="10" t="n">
        <v>1</v>
      </c>
      <c r="K979" s="10" t="n">
        <v>0</v>
      </c>
      <c r="L979" s="10" t="n">
        <v>0</v>
      </c>
      <c r="M979" s="10" t="n">
        <v>1</v>
      </c>
      <c r="N979" s="10" t="n">
        <v>0</v>
      </c>
      <c r="P979" s="10" t="n">
        <v>57.8</v>
      </c>
      <c r="Q979" s="10">
        <f>A979&amp;"|"&amp;B979&amp;"|"&amp;C979&amp;"|"&amp;D979&amp;"|"&amp;E979&amp;"|"&amp;F979&amp;"|"&amp;G979&amp;"|"&amp;H979&amp;"|"&amp;I979&amp;"|"&amp;J979&amp;"|"&amp;K979&amp;"|"&amp;L979&amp;"|"&amp;M979&amp;"|"&amp;N979&amp;"|"&amp;O979&amp;"|"&amp;P979</f>
        <v/>
      </c>
      <c r="R979" s="10">
        <f>IF(COUNTIF($Q$2:$Q$1409,Q979)&gt;1,IF(COUNTIF($Q$2:Q979,Q979)=1,"Exact Duplicate - Keep First","Exact Duplicate - Remove"),"Unique")</f>
        <v/>
      </c>
    </row>
    <row r="980" ht="15" customHeight="1" s="11">
      <c r="A980" s="10" t="inlineStr">
        <is>
          <t>USR-100979</t>
        </is>
      </c>
      <c r="B980" s="14" t="n">
        <v>45785</v>
      </c>
      <c r="C980" s="10" t="inlineStr">
        <is>
          <t>Treatment</t>
        </is>
      </c>
      <c r="D980" s="10" t="inlineStr">
        <is>
          <t>North</t>
        </is>
      </c>
      <c r="E980" s="10" t="inlineStr">
        <is>
          <t>Mobile</t>
        </is>
      </c>
      <c r="F980" s="10" t="inlineStr">
        <is>
          <t>Paid Search</t>
        </is>
      </c>
      <c r="G980" s="10" t="inlineStr">
        <is>
          <t>Free</t>
        </is>
      </c>
      <c r="H980" s="10" t="n">
        <v>1</v>
      </c>
      <c r="I980" s="10" t="n">
        <v>0</v>
      </c>
      <c r="J980" s="10" t="n">
        <v>0</v>
      </c>
      <c r="K980" s="10" t="n">
        <v>0</v>
      </c>
      <c r="L980" s="10" t="n">
        <v>0</v>
      </c>
      <c r="M980" s="10" t="n">
        <v>0</v>
      </c>
      <c r="N980" s="10" t="n">
        <v>0</v>
      </c>
      <c r="P980" s="10" t="n">
        <v>38.3</v>
      </c>
      <c r="Q980" s="10">
        <f>A980&amp;"|"&amp;B980&amp;"|"&amp;C980&amp;"|"&amp;D980&amp;"|"&amp;E980&amp;"|"&amp;F980&amp;"|"&amp;G980&amp;"|"&amp;H980&amp;"|"&amp;I980&amp;"|"&amp;J980&amp;"|"&amp;K980&amp;"|"&amp;L980&amp;"|"&amp;M980&amp;"|"&amp;N980&amp;"|"&amp;O980&amp;"|"&amp;P980</f>
        <v/>
      </c>
      <c r="R980" s="10">
        <f>IF(COUNTIF($Q$2:$Q$1409,Q980)&gt;1,IF(COUNTIF($Q$2:Q980,Q980)=1,"Exact Duplicate - Keep First","Exact Duplicate - Remove"),"Unique")</f>
        <v/>
      </c>
    </row>
    <row r="981" ht="15" customHeight="1" s="11">
      <c r="A981" s="10" t="inlineStr">
        <is>
          <t>USR-100980</t>
        </is>
      </c>
      <c r="B981" s="14" t="n">
        <v>45708</v>
      </c>
      <c r="C981" s="10" t="inlineStr">
        <is>
          <t>Treatment</t>
        </is>
      </c>
      <c r="D981" s="10" t="inlineStr">
        <is>
          <t>North</t>
        </is>
      </c>
      <c r="E981" s="10" t="inlineStr">
        <is>
          <t>Mobile</t>
        </is>
      </c>
      <c r="F981" s="10" t="inlineStr">
        <is>
          <t>Referral</t>
        </is>
      </c>
      <c r="G981" s="10" t="inlineStr">
        <is>
          <t>Premium</t>
        </is>
      </c>
      <c r="H981" s="10" t="n">
        <v>1</v>
      </c>
      <c r="I981" s="10" t="n">
        <v>0</v>
      </c>
      <c r="J981" s="10" t="n">
        <v>0</v>
      </c>
      <c r="K981" s="10" t="n">
        <v>0</v>
      </c>
      <c r="L981" s="10" t="n">
        <v>0</v>
      </c>
      <c r="M981" s="10" t="n">
        <v>1</v>
      </c>
      <c r="N981" s="10" t="n">
        <v>0</v>
      </c>
      <c r="P981" s="10" t="n">
        <v>66.09999999999999</v>
      </c>
      <c r="Q981" s="10">
        <f>A981&amp;"|"&amp;B981&amp;"|"&amp;C981&amp;"|"&amp;D981&amp;"|"&amp;E981&amp;"|"&amp;F981&amp;"|"&amp;G981&amp;"|"&amp;H981&amp;"|"&amp;I981&amp;"|"&amp;J981&amp;"|"&amp;K981&amp;"|"&amp;L981&amp;"|"&amp;M981&amp;"|"&amp;N981&amp;"|"&amp;O981&amp;"|"&amp;P981</f>
        <v/>
      </c>
      <c r="R981" s="10">
        <f>IF(COUNTIF($Q$2:$Q$1409,Q981)&gt;1,IF(COUNTIF($Q$2:Q981,Q981)=1,"Exact Duplicate - Keep First","Exact Duplicate - Remove"),"Unique")</f>
        <v/>
      </c>
    </row>
    <row r="982" ht="15" customHeight="1" s="11">
      <c r="A982" s="10" t="inlineStr">
        <is>
          <t>USR-100981</t>
        </is>
      </c>
      <c r="B982" s="14" t="n">
        <v>45733</v>
      </c>
      <c r="C982" s="10" t="inlineStr">
        <is>
          <t>Treatment</t>
        </is>
      </c>
      <c r="D982" s="10" t="inlineStr">
        <is>
          <t>North</t>
        </is>
      </c>
      <c r="E982" s="10" t="inlineStr">
        <is>
          <t>Desktop</t>
        </is>
      </c>
      <c r="F982" s="10" t="inlineStr">
        <is>
          <t>Paid Search</t>
        </is>
      </c>
      <c r="G982" s="10" t="inlineStr">
        <is>
          <t>Premium</t>
        </is>
      </c>
      <c r="H982" s="10" t="n">
        <v>1</v>
      </c>
      <c r="I982" s="10" t="n">
        <v>0</v>
      </c>
      <c r="J982" s="10" t="n">
        <v>0</v>
      </c>
      <c r="K982" s="10" t="n">
        <v>0</v>
      </c>
      <c r="L982" s="10" t="n">
        <v>0</v>
      </c>
      <c r="M982" s="10" t="n">
        <v>0</v>
      </c>
      <c r="N982" s="10" t="n">
        <v>0</v>
      </c>
      <c r="P982" s="10" t="n">
        <v>66.5</v>
      </c>
      <c r="Q982" s="10">
        <f>A982&amp;"|"&amp;B982&amp;"|"&amp;C982&amp;"|"&amp;D982&amp;"|"&amp;E982&amp;"|"&amp;F982&amp;"|"&amp;G982&amp;"|"&amp;H982&amp;"|"&amp;I982&amp;"|"&amp;J982&amp;"|"&amp;K982&amp;"|"&amp;L982&amp;"|"&amp;M982&amp;"|"&amp;N982&amp;"|"&amp;O982&amp;"|"&amp;P982</f>
        <v/>
      </c>
      <c r="R982" s="10">
        <f>IF(COUNTIF($Q$2:$Q$1409,Q982)&gt;1,IF(COUNTIF($Q$2:Q982,Q982)=1,"Exact Duplicate - Keep First","Exact Duplicate - Remove"),"Unique")</f>
        <v/>
      </c>
    </row>
    <row r="983" ht="15" customHeight="1" s="11">
      <c r="A983" s="10" t="inlineStr">
        <is>
          <t>USR-100982</t>
        </is>
      </c>
      <c r="B983" s="14" t="n">
        <v>45757</v>
      </c>
      <c r="C983" s="10" t="inlineStr">
        <is>
          <t>Treatment</t>
        </is>
      </c>
      <c r="D983" s="10" t="inlineStr">
        <is>
          <t>South</t>
        </is>
      </c>
      <c r="E983" s="10" t="inlineStr">
        <is>
          <t>Desktop</t>
        </is>
      </c>
      <c r="F983" s="10" t="inlineStr">
        <is>
          <t>Email</t>
        </is>
      </c>
      <c r="G983" s="10" t="inlineStr">
        <is>
          <t>Free</t>
        </is>
      </c>
      <c r="H983" s="10" t="n">
        <v>1</v>
      </c>
      <c r="I983" s="10" t="n">
        <v>0</v>
      </c>
      <c r="J983" s="10" t="n">
        <v>0</v>
      </c>
      <c r="K983" s="10" t="n">
        <v>0</v>
      </c>
      <c r="L983" s="10" t="n">
        <v>0</v>
      </c>
      <c r="M983" s="10" t="n">
        <v>3</v>
      </c>
      <c r="N983" s="10" t="n">
        <v>0</v>
      </c>
      <c r="P983" s="10" t="n">
        <v>51.5</v>
      </c>
      <c r="Q983" s="10">
        <f>A983&amp;"|"&amp;B983&amp;"|"&amp;C983&amp;"|"&amp;D983&amp;"|"&amp;E983&amp;"|"&amp;F983&amp;"|"&amp;G983&amp;"|"&amp;H983&amp;"|"&amp;I983&amp;"|"&amp;J983&amp;"|"&amp;K983&amp;"|"&amp;L983&amp;"|"&amp;M983&amp;"|"&amp;N983&amp;"|"&amp;O983&amp;"|"&amp;P983</f>
        <v/>
      </c>
      <c r="R983" s="10">
        <f>IF(COUNTIF($Q$2:$Q$1409,Q983)&gt;1,IF(COUNTIF($Q$2:Q983,Q983)=1,"Exact Duplicate - Keep First","Exact Duplicate - Remove"),"Unique")</f>
        <v/>
      </c>
    </row>
    <row r="984" ht="15" customHeight="1" s="11">
      <c r="A984" s="10" t="inlineStr">
        <is>
          <t>USR-100983</t>
        </is>
      </c>
      <c r="B984" s="14" t="n">
        <v>45785</v>
      </c>
      <c r="C984" s="10" t="inlineStr">
        <is>
          <t>Treatment</t>
        </is>
      </c>
      <c r="D984" s="10" t="inlineStr">
        <is>
          <t>North</t>
        </is>
      </c>
      <c r="E984" s="10" t="inlineStr">
        <is>
          <t>Desktop</t>
        </is>
      </c>
      <c r="F984" s="10" t="inlineStr">
        <is>
          <t>Referral</t>
        </is>
      </c>
      <c r="G984" s="10" t="inlineStr">
        <is>
          <t>Free</t>
        </is>
      </c>
      <c r="H984" s="10" t="n">
        <v>1</v>
      </c>
      <c r="I984" s="10" t="n">
        <v>0</v>
      </c>
      <c r="J984" s="10" t="n">
        <v>0</v>
      </c>
      <c r="K984" s="10" t="n">
        <v>0</v>
      </c>
      <c r="L984" s="10" t="n">
        <v>0</v>
      </c>
      <c r="M984" s="10" t="n">
        <v>0</v>
      </c>
      <c r="N984" s="10" t="n">
        <v>0</v>
      </c>
      <c r="P984" s="10" t="n">
        <v>59.9</v>
      </c>
      <c r="Q984" s="10">
        <f>A984&amp;"|"&amp;B984&amp;"|"&amp;C984&amp;"|"&amp;D984&amp;"|"&amp;E984&amp;"|"&amp;F984&amp;"|"&amp;G984&amp;"|"&amp;H984&amp;"|"&amp;I984&amp;"|"&amp;J984&amp;"|"&amp;K984&amp;"|"&amp;L984&amp;"|"&amp;M984&amp;"|"&amp;N984&amp;"|"&amp;O984&amp;"|"&amp;P984</f>
        <v/>
      </c>
      <c r="R984" s="10">
        <f>IF(COUNTIF($Q$2:$Q$1409,Q984)&gt;1,IF(COUNTIF($Q$2:Q984,Q984)=1,"Exact Duplicate - Keep First","Exact Duplicate - Remove"),"Unique")</f>
        <v/>
      </c>
    </row>
    <row r="985" ht="15" customHeight="1" s="11">
      <c r="A985" s="10" t="inlineStr">
        <is>
          <t>USR-100984</t>
        </is>
      </c>
      <c r="B985" s="14" t="n">
        <v>45766</v>
      </c>
      <c r="C985" s="10" t="inlineStr">
        <is>
          <t>Treatment</t>
        </is>
      </c>
      <c r="D985" s="10" t="inlineStr">
        <is>
          <t>West</t>
        </is>
      </c>
      <c r="E985" s="10" t="inlineStr">
        <is>
          <t>Mobile</t>
        </is>
      </c>
      <c r="F985" s="10" t="inlineStr">
        <is>
          <t>Paid Search</t>
        </is>
      </c>
      <c r="G985" s="10" t="inlineStr">
        <is>
          <t>Basic</t>
        </is>
      </c>
      <c r="H985" s="10" t="n">
        <v>1</v>
      </c>
      <c r="I985" s="10" t="n">
        <v>0</v>
      </c>
      <c r="J985" s="10" t="n">
        <v>0</v>
      </c>
      <c r="K985" s="10" t="n">
        <v>0</v>
      </c>
      <c r="L985" s="10" t="n">
        <v>0</v>
      </c>
      <c r="M985" s="10" t="n">
        <v>0</v>
      </c>
      <c r="N985" s="10" t="n">
        <v>0</v>
      </c>
      <c r="P985" s="10" t="n">
        <v>58.8</v>
      </c>
      <c r="Q985" s="10">
        <f>A985&amp;"|"&amp;B985&amp;"|"&amp;C985&amp;"|"&amp;D985&amp;"|"&amp;E985&amp;"|"&amp;F985&amp;"|"&amp;G985&amp;"|"&amp;H985&amp;"|"&amp;I985&amp;"|"&amp;J985&amp;"|"&amp;K985&amp;"|"&amp;L985&amp;"|"&amp;M985&amp;"|"&amp;N985&amp;"|"&amp;O985&amp;"|"&amp;P985</f>
        <v/>
      </c>
      <c r="R985" s="10">
        <f>IF(COUNTIF($Q$2:$Q$1409,Q985)&gt;1,IF(COUNTIF($Q$2:Q985,Q985)=1,"Exact Duplicate - Keep First","Exact Duplicate - Remove"),"Unique")</f>
        <v/>
      </c>
    </row>
    <row r="986" ht="15" customHeight="1" s="11">
      <c r="A986" s="10" t="inlineStr">
        <is>
          <t>USR-100985</t>
        </is>
      </c>
      <c r="B986" s="14" t="n">
        <v>45658</v>
      </c>
      <c r="C986" s="10" t="inlineStr">
        <is>
          <t>Treatment</t>
        </is>
      </c>
      <c r="D986" s="10" t="inlineStr">
        <is>
          <t>South</t>
        </is>
      </c>
      <c r="E986" s="10" t="inlineStr">
        <is>
          <t>Tablet</t>
        </is>
      </c>
      <c r="F986" s="10" t="inlineStr">
        <is>
          <t>Paid Search</t>
        </is>
      </c>
      <c r="G986" s="10" t="inlineStr">
        <is>
          <t>Basic</t>
        </is>
      </c>
      <c r="H986" s="10" t="n">
        <v>1</v>
      </c>
      <c r="I986" s="10" t="n">
        <v>0</v>
      </c>
      <c r="J986" s="10" t="n">
        <v>0</v>
      </c>
      <c r="K986" s="10" t="n">
        <v>0</v>
      </c>
      <c r="L986" s="10" t="n">
        <v>0</v>
      </c>
      <c r="M986" s="10" t="n">
        <v>0</v>
      </c>
      <c r="N986" s="10" t="n">
        <v>0</v>
      </c>
      <c r="P986" s="10" t="n">
        <v>69.59999999999999</v>
      </c>
      <c r="Q986" s="10">
        <f>A986&amp;"|"&amp;B986&amp;"|"&amp;C986&amp;"|"&amp;D986&amp;"|"&amp;E986&amp;"|"&amp;F986&amp;"|"&amp;G986&amp;"|"&amp;H986&amp;"|"&amp;I986&amp;"|"&amp;J986&amp;"|"&amp;K986&amp;"|"&amp;L986&amp;"|"&amp;M986&amp;"|"&amp;N986&amp;"|"&amp;O986&amp;"|"&amp;P986</f>
        <v/>
      </c>
      <c r="R986" s="10">
        <f>IF(COUNTIF($Q$2:$Q$1409,Q986)&gt;1,IF(COUNTIF($Q$2:Q986,Q986)=1,"Exact Duplicate - Keep First","Exact Duplicate - Remove"),"Unique")</f>
        <v/>
      </c>
    </row>
    <row r="987" ht="15" customHeight="1" s="11">
      <c r="A987" s="10" t="inlineStr">
        <is>
          <t>USR-100986</t>
        </is>
      </c>
      <c r="B987" s="14" t="n">
        <v>45726</v>
      </c>
      <c r="C987" s="10" t="inlineStr">
        <is>
          <t>Treatment</t>
        </is>
      </c>
      <c r="D987" s="10" t="inlineStr">
        <is>
          <t>East</t>
        </is>
      </c>
      <c r="E987" s="10" t="inlineStr">
        <is>
          <t>Mobile</t>
        </is>
      </c>
      <c r="F987" s="10" t="inlineStr">
        <is>
          <t>Paid Search</t>
        </is>
      </c>
      <c r="G987" s="10" t="inlineStr">
        <is>
          <t>Free</t>
        </is>
      </c>
      <c r="H987" s="10" t="n">
        <v>1</v>
      </c>
      <c r="I987" s="10" t="n">
        <v>0</v>
      </c>
      <c r="J987" s="10" t="n">
        <v>0</v>
      </c>
      <c r="K987" s="10" t="n">
        <v>0</v>
      </c>
      <c r="L987" s="10" t="n">
        <v>0</v>
      </c>
      <c r="M987" s="10" t="n">
        <v>0</v>
      </c>
      <c r="N987" s="10" t="n">
        <v>0</v>
      </c>
      <c r="P987" s="10" t="n">
        <v>77.5</v>
      </c>
      <c r="Q987" s="10">
        <f>A987&amp;"|"&amp;B987&amp;"|"&amp;C987&amp;"|"&amp;D987&amp;"|"&amp;E987&amp;"|"&amp;F987&amp;"|"&amp;G987&amp;"|"&amp;H987&amp;"|"&amp;I987&amp;"|"&amp;J987&amp;"|"&amp;K987&amp;"|"&amp;L987&amp;"|"&amp;M987&amp;"|"&amp;N987&amp;"|"&amp;O987&amp;"|"&amp;P987</f>
        <v/>
      </c>
      <c r="R987" s="10">
        <f>IF(COUNTIF($Q$2:$Q$1409,Q987)&gt;1,IF(COUNTIF($Q$2:Q987,Q987)=1,"Exact Duplicate - Keep First","Exact Duplicate - Remove"),"Unique")</f>
        <v/>
      </c>
    </row>
    <row r="988" ht="15" customHeight="1" s="11">
      <c r="A988" s="10" t="inlineStr">
        <is>
          <t>USR-100987</t>
        </is>
      </c>
      <c r="B988" s="14" t="n">
        <v>45726</v>
      </c>
      <c r="C988" s="10" t="inlineStr">
        <is>
          <t>Treatment</t>
        </is>
      </c>
      <c r="D988" s="10" t="inlineStr">
        <is>
          <t>East</t>
        </is>
      </c>
      <c r="E988" s="10" t="inlineStr">
        <is>
          <t>Tablet</t>
        </is>
      </c>
      <c r="F988" s="10" t="inlineStr">
        <is>
          <t>Social</t>
        </is>
      </c>
      <c r="G988" s="10" t="inlineStr">
        <is>
          <t>Premium</t>
        </is>
      </c>
      <c r="H988" s="10" t="n">
        <v>0</v>
      </c>
      <c r="I988" s="10" t="n">
        <v>0</v>
      </c>
      <c r="J988" s="10" t="n">
        <v>0</v>
      </c>
      <c r="K988" s="10" t="n">
        <v>0</v>
      </c>
      <c r="L988" s="10" t="n">
        <v>0</v>
      </c>
      <c r="M988" s="10" t="n">
        <v>2</v>
      </c>
      <c r="N988" s="10" t="n">
        <v>0</v>
      </c>
      <c r="P988" s="10" t="n">
        <v>57.5</v>
      </c>
      <c r="Q988" s="10">
        <f>A988&amp;"|"&amp;B988&amp;"|"&amp;C988&amp;"|"&amp;D988&amp;"|"&amp;E988&amp;"|"&amp;F988&amp;"|"&amp;G988&amp;"|"&amp;H988&amp;"|"&amp;I988&amp;"|"&amp;J988&amp;"|"&amp;K988&amp;"|"&amp;L988&amp;"|"&amp;M988&amp;"|"&amp;N988&amp;"|"&amp;O988&amp;"|"&amp;P988</f>
        <v/>
      </c>
      <c r="R988" s="10">
        <f>IF(COUNTIF($Q$2:$Q$1409,Q988)&gt;1,IF(COUNTIF($Q$2:Q988,Q988)=1,"Exact Duplicate - Keep First","Exact Duplicate - Remove"),"Unique")</f>
        <v/>
      </c>
    </row>
    <row r="989" ht="15" customHeight="1" s="11">
      <c r="A989" s="10" t="inlineStr">
        <is>
          <t>USR-100988</t>
        </is>
      </c>
      <c r="B989" s="14" t="n">
        <v>45766</v>
      </c>
      <c r="C989" s="10" t="inlineStr">
        <is>
          <t>Treatment</t>
        </is>
      </c>
      <c r="D989" s="10" t="inlineStr">
        <is>
          <t>West</t>
        </is>
      </c>
      <c r="E989" s="10" t="inlineStr">
        <is>
          <t>Tablet</t>
        </is>
      </c>
      <c r="F989" s="10" t="inlineStr">
        <is>
          <t>Email</t>
        </is>
      </c>
      <c r="G989" s="10" t="inlineStr">
        <is>
          <t>Basic</t>
        </is>
      </c>
      <c r="H989" s="10" t="n">
        <v>1</v>
      </c>
      <c r="I989" s="10" t="n">
        <v>0</v>
      </c>
      <c r="J989" s="10" t="n">
        <v>0</v>
      </c>
      <c r="K989" s="10" t="n">
        <v>0</v>
      </c>
      <c r="L989" s="10" t="n">
        <v>0</v>
      </c>
      <c r="M989" s="10" t="n">
        <v>0</v>
      </c>
      <c r="N989" s="10" t="n">
        <v>0</v>
      </c>
      <c r="P989" s="10" t="n">
        <v>64.2</v>
      </c>
      <c r="Q989" s="10">
        <f>A989&amp;"|"&amp;B989&amp;"|"&amp;C989&amp;"|"&amp;D989&amp;"|"&amp;E989&amp;"|"&amp;F989&amp;"|"&amp;G989&amp;"|"&amp;H989&amp;"|"&amp;I989&amp;"|"&amp;J989&amp;"|"&amp;K989&amp;"|"&amp;L989&amp;"|"&amp;M989&amp;"|"&amp;N989&amp;"|"&amp;O989&amp;"|"&amp;P989</f>
        <v/>
      </c>
      <c r="R989" s="10">
        <f>IF(COUNTIF($Q$2:$Q$1409,Q989)&gt;1,IF(COUNTIF($Q$2:Q989,Q989)=1,"Exact Duplicate - Keep First","Exact Duplicate - Remove"),"Unique")</f>
        <v/>
      </c>
    </row>
    <row r="990" ht="15" customHeight="1" s="11">
      <c r="A990" s="10" t="inlineStr">
        <is>
          <t>USR-100989</t>
        </is>
      </c>
      <c r="B990" s="14" t="n">
        <v>45758</v>
      </c>
      <c r="C990" s="10" t="inlineStr">
        <is>
          <t>Treatment</t>
        </is>
      </c>
      <c r="D990" s="10" t="inlineStr">
        <is>
          <t>West</t>
        </is>
      </c>
      <c r="E990" s="10" t="inlineStr">
        <is>
          <t>Desktop</t>
        </is>
      </c>
      <c r="F990" s="10" t="inlineStr">
        <is>
          <t>Organic</t>
        </is>
      </c>
      <c r="G990" s="10" t="inlineStr">
        <is>
          <t>Free</t>
        </is>
      </c>
      <c r="H990" s="10" t="n">
        <v>0</v>
      </c>
      <c r="I990" s="10" t="n">
        <v>0</v>
      </c>
      <c r="J990" s="10" t="n">
        <v>0</v>
      </c>
      <c r="K990" s="10" t="n">
        <v>0</v>
      </c>
      <c r="L990" s="10" t="n">
        <v>0</v>
      </c>
      <c r="M990" s="10" t="n">
        <v>0</v>
      </c>
      <c r="N990" s="10" t="n">
        <v>0</v>
      </c>
      <c r="P990" s="10" t="n">
        <v>60</v>
      </c>
      <c r="Q990" s="10">
        <f>A990&amp;"|"&amp;B990&amp;"|"&amp;C990&amp;"|"&amp;D990&amp;"|"&amp;E990&amp;"|"&amp;F990&amp;"|"&amp;G990&amp;"|"&amp;H990&amp;"|"&amp;I990&amp;"|"&amp;J990&amp;"|"&amp;K990&amp;"|"&amp;L990&amp;"|"&amp;M990&amp;"|"&amp;N990&amp;"|"&amp;O990&amp;"|"&amp;P990</f>
        <v/>
      </c>
      <c r="R990" s="10">
        <f>IF(COUNTIF($Q$2:$Q$1409,Q990)&gt;1,IF(COUNTIF($Q$2:Q990,Q990)=1,"Exact Duplicate - Keep First","Exact Duplicate - Remove"),"Unique")</f>
        <v/>
      </c>
    </row>
    <row r="991" ht="15" customHeight="1" s="11">
      <c r="A991" s="10" t="inlineStr">
        <is>
          <t>USR-100990</t>
        </is>
      </c>
      <c r="B991" s="14" t="n">
        <v>45757</v>
      </c>
      <c r="C991" s="10" t="inlineStr">
        <is>
          <t>Treatment</t>
        </is>
      </c>
      <c r="D991" s="10" t="inlineStr">
        <is>
          <t>East</t>
        </is>
      </c>
      <c r="E991" s="10" t="inlineStr">
        <is>
          <t>Mobile</t>
        </is>
      </c>
      <c r="F991" s="10" t="inlineStr">
        <is>
          <t>Organic</t>
        </is>
      </c>
      <c r="G991" s="10" t="inlineStr">
        <is>
          <t>Basic</t>
        </is>
      </c>
      <c r="H991" s="10" t="n">
        <v>1</v>
      </c>
      <c r="I991" s="10" t="n">
        <v>0</v>
      </c>
      <c r="J991" s="10" t="n">
        <v>0</v>
      </c>
      <c r="K991" s="10" t="n">
        <v>0</v>
      </c>
      <c r="L991" s="10" t="n">
        <v>0</v>
      </c>
      <c r="M991" s="10" t="n">
        <v>1</v>
      </c>
      <c r="N991" s="10" t="n">
        <v>0</v>
      </c>
      <c r="P991" s="10" t="n">
        <v>43.7</v>
      </c>
      <c r="Q991" s="10">
        <f>A991&amp;"|"&amp;B991&amp;"|"&amp;C991&amp;"|"&amp;D991&amp;"|"&amp;E991&amp;"|"&amp;F991&amp;"|"&amp;G991&amp;"|"&amp;H991&amp;"|"&amp;I991&amp;"|"&amp;J991&amp;"|"&amp;K991&amp;"|"&amp;L991&amp;"|"&amp;M991&amp;"|"&amp;N991&amp;"|"&amp;O991&amp;"|"&amp;P991</f>
        <v/>
      </c>
      <c r="R991" s="10">
        <f>IF(COUNTIF($Q$2:$Q$1409,Q991)&gt;1,IF(COUNTIF($Q$2:Q991,Q991)=1,"Exact Duplicate - Keep First","Exact Duplicate - Remove"),"Unique")</f>
        <v/>
      </c>
    </row>
    <row r="992" ht="15" customHeight="1" s="11">
      <c r="A992" s="10" t="inlineStr">
        <is>
          <t>USR-100991</t>
        </is>
      </c>
      <c r="B992" s="14" t="n">
        <v>45670</v>
      </c>
      <c r="C992" s="10" t="inlineStr">
        <is>
          <t>Treatment</t>
        </is>
      </c>
      <c r="D992" s="10" t="inlineStr">
        <is>
          <t>West</t>
        </is>
      </c>
      <c r="E992" s="10" t="inlineStr">
        <is>
          <t>Desktop</t>
        </is>
      </c>
      <c r="F992" s="10" t="inlineStr">
        <is>
          <t>Social</t>
        </is>
      </c>
      <c r="G992" s="10" t="inlineStr">
        <is>
          <t>Free</t>
        </is>
      </c>
      <c r="H992" s="10" t="n">
        <v>1</v>
      </c>
      <c r="I992" s="10" t="n">
        <v>0</v>
      </c>
      <c r="J992" s="10" t="n">
        <v>0</v>
      </c>
      <c r="K992" s="10" t="n">
        <v>0</v>
      </c>
      <c r="L992" s="10" t="n">
        <v>0</v>
      </c>
      <c r="M992" s="10" t="n">
        <v>0</v>
      </c>
      <c r="N992" s="10" t="n">
        <v>0</v>
      </c>
      <c r="P992" s="10" t="n">
        <v>64.90000000000001</v>
      </c>
      <c r="Q992" s="10">
        <f>A992&amp;"|"&amp;B992&amp;"|"&amp;C992&amp;"|"&amp;D992&amp;"|"&amp;E992&amp;"|"&amp;F992&amp;"|"&amp;G992&amp;"|"&amp;H992&amp;"|"&amp;I992&amp;"|"&amp;J992&amp;"|"&amp;K992&amp;"|"&amp;L992&amp;"|"&amp;M992&amp;"|"&amp;N992&amp;"|"&amp;O992&amp;"|"&amp;P992</f>
        <v/>
      </c>
      <c r="R992" s="10">
        <f>IF(COUNTIF($Q$2:$Q$1409,Q992)&gt;1,IF(COUNTIF($Q$2:Q992,Q992)=1,"Exact Duplicate - Keep First","Exact Duplicate - Remove"),"Unique")</f>
        <v/>
      </c>
    </row>
    <row r="993" ht="15" customHeight="1" s="11">
      <c r="A993" s="10" t="inlineStr">
        <is>
          <t>USR-100992</t>
        </is>
      </c>
      <c r="B993" s="14" t="n">
        <v>45744</v>
      </c>
      <c r="C993" s="10" t="inlineStr">
        <is>
          <t>Treatment</t>
        </is>
      </c>
      <c r="D993" s="10" t="inlineStr">
        <is>
          <t>South</t>
        </is>
      </c>
      <c r="E993" s="10" t="inlineStr">
        <is>
          <t>Desktop</t>
        </is>
      </c>
      <c r="F993" s="10" t="inlineStr">
        <is>
          <t>Organic</t>
        </is>
      </c>
      <c r="G993" s="10" t="inlineStr">
        <is>
          <t>Free</t>
        </is>
      </c>
      <c r="H993" s="10" t="n">
        <v>1</v>
      </c>
      <c r="I993" s="10" t="n">
        <v>1</v>
      </c>
      <c r="J993" s="10" t="n">
        <v>0</v>
      </c>
      <c r="K993" s="10" t="n">
        <v>0</v>
      </c>
      <c r="L993" s="10" t="n">
        <v>0</v>
      </c>
      <c r="M993" s="10" t="n">
        <v>0</v>
      </c>
      <c r="N993" s="10" t="n">
        <v>0</v>
      </c>
      <c r="P993" s="10" t="n">
        <v>45.5</v>
      </c>
      <c r="Q993" s="10">
        <f>A993&amp;"|"&amp;B993&amp;"|"&amp;C993&amp;"|"&amp;D993&amp;"|"&amp;E993&amp;"|"&amp;F993&amp;"|"&amp;G993&amp;"|"&amp;H993&amp;"|"&amp;I993&amp;"|"&amp;J993&amp;"|"&amp;K993&amp;"|"&amp;L993&amp;"|"&amp;M993&amp;"|"&amp;N993&amp;"|"&amp;O993&amp;"|"&amp;P993</f>
        <v/>
      </c>
      <c r="R993" s="10">
        <f>IF(COUNTIF($Q$2:$Q$1409,Q993)&gt;1,IF(COUNTIF($Q$2:Q993,Q993)=1,"Exact Duplicate - Keep First","Exact Duplicate - Remove"),"Unique")</f>
        <v/>
      </c>
    </row>
    <row r="994" ht="15" customHeight="1" s="11">
      <c r="A994" s="10" t="inlineStr">
        <is>
          <t>USR-100993</t>
        </is>
      </c>
      <c r="B994" s="14" t="n">
        <v>45686</v>
      </c>
      <c r="C994" s="10" t="inlineStr">
        <is>
          <t>Treatment</t>
        </is>
      </c>
      <c r="D994" s="10" t="inlineStr">
        <is>
          <t>East</t>
        </is>
      </c>
      <c r="E994" s="10" t="inlineStr">
        <is>
          <t>Mobile</t>
        </is>
      </c>
      <c r="F994" s="10" t="inlineStr">
        <is>
          <t>Paid Search</t>
        </is>
      </c>
      <c r="G994" s="10" t="inlineStr">
        <is>
          <t>Free</t>
        </is>
      </c>
      <c r="H994" s="10" t="n">
        <v>1</v>
      </c>
      <c r="I994" s="10" t="n">
        <v>1</v>
      </c>
      <c r="J994" s="10" t="n">
        <v>1</v>
      </c>
      <c r="K994" s="10" t="n">
        <v>1</v>
      </c>
      <c r="L994" s="10" t="n">
        <v>1772.97</v>
      </c>
      <c r="M994" s="10" t="n">
        <v>0</v>
      </c>
      <c r="N994" s="10" t="n">
        <v>0</v>
      </c>
      <c r="O994" s="10" t="n">
        <v>8</v>
      </c>
      <c r="P994" s="10" t="n">
        <v>61.2</v>
      </c>
      <c r="Q994" s="10">
        <f>A994&amp;"|"&amp;B994&amp;"|"&amp;C994&amp;"|"&amp;D994&amp;"|"&amp;E994&amp;"|"&amp;F994&amp;"|"&amp;G994&amp;"|"&amp;H994&amp;"|"&amp;I994&amp;"|"&amp;J994&amp;"|"&amp;K994&amp;"|"&amp;L994&amp;"|"&amp;M994&amp;"|"&amp;N994&amp;"|"&amp;O994&amp;"|"&amp;P994</f>
        <v/>
      </c>
      <c r="R994" s="10">
        <f>IF(COUNTIF($Q$2:$Q$1409,Q994)&gt;1,IF(COUNTIF($Q$2:Q994,Q994)=1,"Exact Duplicate - Keep First","Exact Duplicate - Remove"),"Unique")</f>
        <v/>
      </c>
    </row>
    <row r="995" ht="15" customHeight="1" s="11">
      <c r="A995" s="10" t="inlineStr">
        <is>
          <t>USR-100994</t>
        </is>
      </c>
      <c r="B995" s="14" t="n">
        <v>45743</v>
      </c>
      <c r="C995" s="10" t="inlineStr">
        <is>
          <t>Treatment</t>
        </is>
      </c>
      <c r="D995" s="10" t="inlineStr">
        <is>
          <t>South</t>
        </is>
      </c>
      <c r="E995" s="10" t="inlineStr">
        <is>
          <t>Mobile</t>
        </is>
      </c>
      <c r="F995" s="10" t="inlineStr">
        <is>
          <t>Referral</t>
        </is>
      </c>
      <c r="G995" s="10" t="inlineStr">
        <is>
          <t>Free</t>
        </is>
      </c>
      <c r="H995" s="10" t="n">
        <v>0</v>
      </c>
      <c r="I995" s="10" t="n">
        <v>0</v>
      </c>
      <c r="J995" s="10" t="n">
        <v>0</v>
      </c>
      <c r="K995" s="10" t="n">
        <v>0</v>
      </c>
      <c r="L995" s="10" t="n">
        <v>0</v>
      </c>
      <c r="M995" s="10" t="n">
        <v>0</v>
      </c>
      <c r="N995" s="10" t="n">
        <v>0</v>
      </c>
      <c r="P995" s="10" t="n">
        <v>87.8</v>
      </c>
      <c r="Q995" s="10">
        <f>A995&amp;"|"&amp;B995&amp;"|"&amp;C995&amp;"|"&amp;D995&amp;"|"&amp;E995&amp;"|"&amp;F995&amp;"|"&amp;G995&amp;"|"&amp;H995&amp;"|"&amp;I995&amp;"|"&amp;J995&amp;"|"&amp;K995&amp;"|"&amp;L995&amp;"|"&amp;M995&amp;"|"&amp;N995&amp;"|"&amp;O995&amp;"|"&amp;P995</f>
        <v/>
      </c>
      <c r="R995" s="10">
        <f>IF(COUNTIF($Q$2:$Q$1409,Q995)&gt;1,IF(COUNTIF($Q$2:Q995,Q995)=1,"Exact Duplicate - Keep First","Exact Duplicate - Remove"),"Unique")</f>
        <v/>
      </c>
    </row>
    <row r="996" ht="15" customHeight="1" s="11">
      <c r="A996" s="10" t="inlineStr">
        <is>
          <t>USR-100995</t>
        </is>
      </c>
      <c r="B996" s="14" t="n">
        <v>45736</v>
      </c>
      <c r="C996" s="10" t="inlineStr">
        <is>
          <t>Treatment</t>
        </is>
      </c>
      <c r="D996" s="10" t="inlineStr">
        <is>
          <t>East</t>
        </is>
      </c>
      <c r="E996" s="10" t="inlineStr">
        <is>
          <t>Tablet</t>
        </is>
      </c>
      <c r="F996" s="10" t="inlineStr">
        <is>
          <t>Social</t>
        </is>
      </c>
      <c r="G996" s="10" t="inlineStr">
        <is>
          <t>Free</t>
        </is>
      </c>
      <c r="H996" s="10" t="n">
        <v>0</v>
      </c>
      <c r="I996" s="10" t="n">
        <v>0</v>
      </c>
      <c r="J996" s="10" t="n">
        <v>0</v>
      </c>
      <c r="K996" s="10" t="n">
        <v>0</v>
      </c>
      <c r="L996" s="10" t="n">
        <v>0</v>
      </c>
      <c r="M996" s="10" t="n">
        <v>0</v>
      </c>
      <c r="N996" s="10" t="n">
        <v>0</v>
      </c>
      <c r="P996" s="10" t="n">
        <v>86.40000000000001</v>
      </c>
      <c r="Q996" s="10">
        <f>A996&amp;"|"&amp;B996&amp;"|"&amp;C996&amp;"|"&amp;D996&amp;"|"&amp;E996&amp;"|"&amp;F996&amp;"|"&amp;G996&amp;"|"&amp;H996&amp;"|"&amp;I996&amp;"|"&amp;J996&amp;"|"&amp;K996&amp;"|"&amp;L996&amp;"|"&amp;M996&amp;"|"&amp;N996&amp;"|"&amp;O996&amp;"|"&amp;P996</f>
        <v/>
      </c>
      <c r="R996" s="10">
        <f>IF(COUNTIF($Q$2:$Q$1409,Q996)&gt;1,IF(COUNTIF($Q$2:Q996,Q996)=1,"Exact Duplicate - Keep First","Exact Duplicate - Remove"),"Unique")</f>
        <v/>
      </c>
    </row>
    <row r="997" ht="15" customHeight="1" s="11">
      <c r="A997" s="10" t="inlineStr">
        <is>
          <t>USR-100996</t>
        </is>
      </c>
      <c r="B997" s="14" t="n">
        <v>45666</v>
      </c>
      <c r="C997" s="10" t="inlineStr">
        <is>
          <t>Treatment</t>
        </is>
      </c>
      <c r="D997" s="10" t="inlineStr">
        <is>
          <t>North</t>
        </is>
      </c>
      <c r="E997" s="10" t="inlineStr">
        <is>
          <t>Mobile</t>
        </is>
      </c>
      <c r="F997" s="10" t="inlineStr">
        <is>
          <t>Paid Search</t>
        </is>
      </c>
      <c r="G997" s="10" t="inlineStr">
        <is>
          <t>Basic</t>
        </is>
      </c>
      <c r="H997" s="10" t="n">
        <v>0</v>
      </c>
      <c r="I997" s="10" t="n">
        <v>0</v>
      </c>
      <c r="J997" s="10" t="n">
        <v>0</v>
      </c>
      <c r="K997" s="10" t="n">
        <v>0</v>
      </c>
      <c r="L997" s="10" t="n">
        <v>0</v>
      </c>
      <c r="M997" s="10" t="n">
        <v>1</v>
      </c>
      <c r="N997" s="10" t="n">
        <v>0</v>
      </c>
      <c r="P997" s="10" t="n">
        <v>71.40000000000001</v>
      </c>
      <c r="Q997" s="10">
        <f>A997&amp;"|"&amp;B997&amp;"|"&amp;C997&amp;"|"&amp;D997&amp;"|"&amp;E997&amp;"|"&amp;F997&amp;"|"&amp;G997&amp;"|"&amp;H997&amp;"|"&amp;I997&amp;"|"&amp;J997&amp;"|"&amp;K997&amp;"|"&amp;L997&amp;"|"&amp;M997&amp;"|"&amp;N997&amp;"|"&amp;O997&amp;"|"&amp;P997</f>
        <v/>
      </c>
      <c r="R997" s="10">
        <f>IF(COUNTIF($Q$2:$Q$1409,Q997)&gt;1,IF(COUNTIF($Q$2:Q997,Q997)=1,"Exact Duplicate - Keep First","Exact Duplicate - Remove"),"Unique")</f>
        <v/>
      </c>
    </row>
    <row r="998" ht="15" customHeight="1" s="11">
      <c r="A998" s="10" t="inlineStr">
        <is>
          <t>USR-100997</t>
        </is>
      </c>
      <c r="B998" s="14" t="n">
        <v>45772</v>
      </c>
      <c r="C998" s="10" t="inlineStr">
        <is>
          <t>Treatment</t>
        </is>
      </c>
      <c r="D998" s="10" t="inlineStr">
        <is>
          <t>West</t>
        </is>
      </c>
      <c r="E998" s="10" t="inlineStr">
        <is>
          <t>Mobile</t>
        </is>
      </c>
      <c r="F998" s="10" t="inlineStr">
        <is>
          <t>Social</t>
        </is>
      </c>
      <c r="G998" s="10" t="inlineStr">
        <is>
          <t>Free</t>
        </is>
      </c>
      <c r="H998" s="10" t="n">
        <v>1</v>
      </c>
      <c r="I998" s="10" t="n">
        <v>1</v>
      </c>
      <c r="J998" s="10" t="n">
        <v>1</v>
      </c>
      <c r="K998" s="10" t="n">
        <v>1</v>
      </c>
      <c r="L998" s="10" t="n">
        <v>218.66</v>
      </c>
      <c r="M998" s="10" t="n">
        <v>0</v>
      </c>
      <c r="N998" s="10" t="n">
        <v>1</v>
      </c>
      <c r="O998" s="10" t="n">
        <v>8</v>
      </c>
      <c r="P998" s="10" t="n">
        <v>72.2</v>
      </c>
      <c r="Q998" s="10">
        <f>A998&amp;"|"&amp;B998&amp;"|"&amp;C998&amp;"|"&amp;D998&amp;"|"&amp;E998&amp;"|"&amp;F998&amp;"|"&amp;G998&amp;"|"&amp;H998&amp;"|"&amp;I998&amp;"|"&amp;J998&amp;"|"&amp;K998&amp;"|"&amp;L998&amp;"|"&amp;M998&amp;"|"&amp;N998&amp;"|"&amp;O998&amp;"|"&amp;P998</f>
        <v/>
      </c>
      <c r="R998" s="10">
        <f>IF(COUNTIF($Q$2:$Q$1409,Q998)&gt;1,IF(COUNTIF($Q$2:Q998,Q998)=1,"Exact Duplicate - Keep First","Exact Duplicate - Remove"),"Unique")</f>
        <v/>
      </c>
    </row>
    <row r="999" ht="15" customHeight="1" s="11">
      <c r="A999" s="10" t="inlineStr">
        <is>
          <t>USR-100998</t>
        </is>
      </c>
      <c r="B999" s="14" t="n">
        <v>45758</v>
      </c>
      <c r="C999" s="10" t="inlineStr">
        <is>
          <t>Treatment</t>
        </is>
      </c>
      <c r="D999" s="10" t="inlineStr">
        <is>
          <t>South</t>
        </is>
      </c>
      <c r="E999" s="10" t="inlineStr">
        <is>
          <t>Desktop</t>
        </is>
      </c>
      <c r="F999" s="10" t="inlineStr">
        <is>
          <t>Social</t>
        </is>
      </c>
      <c r="G999" s="10" t="inlineStr">
        <is>
          <t>Free</t>
        </is>
      </c>
      <c r="H999" s="10" t="n">
        <v>1</v>
      </c>
      <c r="I999" s="10" t="n">
        <v>0</v>
      </c>
      <c r="J999" s="10" t="n">
        <v>0</v>
      </c>
      <c r="K999" s="10" t="n">
        <v>0</v>
      </c>
      <c r="L999" s="10" t="n">
        <v>0</v>
      </c>
      <c r="M999" s="10" t="n">
        <v>0</v>
      </c>
      <c r="N999" s="10" t="n">
        <v>0</v>
      </c>
      <c r="P999" s="10" t="n">
        <v>51.9</v>
      </c>
      <c r="Q999" s="10">
        <f>A999&amp;"|"&amp;B999&amp;"|"&amp;C999&amp;"|"&amp;D999&amp;"|"&amp;E999&amp;"|"&amp;F999&amp;"|"&amp;G999&amp;"|"&amp;H999&amp;"|"&amp;I999&amp;"|"&amp;J999&amp;"|"&amp;K999&amp;"|"&amp;L999&amp;"|"&amp;M999&amp;"|"&amp;N999&amp;"|"&amp;O999&amp;"|"&amp;P999</f>
        <v/>
      </c>
      <c r="R999" s="10">
        <f>IF(COUNTIF($Q$2:$Q$1409,Q999)&gt;1,IF(COUNTIF($Q$2:Q999,Q999)=1,"Exact Duplicate - Keep First","Exact Duplicate - Remove"),"Unique")</f>
        <v/>
      </c>
    </row>
    <row r="1000" ht="15" customHeight="1" s="11">
      <c r="A1000" s="10" t="inlineStr">
        <is>
          <t>USR-100999</t>
        </is>
      </c>
      <c r="B1000" s="14" t="n">
        <v>45693</v>
      </c>
      <c r="C1000" s="10" t="inlineStr">
        <is>
          <t>Treatment</t>
        </is>
      </c>
      <c r="D1000" s="10" t="inlineStr">
        <is>
          <t>East</t>
        </is>
      </c>
      <c r="E1000" s="10" t="inlineStr">
        <is>
          <t>Mobile</t>
        </is>
      </c>
      <c r="F1000" s="10" t="inlineStr">
        <is>
          <t>Social</t>
        </is>
      </c>
      <c r="G1000" s="10" t="inlineStr">
        <is>
          <t>Basic</t>
        </is>
      </c>
      <c r="H1000" s="10" t="n">
        <v>1</v>
      </c>
      <c r="I1000" s="10" t="n">
        <v>1</v>
      </c>
      <c r="J1000" s="10" t="n">
        <v>1</v>
      </c>
      <c r="K1000" s="10" t="n">
        <v>0</v>
      </c>
      <c r="L1000" s="10" t="n">
        <v>0</v>
      </c>
      <c r="M1000" s="10" t="n">
        <v>0</v>
      </c>
      <c r="N1000" s="10" t="n">
        <v>0</v>
      </c>
      <c r="P1000" s="10" t="n">
        <v>70.3</v>
      </c>
      <c r="Q1000" s="10">
        <f>A1000&amp;"|"&amp;B1000&amp;"|"&amp;C1000&amp;"|"&amp;D1000&amp;"|"&amp;E1000&amp;"|"&amp;F1000&amp;"|"&amp;G1000&amp;"|"&amp;H1000&amp;"|"&amp;I1000&amp;"|"&amp;J1000&amp;"|"&amp;K1000&amp;"|"&amp;L1000&amp;"|"&amp;M1000&amp;"|"&amp;N1000&amp;"|"&amp;O1000&amp;"|"&amp;P1000</f>
        <v/>
      </c>
      <c r="R1000" s="10">
        <f>IF(COUNTIF($Q$2:$Q$1409,Q1000)&gt;1,IF(COUNTIF($Q$2:Q1000,Q1000)=1,"Exact Duplicate - Keep First","Exact Duplicate - Remove"),"Unique")</f>
        <v/>
      </c>
    </row>
    <row r="1001" ht="15" customHeight="1" s="11">
      <c r="A1001" s="10" t="inlineStr">
        <is>
          <t>USR-101000</t>
        </is>
      </c>
      <c r="B1001" s="14" t="n">
        <v>45744</v>
      </c>
      <c r="C1001" s="10" t="inlineStr">
        <is>
          <t>Treatment</t>
        </is>
      </c>
      <c r="D1001" s="10" t="inlineStr">
        <is>
          <t>South</t>
        </is>
      </c>
      <c r="E1001" s="10" t="inlineStr">
        <is>
          <t>Mobile</t>
        </is>
      </c>
      <c r="F1001" s="10" t="inlineStr">
        <is>
          <t>Social</t>
        </is>
      </c>
      <c r="G1001" s="10" t="inlineStr">
        <is>
          <t>Premium</t>
        </is>
      </c>
      <c r="H1001" s="10" t="n">
        <v>1</v>
      </c>
      <c r="I1001" s="10" t="n">
        <v>0</v>
      </c>
      <c r="J1001" s="10" t="n">
        <v>0</v>
      </c>
      <c r="K1001" s="10" t="n">
        <v>0</v>
      </c>
      <c r="L1001" s="10" t="n">
        <v>0</v>
      </c>
      <c r="M1001" s="10" t="n">
        <v>1</v>
      </c>
      <c r="N1001" s="10" t="n">
        <v>0</v>
      </c>
      <c r="P1001" s="10" t="n">
        <v>49.2</v>
      </c>
      <c r="Q1001" s="10">
        <f>A1001&amp;"|"&amp;B1001&amp;"|"&amp;C1001&amp;"|"&amp;D1001&amp;"|"&amp;E1001&amp;"|"&amp;F1001&amp;"|"&amp;G1001&amp;"|"&amp;H1001&amp;"|"&amp;I1001&amp;"|"&amp;J1001&amp;"|"&amp;K1001&amp;"|"&amp;L1001&amp;"|"&amp;M1001&amp;"|"&amp;N1001&amp;"|"&amp;O1001&amp;"|"&amp;P1001</f>
        <v/>
      </c>
      <c r="R1001" s="10">
        <f>IF(COUNTIF($Q$2:$Q$1409,Q1001)&gt;1,IF(COUNTIF($Q$2:Q1001,Q1001)=1,"Exact Duplicate - Keep First","Exact Duplicate - Remove"),"Unique")</f>
        <v/>
      </c>
    </row>
    <row r="1002" ht="15" customHeight="1" s="11">
      <c r="A1002" s="10" t="inlineStr">
        <is>
          <t>USR-101001</t>
        </is>
      </c>
      <c r="B1002" s="14" t="n">
        <v>45791</v>
      </c>
      <c r="C1002" s="10" t="inlineStr">
        <is>
          <t>Treatment</t>
        </is>
      </c>
      <c r="D1002" s="10" t="inlineStr">
        <is>
          <t>South</t>
        </is>
      </c>
      <c r="E1002" s="10" t="inlineStr">
        <is>
          <t>Mobile</t>
        </is>
      </c>
      <c r="F1002" s="10" t="inlineStr">
        <is>
          <t>Referral</t>
        </is>
      </c>
      <c r="G1002" s="10" t="inlineStr">
        <is>
          <t>Free</t>
        </is>
      </c>
      <c r="H1002" s="10" t="n">
        <v>0</v>
      </c>
      <c r="I1002" s="10" t="n">
        <v>0</v>
      </c>
      <c r="J1002" s="10" t="n">
        <v>0</v>
      </c>
      <c r="K1002" s="10" t="n">
        <v>0</v>
      </c>
      <c r="L1002" s="10" t="n">
        <v>0</v>
      </c>
      <c r="M1002" s="10" t="n">
        <v>0</v>
      </c>
      <c r="N1002" s="10" t="n">
        <v>0</v>
      </c>
      <c r="P1002" s="10" t="n">
        <v>52.2</v>
      </c>
      <c r="Q1002" s="10">
        <f>A1002&amp;"|"&amp;B1002&amp;"|"&amp;C1002&amp;"|"&amp;D1002&amp;"|"&amp;E1002&amp;"|"&amp;F1002&amp;"|"&amp;G1002&amp;"|"&amp;H1002&amp;"|"&amp;I1002&amp;"|"&amp;J1002&amp;"|"&amp;K1002&amp;"|"&amp;L1002&amp;"|"&amp;M1002&amp;"|"&amp;N1002&amp;"|"&amp;O1002&amp;"|"&amp;P1002</f>
        <v/>
      </c>
      <c r="R1002" s="10">
        <f>IF(COUNTIF($Q$2:$Q$1409,Q1002)&gt;1,IF(COUNTIF($Q$2:Q1002,Q1002)=1,"Exact Duplicate - Keep First","Exact Duplicate - Remove"),"Unique")</f>
        <v/>
      </c>
    </row>
    <row r="1003" ht="15" customHeight="1" s="11">
      <c r="A1003" s="10" t="inlineStr">
        <is>
          <t>USR-101002</t>
        </is>
      </c>
      <c r="B1003" s="14" t="n">
        <v>45726</v>
      </c>
      <c r="C1003" s="10" t="inlineStr">
        <is>
          <t>Treatment</t>
        </is>
      </c>
      <c r="D1003" s="10" t="inlineStr">
        <is>
          <t>East</t>
        </is>
      </c>
      <c r="E1003" s="10" t="inlineStr">
        <is>
          <t>Mobile</t>
        </is>
      </c>
      <c r="F1003" s="10" t="inlineStr">
        <is>
          <t>Paid Search</t>
        </is>
      </c>
      <c r="G1003" s="10" t="inlineStr">
        <is>
          <t>Basic</t>
        </is>
      </c>
      <c r="H1003" s="10" t="n">
        <v>0</v>
      </c>
      <c r="I1003" s="10" t="n">
        <v>0</v>
      </c>
      <c r="J1003" s="10" t="n">
        <v>0</v>
      </c>
      <c r="K1003" s="10" t="n">
        <v>0</v>
      </c>
      <c r="L1003" s="10" t="n">
        <v>0</v>
      </c>
      <c r="M1003" s="10" t="n">
        <v>1</v>
      </c>
      <c r="N1003" s="10" t="n">
        <v>0</v>
      </c>
      <c r="P1003" s="10" t="n">
        <v>62.6</v>
      </c>
      <c r="Q1003" s="10">
        <f>A1003&amp;"|"&amp;B1003&amp;"|"&amp;C1003&amp;"|"&amp;D1003&amp;"|"&amp;E1003&amp;"|"&amp;F1003&amp;"|"&amp;G1003&amp;"|"&amp;H1003&amp;"|"&amp;I1003&amp;"|"&amp;J1003&amp;"|"&amp;K1003&amp;"|"&amp;L1003&amp;"|"&amp;M1003&amp;"|"&amp;N1003&amp;"|"&amp;O1003&amp;"|"&amp;P1003</f>
        <v/>
      </c>
      <c r="R1003" s="10">
        <f>IF(COUNTIF($Q$2:$Q$1409,Q1003)&gt;1,IF(COUNTIF($Q$2:Q1003,Q1003)=1,"Exact Duplicate - Keep First","Exact Duplicate - Remove"),"Unique")</f>
        <v/>
      </c>
    </row>
    <row r="1004" ht="15" customHeight="1" s="11">
      <c r="A1004" s="10" t="inlineStr">
        <is>
          <t>USR-101003</t>
        </is>
      </c>
      <c r="B1004" s="14" t="n">
        <v>45756</v>
      </c>
      <c r="C1004" s="10" t="inlineStr">
        <is>
          <t>Treatment</t>
        </is>
      </c>
      <c r="D1004" s="10" t="inlineStr">
        <is>
          <t>East</t>
        </is>
      </c>
      <c r="E1004" s="10" t="inlineStr">
        <is>
          <t>Desktop</t>
        </is>
      </c>
      <c r="F1004" s="10" t="inlineStr">
        <is>
          <t>Paid Search</t>
        </is>
      </c>
      <c r="G1004" s="10" t="inlineStr">
        <is>
          <t>Free</t>
        </is>
      </c>
      <c r="H1004" s="10" t="n">
        <v>1</v>
      </c>
      <c r="I1004" s="10" t="n">
        <v>1</v>
      </c>
      <c r="J1004" s="10" t="n">
        <v>0</v>
      </c>
      <c r="K1004" s="10" t="n">
        <v>0</v>
      </c>
      <c r="L1004" s="10" t="n">
        <v>0</v>
      </c>
      <c r="M1004" s="10" t="n">
        <v>0</v>
      </c>
      <c r="N1004" s="10" t="n">
        <v>0</v>
      </c>
      <c r="P1004" s="10" t="n">
        <v>100</v>
      </c>
      <c r="Q1004" s="10">
        <f>A1004&amp;"|"&amp;B1004&amp;"|"&amp;C1004&amp;"|"&amp;D1004&amp;"|"&amp;E1004&amp;"|"&amp;F1004&amp;"|"&amp;G1004&amp;"|"&amp;H1004&amp;"|"&amp;I1004&amp;"|"&amp;J1004&amp;"|"&amp;K1004&amp;"|"&amp;L1004&amp;"|"&amp;M1004&amp;"|"&amp;N1004&amp;"|"&amp;O1004&amp;"|"&amp;P1004</f>
        <v/>
      </c>
      <c r="R1004" s="10">
        <f>IF(COUNTIF($Q$2:$Q$1409,Q1004)&gt;1,IF(COUNTIF($Q$2:Q1004,Q1004)=1,"Exact Duplicate - Keep First","Exact Duplicate - Remove"),"Unique")</f>
        <v/>
      </c>
    </row>
    <row r="1005" ht="15" customHeight="1" s="11">
      <c r="A1005" s="10" t="inlineStr">
        <is>
          <t>USR-101004</t>
        </is>
      </c>
      <c r="B1005" s="14" t="n">
        <v>45701</v>
      </c>
      <c r="C1005" s="10" t="inlineStr">
        <is>
          <t>Treatment</t>
        </is>
      </c>
      <c r="D1005" s="10" t="inlineStr">
        <is>
          <t>North</t>
        </is>
      </c>
      <c r="E1005" s="10" t="inlineStr">
        <is>
          <t>Mobile</t>
        </is>
      </c>
      <c r="F1005" s="10" t="inlineStr">
        <is>
          <t>Referral</t>
        </is>
      </c>
      <c r="G1005" s="10" t="inlineStr">
        <is>
          <t>Basic</t>
        </is>
      </c>
      <c r="H1005" s="10" t="n">
        <v>1</v>
      </c>
      <c r="I1005" s="10" t="n">
        <v>1</v>
      </c>
      <c r="J1005" s="10" t="n">
        <v>1</v>
      </c>
      <c r="K1005" s="10" t="n">
        <v>0</v>
      </c>
      <c r="L1005" s="10" t="n">
        <v>0</v>
      </c>
      <c r="M1005" s="10" t="n">
        <v>2</v>
      </c>
      <c r="N1005" s="10" t="n">
        <v>0</v>
      </c>
      <c r="P1005" s="10" t="n">
        <v>45.9</v>
      </c>
      <c r="Q1005" s="10">
        <f>A1005&amp;"|"&amp;B1005&amp;"|"&amp;C1005&amp;"|"&amp;D1005&amp;"|"&amp;E1005&amp;"|"&amp;F1005&amp;"|"&amp;G1005&amp;"|"&amp;H1005&amp;"|"&amp;I1005&amp;"|"&amp;J1005&amp;"|"&amp;K1005&amp;"|"&amp;L1005&amp;"|"&amp;M1005&amp;"|"&amp;N1005&amp;"|"&amp;O1005&amp;"|"&amp;P1005</f>
        <v/>
      </c>
      <c r="R1005" s="10">
        <f>IF(COUNTIF($Q$2:$Q$1409,Q1005)&gt;1,IF(COUNTIF($Q$2:Q1005,Q1005)=1,"Exact Duplicate - Keep First","Exact Duplicate - Remove"),"Unique")</f>
        <v/>
      </c>
    </row>
    <row r="1006" ht="15" customHeight="1" s="11">
      <c r="A1006" s="10" t="inlineStr">
        <is>
          <t>USR-101005</t>
        </is>
      </c>
      <c r="B1006" s="14" t="n">
        <v>45780</v>
      </c>
      <c r="C1006" s="10" t="inlineStr">
        <is>
          <t>Treatment</t>
        </is>
      </c>
      <c r="D1006" s="10" t="inlineStr">
        <is>
          <t>East</t>
        </is>
      </c>
      <c r="E1006" s="10" t="inlineStr">
        <is>
          <t>Mobile</t>
        </is>
      </c>
      <c r="F1006" s="10" t="inlineStr">
        <is>
          <t>Email</t>
        </is>
      </c>
      <c r="G1006" s="10" t="inlineStr">
        <is>
          <t>Free</t>
        </is>
      </c>
      <c r="H1006" s="10" t="n">
        <v>1</v>
      </c>
      <c r="I1006" s="10" t="n">
        <v>1</v>
      </c>
      <c r="J1006" s="10" t="n">
        <v>1</v>
      </c>
      <c r="K1006" s="10" t="n">
        <v>0</v>
      </c>
      <c r="L1006" s="10" t="n">
        <v>0</v>
      </c>
      <c r="M1006" s="10" t="n">
        <v>0</v>
      </c>
      <c r="N1006" s="10" t="n">
        <v>0</v>
      </c>
      <c r="P1006" s="10" t="n">
        <v>80.7</v>
      </c>
      <c r="Q1006" s="10">
        <f>A1006&amp;"|"&amp;B1006&amp;"|"&amp;C1006&amp;"|"&amp;D1006&amp;"|"&amp;E1006&amp;"|"&amp;F1006&amp;"|"&amp;G1006&amp;"|"&amp;H1006&amp;"|"&amp;I1006&amp;"|"&amp;J1006&amp;"|"&amp;K1006&amp;"|"&amp;L1006&amp;"|"&amp;M1006&amp;"|"&amp;N1006&amp;"|"&amp;O1006&amp;"|"&amp;P1006</f>
        <v/>
      </c>
      <c r="R1006" s="10">
        <f>IF(COUNTIF($Q$2:$Q$1409,Q1006)&gt;1,IF(COUNTIF($Q$2:Q1006,Q1006)=1,"Exact Duplicate - Keep First","Exact Duplicate - Remove"),"Unique")</f>
        <v/>
      </c>
    </row>
    <row r="1007" ht="15" customHeight="1" s="11">
      <c r="A1007" s="10" t="inlineStr">
        <is>
          <t>USR-101006</t>
        </is>
      </c>
      <c r="B1007" s="14" t="n">
        <v>45763</v>
      </c>
      <c r="C1007" s="10" t="inlineStr">
        <is>
          <t>Treatment</t>
        </is>
      </c>
      <c r="D1007" s="10" t="inlineStr">
        <is>
          <t>South</t>
        </is>
      </c>
      <c r="E1007" s="10" t="inlineStr">
        <is>
          <t>Desktop</t>
        </is>
      </c>
      <c r="F1007" s="10" t="inlineStr">
        <is>
          <t>Referral</t>
        </is>
      </c>
      <c r="G1007" s="10" t="inlineStr">
        <is>
          <t>Premium</t>
        </is>
      </c>
      <c r="H1007" s="10" t="n">
        <v>1</v>
      </c>
      <c r="I1007" s="10" t="n">
        <v>0</v>
      </c>
      <c r="J1007" s="10" t="n">
        <v>0</v>
      </c>
      <c r="K1007" s="10" t="n">
        <v>0</v>
      </c>
      <c r="L1007" s="10" t="n">
        <v>0</v>
      </c>
      <c r="M1007" s="10" t="n">
        <v>0</v>
      </c>
      <c r="N1007" s="10" t="n">
        <v>0</v>
      </c>
      <c r="P1007" s="10" t="n">
        <v>51.9</v>
      </c>
      <c r="Q1007" s="10">
        <f>A1007&amp;"|"&amp;B1007&amp;"|"&amp;C1007&amp;"|"&amp;D1007&amp;"|"&amp;E1007&amp;"|"&amp;F1007&amp;"|"&amp;G1007&amp;"|"&amp;H1007&amp;"|"&amp;I1007&amp;"|"&amp;J1007&amp;"|"&amp;K1007&amp;"|"&amp;L1007&amp;"|"&amp;M1007&amp;"|"&amp;N1007&amp;"|"&amp;O1007&amp;"|"&amp;P1007</f>
        <v/>
      </c>
      <c r="R1007" s="10">
        <f>IF(COUNTIF($Q$2:$Q$1409,Q1007)&gt;1,IF(COUNTIF($Q$2:Q1007,Q1007)=1,"Exact Duplicate - Keep First","Exact Duplicate - Remove"),"Unique")</f>
        <v/>
      </c>
    </row>
    <row r="1008" ht="15" customHeight="1" s="11">
      <c r="A1008" s="10" t="inlineStr">
        <is>
          <t>USR-101007</t>
        </is>
      </c>
      <c r="B1008" s="14" t="n">
        <v>45777</v>
      </c>
      <c r="C1008" s="10" t="inlineStr">
        <is>
          <t>Treatment</t>
        </is>
      </c>
      <c r="D1008" s="10" t="inlineStr">
        <is>
          <t>North</t>
        </is>
      </c>
      <c r="E1008" s="10" t="inlineStr">
        <is>
          <t>Mobile</t>
        </is>
      </c>
      <c r="F1008" s="10" t="inlineStr">
        <is>
          <t>Paid Search</t>
        </is>
      </c>
      <c r="G1008" s="10" t="inlineStr">
        <is>
          <t>Premium</t>
        </is>
      </c>
      <c r="H1008" s="10" t="n">
        <v>1</v>
      </c>
      <c r="I1008" s="10" t="n">
        <v>0</v>
      </c>
      <c r="J1008" s="10" t="n">
        <v>0</v>
      </c>
      <c r="K1008" s="10" t="n">
        <v>0</v>
      </c>
      <c r="L1008" s="10" t="n">
        <v>0</v>
      </c>
      <c r="M1008" s="10" t="n">
        <v>0</v>
      </c>
      <c r="N1008" s="10" t="n">
        <v>0</v>
      </c>
      <c r="P1008" s="10" t="n">
        <v>68.90000000000001</v>
      </c>
      <c r="Q1008" s="10">
        <f>A1008&amp;"|"&amp;B1008&amp;"|"&amp;C1008&amp;"|"&amp;D1008&amp;"|"&amp;E1008&amp;"|"&amp;F1008&amp;"|"&amp;G1008&amp;"|"&amp;H1008&amp;"|"&amp;I1008&amp;"|"&amp;J1008&amp;"|"&amp;K1008&amp;"|"&amp;L1008&amp;"|"&amp;M1008&amp;"|"&amp;N1008&amp;"|"&amp;O1008&amp;"|"&amp;P1008</f>
        <v/>
      </c>
      <c r="R1008" s="10">
        <f>IF(COUNTIF($Q$2:$Q$1409,Q1008)&gt;1,IF(COUNTIF($Q$2:Q1008,Q1008)=1,"Exact Duplicate - Keep First","Exact Duplicate - Remove"),"Unique")</f>
        <v/>
      </c>
    </row>
    <row r="1009" ht="15" customHeight="1" s="11">
      <c r="A1009" s="10" t="inlineStr">
        <is>
          <t>USR-101008</t>
        </is>
      </c>
      <c r="B1009" s="14" t="n">
        <v>45706</v>
      </c>
      <c r="C1009" s="10" t="inlineStr">
        <is>
          <t>Treatment</t>
        </is>
      </c>
      <c r="D1009" s="10" t="inlineStr">
        <is>
          <t>West</t>
        </is>
      </c>
      <c r="E1009" s="10" t="inlineStr">
        <is>
          <t>Desktop</t>
        </is>
      </c>
      <c r="F1009" s="10" t="inlineStr">
        <is>
          <t>Organic</t>
        </is>
      </c>
      <c r="G1009" s="10" t="inlineStr">
        <is>
          <t>Free</t>
        </is>
      </c>
      <c r="H1009" s="10" t="n">
        <v>1</v>
      </c>
      <c r="I1009" s="10" t="n">
        <v>0</v>
      </c>
      <c r="J1009" s="10" t="n">
        <v>0</v>
      </c>
      <c r="K1009" s="10" t="n">
        <v>0</v>
      </c>
      <c r="L1009" s="10" t="n">
        <v>0</v>
      </c>
      <c r="M1009" s="10" t="n">
        <v>0</v>
      </c>
      <c r="N1009" s="10" t="n">
        <v>0</v>
      </c>
      <c r="P1009" s="10" t="n">
        <v>66</v>
      </c>
      <c r="Q1009" s="10">
        <f>A1009&amp;"|"&amp;B1009&amp;"|"&amp;C1009&amp;"|"&amp;D1009&amp;"|"&amp;E1009&amp;"|"&amp;F1009&amp;"|"&amp;G1009&amp;"|"&amp;H1009&amp;"|"&amp;I1009&amp;"|"&amp;J1009&amp;"|"&amp;K1009&amp;"|"&amp;L1009&amp;"|"&amp;M1009&amp;"|"&amp;N1009&amp;"|"&amp;O1009&amp;"|"&amp;P1009</f>
        <v/>
      </c>
      <c r="R1009" s="10">
        <f>IF(COUNTIF($Q$2:$Q$1409,Q1009)&gt;1,IF(COUNTIF($Q$2:Q1009,Q1009)=1,"Exact Duplicate - Keep First","Exact Duplicate - Remove"),"Unique")</f>
        <v/>
      </c>
    </row>
    <row r="1010" ht="15" customHeight="1" s="11">
      <c r="A1010" s="10" t="inlineStr">
        <is>
          <t>USR-101009</t>
        </is>
      </c>
      <c r="B1010" s="14" t="n">
        <v>45799</v>
      </c>
      <c r="C1010" s="10" t="inlineStr">
        <is>
          <t>Treatment</t>
        </is>
      </c>
      <c r="D1010" s="10" t="inlineStr">
        <is>
          <t>West</t>
        </is>
      </c>
      <c r="E1010" s="10" t="inlineStr">
        <is>
          <t>Desktop</t>
        </is>
      </c>
      <c r="F1010" s="10" t="inlineStr">
        <is>
          <t>Referral</t>
        </is>
      </c>
      <c r="G1010" s="10" t="inlineStr">
        <is>
          <t>Basic</t>
        </is>
      </c>
      <c r="H1010" s="10" t="n">
        <v>0</v>
      </c>
      <c r="I1010" s="10" t="n">
        <v>0</v>
      </c>
      <c r="J1010" s="10" t="n">
        <v>0</v>
      </c>
      <c r="K1010" s="10" t="n">
        <v>0</v>
      </c>
      <c r="L1010" s="10" t="n">
        <v>0</v>
      </c>
      <c r="M1010" s="10" t="n">
        <v>0</v>
      </c>
      <c r="N1010" s="10" t="n">
        <v>0</v>
      </c>
      <c r="P1010" s="10" t="n">
        <v>63.1</v>
      </c>
      <c r="Q1010" s="10">
        <f>A1010&amp;"|"&amp;B1010&amp;"|"&amp;C1010&amp;"|"&amp;D1010&amp;"|"&amp;E1010&amp;"|"&amp;F1010&amp;"|"&amp;G1010&amp;"|"&amp;H1010&amp;"|"&amp;I1010&amp;"|"&amp;J1010&amp;"|"&amp;K1010&amp;"|"&amp;L1010&amp;"|"&amp;M1010&amp;"|"&amp;N1010&amp;"|"&amp;O1010&amp;"|"&amp;P1010</f>
        <v/>
      </c>
      <c r="R1010" s="10">
        <f>IF(COUNTIF($Q$2:$Q$1409,Q1010)&gt;1,IF(COUNTIF($Q$2:Q1010,Q1010)=1,"Exact Duplicate - Keep First","Exact Duplicate - Remove"),"Unique")</f>
        <v/>
      </c>
    </row>
    <row r="1011" ht="15" customHeight="1" s="11">
      <c r="A1011" s="10" t="inlineStr">
        <is>
          <t>USR-101010</t>
        </is>
      </c>
      <c r="B1011" s="14" t="n">
        <v>45798</v>
      </c>
      <c r="C1011" s="10" t="inlineStr">
        <is>
          <t>Treatment</t>
        </is>
      </c>
      <c r="D1011" s="10" t="inlineStr">
        <is>
          <t>South</t>
        </is>
      </c>
      <c r="E1011" s="10" t="inlineStr">
        <is>
          <t>Desktop</t>
        </is>
      </c>
      <c r="F1011" s="10" t="inlineStr">
        <is>
          <t>Organic</t>
        </is>
      </c>
      <c r="G1011" s="10" t="inlineStr">
        <is>
          <t>Free</t>
        </is>
      </c>
      <c r="H1011" s="10" t="n">
        <v>0</v>
      </c>
      <c r="I1011" s="10" t="n">
        <v>0</v>
      </c>
      <c r="J1011" s="10" t="n">
        <v>0</v>
      </c>
      <c r="K1011" s="10" t="n">
        <v>0</v>
      </c>
      <c r="L1011" s="10" t="n">
        <v>0</v>
      </c>
      <c r="M1011" s="10" t="n">
        <v>0</v>
      </c>
      <c r="N1011" s="10" t="n">
        <v>0</v>
      </c>
      <c r="P1011" s="10" t="n">
        <v>56</v>
      </c>
      <c r="Q1011" s="10">
        <f>A1011&amp;"|"&amp;B1011&amp;"|"&amp;C1011&amp;"|"&amp;D1011&amp;"|"&amp;E1011&amp;"|"&amp;F1011&amp;"|"&amp;G1011&amp;"|"&amp;H1011&amp;"|"&amp;I1011&amp;"|"&amp;J1011&amp;"|"&amp;K1011&amp;"|"&amp;L1011&amp;"|"&amp;M1011&amp;"|"&amp;N1011&amp;"|"&amp;O1011&amp;"|"&amp;P1011</f>
        <v/>
      </c>
      <c r="R1011" s="10">
        <f>IF(COUNTIF($Q$2:$Q$1409,Q1011)&gt;1,IF(COUNTIF($Q$2:Q1011,Q1011)=1,"Exact Duplicate - Keep First","Exact Duplicate - Remove"),"Unique")</f>
        <v/>
      </c>
    </row>
    <row r="1012" ht="15" customHeight="1" s="11">
      <c r="A1012" s="10" t="inlineStr">
        <is>
          <t>USR-101011</t>
        </is>
      </c>
      <c r="B1012" s="14" t="n">
        <v>45757</v>
      </c>
      <c r="C1012" s="10" t="inlineStr">
        <is>
          <t>Treatment</t>
        </is>
      </c>
      <c r="D1012" s="10" t="inlineStr">
        <is>
          <t>East</t>
        </is>
      </c>
      <c r="E1012" s="10" t="inlineStr">
        <is>
          <t>Desktop</t>
        </is>
      </c>
      <c r="F1012" s="10" t="inlineStr">
        <is>
          <t>Organic</t>
        </is>
      </c>
      <c r="G1012" s="10" t="inlineStr">
        <is>
          <t>Free</t>
        </is>
      </c>
      <c r="H1012" s="10" t="n">
        <v>1</v>
      </c>
      <c r="I1012" s="10" t="n">
        <v>0</v>
      </c>
      <c r="J1012" s="10" t="n">
        <v>0</v>
      </c>
      <c r="K1012" s="10" t="n">
        <v>0</v>
      </c>
      <c r="L1012" s="10" t="n">
        <v>0</v>
      </c>
      <c r="M1012" s="10" t="n">
        <v>1</v>
      </c>
      <c r="N1012" s="10" t="n">
        <v>0</v>
      </c>
      <c r="P1012" s="10" t="n">
        <v>65.7</v>
      </c>
      <c r="Q1012" s="10">
        <f>A1012&amp;"|"&amp;B1012&amp;"|"&amp;C1012&amp;"|"&amp;D1012&amp;"|"&amp;E1012&amp;"|"&amp;F1012&amp;"|"&amp;G1012&amp;"|"&amp;H1012&amp;"|"&amp;I1012&amp;"|"&amp;J1012&amp;"|"&amp;K1012&amp;"|"&amp;L1012&amp;"|"&amp;M1012&amp;"|"&amp;N1012&amp;"|"&amp;O1012&amp;"|"&amp;P1012</f>
        <v/>
      </c>
      <c r="R1012" s="10">
        <f>IF(COUNTIF($Q$2:$Q$1409,Q1012)&gt;1,IF(COUNTIF($Q$2:Q1012,Q1012)=1,"Exact Duplicate - Keep First","Exact Duplicate - Remove"),"Unique")</f>
        <v/>
      </c>
    </row>
    <row r="1013" ht="15" customHeight="1" s="11">
      <c r="A1013" s="10" t="inlineStr">
        <is>
          <t>USR-101012</t>
        </is>
      </c>
      <c r="B1013" s="14" t="n">
        <v>45664</v>
      </c>
      <c r="C1013" s="10" t="inlineStr">
        <is>
          <t>Treatment</t>
        </is>
      </c>
      <c r="D1013" s="10" t="inlineStr">
        <is>
          <t>North</t>
        </is>
      </c>
      <c r="E1013" s="10" t="inlineStr">
        <is>
          <t>Desktop</t>
        </is>
      </c>
      <c r="F1013" s="10" t="inlineStr">
        <is>
          <t>Organic</t>
        </is>
      </c>
      <c r="G1013" s="10" t="inlineStr">
        <is>
          <t>Premium</t>
        </is>
      </c>
      <c r="H1013" s="10" t="n">
        <v>1</v>
      </c>
      <c r="I1013" s="10" t="n">
        <v>1</v>
      </c>
      <c r="J1013" s="10" t="n">
        <v>1</v>
      </c>
      <c r="K1013" s="10" t="n">
        <v>1</v>
      </c>
      <c r="L1013" s="10" t="n">
        <v>1938.31</v>
      </c>
      <c r="M1013" s="10" t="n">
        <v>1</v>
      </c>
      <c r="N1013" s="10" t="n">
        <v>0</v>
      </c>
      <c r="O1013" s="10" t="n">
        <v>9</v>
      </c>
      <c r="P1013" s="10" t="n">
        <v>60.9</v>
      </c>
      <c r="Q1013" s="10">
        <f>A1013&amp;"|"&amp;B1013&amp;"|"&amp;C1013&amp;"|"&amp;D1013&amp;"|"&amp;E1013&amp;"|"&amp;F1013&amp;"|"&amp;G1013&amp;"|"&amp;H1013&amp;"|"&amp;I1013&amp;"|"&amp;J1013&amp;"|"&amp;K1013&amp;"|"&amp;L1013&amp;"|"&amp;M1013&amp;"|"&amp;N1013&amp;"|"&amp;O1013&amp;"|"&amp;P1013</f>
        <v/>
      </c>
      <c r="R1013" s="10">
        <f>IF(COUNTIF($Q$2:$Q$1409,Q1013)&gt;1,IF(COUNTIF($Q$2:Q1013,Q1013)=1,"Exact Duplicate - Keep First","Exact Duplicate - Remove"),"Unique")</f>
        <v/>
      </c>
    </row>
    <row r="1014" ht="15" customHeight="1" s="11">
      <c r="A1014" s="10" t="inlineStr">
        <is>
          <t>USR-101013</t>
        </is>
      </c>
      <c r="B1014" s="14" t="n">
        <v>45691</v>
      </c>
      <c r="C1014" s="10" t="inlineStr">
        <is>
          <t>Treatment</t>
        </is>
      </c>
      <c r="D1014" s="10" t="inlineStr">
        <is>
          <t>South</t>
        </is>
      </c>
      <c r="E1014" s="10" t="inlineStr">
        <is>
          <t>Desktop</t>
        </is>
      </c>
      <c r="F1014" s="10" t="inlineStr">
        <is>
          <t>Social</t>
        </is>
      </c>
      <c r="G1014" s="10" t="inlineStr">
        <is>
          <t>Free</t>
        </is>
      </c>
      <c r="H1014" s="10" t="n">
        <v>0</v>
      </c>
      <c r="I1014" s="10" t="n">
        <v>0</v>
      </c>
      <c r="J1014" s="10" t="n">
        <v>0</v>
      </c>
      <c r="K1014" s="10" t="n">
        <v>0</v>
      </c>
      <c r="L1014" s="10" t="n">
        <v>0</v>
      </c>
      <c r="M1014" s="10" t="n">
        <v>0</v>
      </c>
      <c r="N1014" s="10" t="n">
        <v>0</v>
      </c>
      <c r="P1014" s="10" t="n">
        <v>45.5</v>
      </c>
      <c r="Q1014" s="10">
        <f>A1014&amp;"|"&amp;B1014&amp;"|"&amp;C1014&amp;"|"&amp;D1014&amp;"|"&amp;E1014&amp;"|"&amp;F1014&amp;"|"&amp;G1014&amp;"|"&amp;H1014&amp;"|"&amp;I1014&amp;"|"&amp;J1014&amp;"|"&amp;K1014&amp;"|"&amp;L1014&amp;"|"&amp;M1014&amp;"|"&amp;N1014&amp;"|"&amp;O1014&amp;"|"&amp;P1014</f>
        <v/>
      </c>
      <c r="R1014" s="10">
        <f>IF(COUNTIF($Q$2:$Q$1409,Q1014)&gt;1,IF(COUNTIF($Q$2:Q1014,Q1014)=1,"Exact Duplicate - Keep First","Exact Duplicate - Remove"),"Unique")</f>
        <v/>
      </c>
    </row>
    <row r="1015" ht="15" customHeight="1" s="11">
      <c r="A1015" s="10" t="inlineStr">
        <is>
          <t>USR-101014</t>
        </is>
      </c>
      <c r="B1015" s="14" t="n">
        <v>45795</v>
      </c>
      <c r="C1015" s="10" t="inlineStr">
        <is>
          <t>Treatment</t>
        </is>
      </c>
      <c r="D1015" s="10" t="inlineStr">
        <is>
          <t>North</t>
        </is>
      </c>
      <c r="E1015" s="10" t="inlineStr">
        <is>
          <t>Mobile</t>
        </is>
      </c>
      <c r="F1015" s="10" t="inlineStr">
        <is>
          <t>Paid Search</t>
        </is>
      </c>
      <c r="G1015" s="10" t="inlineStr">
        <is>
          <t>Free</t>
        </is>
      </c>
      <c r="H1015" s="10" t="n">
        <v>1</v>
      </c>
      <c r="I1015" s="10" t="n">
        <v>0</v>
      </c>
      <c r="J1015" s="10" t="n">
        <v>0</v>
      </c>
      <c r="K1015" s="10" t="n">
        <v>0</v>
      </c>
      <c r="L1015" s="10" t="n">
        <v>0</v>
      </c>
      <c r="M1015" s="10" t="n">
        <v>0</v>
      </c>
      <c r="N1015" s="10" t="n">
        <v>0</v>
      </c>
      <c r="P1015" s="10" t="n">
        <v>50</v>
      </c>
      <c r="Q1015" s="10">
        <f>A1015&amp;"|"&amp;B1015&amp;"|"&amp;C1015&amp;"|"&amp;D1015&amp;"|"&amp;E1015&amp;"|"&amp;F1015&amp;"|"&amp;G1015&amp;"|"&amp;H1015&amp;"|"&amp;I1015&amp;"|"&amp;J1015&amp;"|"&amp;K1015&amp;"|"&amp;L1015&amp;"|"&amp;M1015&amp;"|"&amp;N1015&amp;"|"&amp;O1015&amp;"|"&amp;P1015</f>
        <v/>
      </c>
      <c r="R1015" s="10">
        <f>IF(COUNTIF($Q$2:$Q$1409,Q1015)&gt;1,IF(COUNTIF($Q$2:Q1015,Q1015)=1,"Exact Duplicate - Keep First","Exact Duplicate - Remove"),"Unique")</f>
        <v/>
      </c>
    </row>
    <row r="1016" ht="15" customHeight="1" s="11">
      <c r="A1016" s="10" t="inlineStr">
        <is>
          <t>USR-101015</t>
        </is>
      </c>
      <c r="B1016" s="14" t="n">
        <v>45688</v>
      </c>
      <c r="C1016" s="10" t="inlineStr">
        <is>
          <t>Treatment</t>
        </is>
      </c>
      <c r="D1016" s="10" t="inlineStr">
        <is>
          <t>North</t>
        </is>
      </c>
      <c r="E1016" s="10" t="inlineStr">
        <is>
          <t>Mobile</t>
        </is>
      </c>
      <c r="F1016" s="10" t="inlineStr">
        <is>
          <t>Referral</t>
        </is>
      </c>
      <c r="G1016" s="10" t="inlineStr">
        <is>
          <t>Free</t>
        </is>
      </c>
      <c r="H1016" s="10" t="n">
        <v>1</v>
      </c>
      <c r="I1016" s="10" t="n">
        <v>0</v>
      </c>
      <c r="J1016" s="10" t="n">
        <v>0</v>
      </c>
      <c r="K1016" s="10" t="n">
        <v>0</v>
      </c>
      <c r="L1016" s="10" t="n">
        <v>0</v>
      </c>
      <c r="M1016" s="10" t="n">
        <v>0</v>
      </c>
      <c r="N1016" s="10" t="n">
        <v>0</v>
      </c>
      <c r="P1016" s="10" t="n">
        <v>72.09999999999999</v>
      </c>
      <c r="Q1016" s="10">
        <f>A1016&amp;"|"&amp;B1016&amp;"|"&amp;C1016&amp;"|"&amp;D1016&amp;"|"&amp;E1016&amp;"|"&amp;F1016&amp;"|"&amp;G1016&amp;"|"&amp;H1016&amp;"|"&amp;I1016&amp;"|"&amp;J1016&amp;"|"&amp;K1016&amp;"|"&amp;L1016&amp;"|"&amp;M1016&amp;"|"&amp;N1016&amp;"|"&amp;O1016&amp;"|"&amp;P1016</f>
        <v/>
      </c>
      <c r="R1016" s="10">
        <f>IF(COUNTIF($Q$2:$Q$1409,Q1016)&gt;1,IF(COUNTIF($Q$2:Q1016,Q1016)=1,"Exact Duplicate - Keep First","Exact Duplicate - Remove"),"Unique")</f>
        <v/>
      </c>
    </row>
    <row r="1017" ht="15" customHeight="1" s="11">
      <c r="A1017" s="10" t="inlineStr">
        <is>
          <t>USR-101016</t>
        </is>
      </c>
      <c r="B1017" s="14" t="n">
        <v>45673</v>
      </c>
      <c r="C1017" s="10" t="inlineStr">
        <is>
          <t>Treatment</t>
        </is>
      </c>
      <c r="D1017" s="10" t="inlineStr">
        <is>
          <t>South</t>
        </is>
      </c>
      <c r="E1017" s="10" t="inlineStr">
        <is>
          <t>Desktop</t>
        </is>
      </c>
      <c r="F1017" s="10" t="inlineStr">
        <is>
          <t>Organic</t>
        </is>
      </c>
      <c r="G1017" s="10" t="inlineStr">
        <is>
          <t>Basic</t>
        </is>
      </c>
      <c r="H1017" s="10" t="n">
        <v>1</v>
      </c>
      <c r="I1017" s="10" t="n">
        <v>0</v>
      </c>
      <c r="J1017" s="10" t="n">
        <v>0</v>
      </c>
      <c r="K1017" s="10" t="n">
        <v>0</v>
      </c>
      <c r="L1017" s="10" t="n">
        <v>0</v>
      </c>
      <c r="M1017" s="10" t="n">
        <v>0</v>
      </c>
      <c r="N1017" s="10" t="n">
        <v>0</v>
      </c>
      <c r="P1017" s="10" t="n">
        <v>76.3</v>
      </c>
      <c r="Q1017" s="10">
        <f>A1017&amp;"|"&amp;B1017&amp;"|"&amp;C1017&amp;"|"&amp;D1017&amp;"|"&amp;E1017&amp;"|"&amp;F1017&amp;"|"&amp;G1017&amp;"|"&amp;H1017&amp;"|"&amp;I1017&amp;"|"&amp;J1017&amp;"|"&amp;K1017&amp;"|"&amp;L1017&amp;"|"&amp;M1017&amp;"|"&amp;N1017&amp;"|"&amp;O1017&amp;"|"&amp;P1017</f>
        <v/>
      </c>
      <c r="R1017" s="10">
        <f>IF(COUNTIF($Q$2:$Q$1409,Q1017)&gt;1,IF(COUNTIF($Q$2:Q1017,Q1017)=1,"Exact Duplicate - Keep First","Exact Duplicate - Remove"),"Unique")</f>
        <v/>
      </c>
    </row>
    <row r="1018" ht="15" customHeight="1" s="11">
      <c r="A1018" s="10" t="inlineStr">
        <is>
          <t>USR-101017</t>
        </is>
      </c>
      <c r="B1018" s="14" t="n">
        <v>45791</v>
      </c>
      <c r="C1018" s="10" t="inlineStr">
        <is>
          <t>Treatment</t>
        </is>
      </c>
      <c r="D1018" s="10" t="inlineStr">
        <is>
          <t>East</t>
        </is>
      </c>
      <c r="E1018" s="10" t="inlineStr">
        <is>
          <t>Mobile</t>
        </is>
      </c>
      <c r="F1018" s="10" t="inlineStr">
        <is>
          <t>Paid Search</t>
        </is>
      </c>
      <c r="G1018" s="10" t="inlineStr">
        <is>
          <t>Basic</t>
        </is>
      </c>
      <c r="H1018" s="10" t="n">
        <v>1</v>
      </c>
      <c r="I1018" s="10" t="n">
        <v>1</v>
      </c>
      <c r="J1018" s="10" t="n">
        <v>0</v>
      </c>
      <c r="K1018" s="10" t="n">
        <v>0</v>
      </c>
      <c r="L1018" s="10" t="n">
        <v>0</v>
      </c>
      <c r="M1018" s="10" t="n">
        <v>1</v>
      </c>
      <c r="N1018" s="10" t="n">
        <v>0</v>
      </c>
      <c r="P1018" s="10" t="n">
        <v>54.8</v>
      </c>
      <c r="Q1018" s="10">
        <f>A1018&amp;"|"&amp;B1018&amp;"|"&amp;C1018&amp;"|"&amp;D1018&amp;"|"&amp;E1018&amp;"|"&amp;F1018&amp;"|"&amp;G1018&amp;"|"&amp;H1018&amp;"|"&amp;I1018&amp;"|"&amp;J1018&amp;"|"&amp;K1018&amp;"|"&amp;L1018&amp;"|"&amp;M1018&amp;"|"&amp;N1018&amp;"|"&amp;O1018&amp;"|"&amp;P1018</f>
        <v/>
      </c>
      <c r="R1018" s="10">
        <f>IF(COUNTIF($Q$2:$Q$1409,Q1018)&gt;1,IF(COUNTIF($Q$2:Q1018,Q1018)=1,"Exact Duplicate - Keep First","Exact Duplicate - Remove"),"Unique")</f>
        <v/>
      </c>
    </row>
    <row r="1019" ht="15" customHeight="1" s="11">
      <c r="A1019" s="10" t="inlineStr">
        <is>
          <t>USR-101018</t>
        </is>
      </c>
      <c r="B1019" s="14" t="n">
        <v>45748</v>
      </c>
      <c r="C1019" s="10" t="inlineStr">
        <is>
          <t>Treatment</t>
        </is>
      </c>
      <c r="D1019" s="10" t="inlineStr">
        <is>
          <t>South</t>
        </is>
      </c>
      <c r="E1019" s="10" t="inlineStr">
        <is>
          <t>Mobile</t>
        </is>
      </c>
      <c r="G1019" s="10" t="inlineStr">
        <is>
          <t>Basic</t>
        </is>
      </c>
      <c r="H1019" s="10" t="n">
        <v>1</v>
      </c>
      <c r="I1019" s="10" t="n">
        <v>0</v>
      </c>
      <c r="J1019" s="10" t="n">
        <v>0</v>
      </c>
      <c r="K1019" s="10" t="n">
        <v>0</v>
      </c>
      <c r="L1019" s="10" t="n">
        <v>0</v>
      </c>
      <c r="M1019" s="10" t="n">
        <v>0</v>
      </c>
      <c r="N1019" s="10" t="n">
        <v>0</v>
      </c>
      <c r="P1019" s="10" t="n">
        <v>63.6</v>
      </c>
      <c r="Q1019" s="10">
        <f>A1019&amp;"|"&amp;B1019&amp;"|"&amp;C1019&amp;"|"&amp;D1019&amp;"|"&amp;E1019&amp;"|"&amp;F1019&amp;"|"&amp;G1019&amp;"|"&amp;H1019&amp;"|"&amp;I1019&amp;"|"&amp;J1019&amp;"|"&amp;K1019&amp;"|"&amp;L1019&amp;"|"&amp;M1019&amp;"|"&amp;N1019&amp;"|"&amp;O1019&amp;"|"&amp;P1019</f>
        <v/>
      </c>
      <c r="R1019" s="10">
        <f>IF(COUNTIF($Q$2:$Q$1409,Q1019)&gt;1,IF(COUNTIF($Q$2:Q1019,Q1019)=1,"Exact Duplicate - Keep First","Exact Duplicate - Remove"),"Unique")</f>
        <v/>
      </c>
    </row>
    <row r="1020" ht="15" customHeight="1" s="11">
      <c r="A1020" s="10" t="inlineStr">
        <is>
          <t>USR-101019</t>
        </is>
      </c>
      <c r="B1020" s="14" t="n">
        <v>45770</v>
      </c>
      <c r="C1020" s="10" t="inlineStr">
        <is>
          <t>Treatment</t>
        </is>
      </c>
      <c r="D1020" s="10" t="inlineStr">
        <is>
          <t>South</t>
        </is>
      </c>
      <c r="E1020" s="10" t="inlineStr">
        <is>
          <t>Mobile</t>
        </is>
      </c>
      <c r="F1020" s="10" t="inlineStr">
        <is>
          <t>Organic</t>
        </is>
      </c>
      <c r="G1020" s="10" t="inlineStr">
        <is>
          <t>Free</t>
        </is>
      </c>
      <c r="H1020" s="10" t="n">
        <v>1</v>
      </c>
      <c r="I1020" s="10" t="n">
        <v>0</v>
      </c>
      <c r="J1020" s="10" t="n">
        <v>0</v>
      </c>
      <c r="K1020" s="10" t="n">
        <v>0</v>
      </c>
      <c r="L1020" s="10" t="n">
        <v>0</v>
      </c>
      <c r="M1020" s="10" t="n">
        <v>0</v>
      </c>
      <c r="N1020" s="10" t="n">
        <v>0</v>
      </c>
      <c r="P1020" s="10" t="n">
        <v>68.8</v>
      </c>
      <c r="Q1020" s="10">
        <f>A1020&amp;"|"&amp;B1020&amp;"|"&amp;C1020&amp;"|"&amp;D1020&amp;"|"&amp;E1020&amp;"|"&amp;F1020&amp;"|"&amp;G1020&amp;"|"&amp;H1020&amp;"|"&amp;I1020&amp;"|"&amp;J1020&amp;"|"&amp;K1020&amp;"|"&amp;L1020&amp;"|"&amp;M1020&amp;"|"&amp;N1020&amp;"|"&amp;O1020&amp;"|"&amp;P1020</f>
        <v/>
      </c>
      <c r="R1020" s="10">
        <f>IF(COUNTIF($Q$2:$Q$1409,Q1020)&gt;1,IF(COUNTIF($Q$2:Q1020,Q1020)=1,"Exact Duplicate - Keep First","Exact Duplicate - Remove"),"Unique")</f>
        <v/>
      </c>
    </row>
    <row r="1021" ht="15" customHeight="1" s="11">
      <c r="A1021" s="10" t="inlineStr">
        <is>
          <t>USR-101020</t>
        </is>
      </c>
      <c r="B1021" s="14" t="n">
        <v>45718</v>
      </c>
      <c r="C1021" s="10" t="inlineStr">
        <is>
          <t>Treatment</t>
        </is>
      </c>
      <c r="D1021" s="10" t="inlineStr">
        <is>
          <t>South</t>
        </is>
      </c>
      <c r="E1021" s="10" t="inlineStr">
        <is>
          <t>Desktop</t>
        </is>
      </c>
      <c r="F1021" s="10" t="inlineStr">
        <is>
          <t>Paid Search</t>
        </is>
      </c>
      <c r="G1021" s="10" t="inlineStr">
        <is>
          <t>Basic</t>
        </is>
      </c>
      <c r="H1021" s="10" t="n">
        <v>1</v>
      </c>
      <c r="I1021" s="10" t="n">
        <v>0</v>
      </c>
      <c r="J1021" s="10" t="n">
        <v>0</v>
      </c>
      <c r="K1021" s="10" t="n">
        <v>0</v>
      </c>
      <c r="L1021" s="10" t="n">
        <v>0</v>
      </c>
      <c r="M1021" s="10" t="n">
        <v>0</v>
      </c>
      <c r="N1021" s="10" t="n">
        <v>0</v>
      </c>
      <c r="P1021" s="10" t="n">
        <v>63.2</v>
      </c>
      <c r="Q1021" s="10">
        <f>A1021&amp;"|"&amp;B1021&amp;"|"&amp;C1021&amp;"|"&amp;D1021&amp;"|"&amp;E1021&amp;"|"&amp;F1021&amp;"|"&amp;G1021&amp;"|"&amp;H1021&amp;"|"&amp;I1021&amp;"|"&amp;J1021&amp;"|"&amp;K1021&amp;"|"&amp;L1021&amp;"|"&amp;M1021&amp;"|"&amp;N1021&amp;"|"&amp;O1021&amp;"|"&amp;P1021</f>
        <v/>
      </c>
      <c r="R1021" s="10">
        <f>IF(COUNTIF($Q$2:$Q$1409,Q1021)&gt;1,IF(COUNTIF($Q$2:Q1021,Q1021)=1,"Exact Duplicate - Keep First","Exact Duplicate - Remove"),"Unique")</f>
        <v/>
      </c>
    </row>
    <row r="1022" ht="15" customHeight="1" s="11">
      <c r="A1022" s="10" t="inlineStr">
        <is>
          <t>USR-101021</t>
        </is>
      </c>
      <c r="B1022" s="14" t="n">
        <v>45659</v>
      </c>
      <c r="C1022" s="10" t="inlineStr">
        <is>
          <t>Treatment</t>
        </is>
      </c>
      <c r="D1022" s="10" t="inlineStr">
        <is>
          <t>East</t>
        </is>
      </c>
      <c r="E1022" s="10" t="inlineStr">
        <is>
          <t>Mobile</t>
        </is>
      </c>
      <c r="F1022" s="10" t="inlineStr">
        <is>
          <t>Paid Search</t>
        </is>
      </c>
      <c r="G1022" s="10" t="inlineStr">
        <is>
          <t>Basic</t>
        </is>
      </c>
      <c r="H1022" s="10" t="n">
        <v>0</v>
      </c>
      <c r="I1022" s="10" t="n">
        <v>0</v>
      </c>
      <c r="J1022" s="10" t="n">
        <v>0</v>
      </c>
      <c r="K1022" s="10" t="n">
        <v>0</v>
      </c>
      <c r="L1022" s="10" t="n">
        <v>0</v>
      </c>
      <c r="M1022" s="10" t="n">
        <v>0</v>
      </c>
      <c r="N1022" s="10" t="n">
        <v>0</v>
      </c>
      <c r="P1022" s="10" t="n">
        <v>45</v>
      </c>
      <c r="Q1022" s="10">
        <f>A1022&amp;"|"&amp;B1022&amp;"|"&amp;C1022&amp;"|"&amp;D1022&amp;"|"&amp;E1022&amp;"|"&amp;F1022&amp;"|"&amp;G1022&amp;"|"&amp;H1022&amp;"|"&amp;I1022&amp;"|"&amp;J1022&amp;"|"&amp;K1022&amp;"|"&amp;L1022&amp;"|"&amp;M1022&amp;"|"&amp;N1022&amp;"|"&amp;O1022&amp;"|"&amp;P1022</f>
        <v/>
      </c>
      <c r="R1022" s="10">
        <f>IF(COUNTIF($Q$2:$Q$1409,Q1022)&gt;1,IF(COUNTIF($Q$2:Q1022,Q1022)=1,"Exact Duplicate - Keep First","Exact Duplicate - Remove"),"Unique")</f>
        <v/>
      </c>
    </row>
    <row r="1023" ht="15" customHeight="1" s="11">
      <c r="A1023" s="10" t="inlineStr">
        <is>
          <t>USR-101022</t>
        </is>
      </c>
      <c r="B1023" s="14" t="n">
        <v>45781</v>
      </c>
      <c r="C1023" s="10" t="inlineStr">
        <is>
          <t>Treatment</t>
        </is>
      </c>
      <c r="D1023" s="10" t="inlineStr">
        <is>
          <t>South</t>
        </is>
      </c>
      <c r="E1023" s="10" t="inlineStr">
        <is>
          <t>Mobile</t>
        </is>
      </c>
      <c r="F1023" s="10" t="inlineStr">
        <is>
          <t>Organic</t>
        </is>
      </c>
      <c r="G1023" s="10" t="inlineStr">
        <is>
          <t>Free</t>
        </is>
      </c>
      <c r="H1023" s="10" t="n">
        <v>1</v>
      </c>
      <c r="I1023" s="10" t="n">
        <v>0</v>
      </c>
      <c r="J1023" s="10" t="n">
        <v>0</v>
      </c>
      <c r="K1023" s="10" t="n">
        <v>0</v>
      </c>
      <c r="L1023" s="10" t="n">
        <v>0</v>
      </c>
      <c r="M1023" s="10" t="n">
        <v>0</v>
      </c>
      <c r="N1023" s="10" t="n">
        <v>0</v>
      </c>
      <c r="P1023" s="10" t="n">
        <v>77.40000000000001</v>
      </c>
      <c r="Q1023" s="10">
        <f>A1023&amp;"|"&amp;B1023&amp;"|"&amp;C1023&amp;"|"&amp;D1023&amp;"|"&amp;E1023&amp;"|"&amp;F1023&amp;"|"&amp;G1023&amp;"|"&amp;H1023&amp;"|"&amp;I1023&amp;"|"&amp;J1023&amp;"|"&amp;K1023&amp;"|"&amp;L1023&amp;"|"&amp;M1023&amp;"|"&amp;N1023&amp;"|"&amp;O1023&amp;"|"&amp;P1023</f>
        <v/>
      </c>
      <c r="R1023" s="10">
        <f>IF(COUNTIF($Q$2:$Q$1409,Q1023)&gt;1,IF(COUNTIF($Q$2:Q1023,Q1023)=1,"Exact Duplicate - Keep First","Exact Duplicate - Remove"),"Unique")</f>
        <v/>
      </c>
    </row>
    <row r="1024" ht="15" customHeight="1" s="11">
      <c r="A1024" s="10" t="inlineStr">
        <is>
          <t>USR-101023</t>
        </is>
      </c>
      <c r="B1024" s="14" t="n">
        <v>45673</v>
      </c>
      <c r="C1024" s="10" t="inlineStr">
        <is>
          <t>Treatment</t>
        </is>
      </c>
      <c r="D1024" s="10" t="inlineStr">
        <is>
          <t>East</t>
        </is>
      </c>
      <c r="E1024" s="10" t="inlineStr">
        <is>
          <t>Desktop</t>
        </is>
      </c>
      <c r="F1024" s="10" t="inlineStr">
        <is>
          <t>Paid Search</t>
        </is>
      </c>
      <c r="G1024" s="10" t="inlineStr">
        <is>
          <t>Basic</t>
        </is>
      </c>
      <c r="H1024" s="10" t="n">
        <v>0</v>
      </c>
      <c r="I1024" s="10" t="n">
        <v>0</v>
      </c>
      <c r="J1024" s="10" t="n">
        <v>0</v>
      </c>
      <c r="K1024" s="10" t="n">
        <v>0</v>
      </c>
      <c r="L1024" s="10" t="n">
        <v>0</v>
      </c>
      <c r="M1024" s="10" t="n">
        <v>0</v>
      </c>
      <c r="N1024" s="10" t="n">
        <v>0</v>
      </c>
      <c r="P1024" s="10" t="n">
        <v>53.1</v>
      </c>
      <c r="Q1024" s="10">
        <f>A1024&amp;"|"&amp;B1024&amp;"|"&amp;C1024&amp;"|"&amp;D1024&amp;"|"&amp;E1024&amp;"|"&amp;F1024&amp;"|"&amp;G1024&amp;"|"&amp;H1024&amp;"|"&amp;I1024&amp;"|"&amp;J1024&amp;"|"&amp;K1024&amp;"|"&amp;L1024&amp;"|"&amp;M1024&amp;"|"&amp;N1024&amp;"|"&amp;O1024&amp;"|"&amp;P1024</f>
        <v/>
      </c>
      <c r="R1024" s="10">
        <f>IF(COUNTIF($Q$2:$Q$1409,Q1024)&gt;1,IF(COUNTIF($Q$2:Q1024,Q1024)=1,"Exact Duplicate - Keep First","Exact Duplicate - Remove"),"Unique")</f>
        <v/>
      </c>
    </row>
    <row r="1025" ht="15" customHeight="1" s="11">
      <c r="A1025" s="10" t="inlineStr">
        <is>
          <t>USR-101024</t>
        </is>
      </c>
      <c r="B1025" s="14" t="n">
        <v>45699</v>
      </c>
      <c r="C1025" s="10" t="inlineStr">
        <is>
          <t>Treatment</t>
        </is>
      </c>
      <c r="D1025" s="10" t="inlineStr">
        <is>
          <t>West</t>
        </is>
      </c>
      <c r="E1025" s="10" t="inlineStr">
        <is>
          <t>Tablet</t>
        </is>
      </c>
      <c r="F1025" s="10" t="inlineStr">
        <is>
          <t>Paid Search</t>
        </is>
      </c>
      <c r="G1025" s="10" t="inlineStr">
        <is>
          <t>Premium</t>
        </is>
      </c>
      <c r="H1025" s="10" t="n">
        <v>0</v>
      </c>
      <c r="I1025" s="10" t="n">
        <v>0</v>
      </c>
      <c r="J1025" s="10" t="n">
        <v>0</v>
      </c>
      <c r="K1025" s="10" t="n">
        <v>0</v>
      </c>
      <c r="L1025" s="10" t="n">
        <v>0</v>
      </c>
      <c r="M1025" s="10" t="n">
        <v>0</v>
      </c>
      <c r="N1025" s="10" t="n">
        <v>0</v>
      </c>
      <c r="P1025" s="10" t="n">
        <v>74</v>
      </c>
      <c r="Q1025" s="10">
        <f>A1025&amp;"|"&amp;B1025&amp;"|"&amp;C1025&amp;"|"&amp;D1025&amp;"|"&amp;E1025&amp;"|"&amp;F1025&amp;"|"&amp;G1025&amp;"|"&amp;H1025&amp;"|"&amp;I1025&amp;"|"&amp;J1025&amp;"|"&amp;K1025&amp;"|"&amp;L1025&amp;"|"&amp;M1025&amp;"|"&amp;N1025&amp;"|"&amp;O1025&amp;"|"&amp;P1025</f>
        <v/>
      </c>
      <c r="R1025" s="10">
        <f>IF(COUNTIF($Q$2:$Q$1409,Q1025)&gt;1,IF(COUNTIF($Q$2:Q1025,Q1025)=1,"Exact Duplicate - Keep First","Exact Duplicate - Remove"),"Unique")</f>
        <v/>
      </c>
    </row>
    <row r="1026" ht="15" customHeight="1" s="11">
      <c r="A1026" s="10" t="inlineStr">
        <is>
          <t>USR-101025</t>
        </is>
      </c>
      <c r="B1026" s="14" t="n">
        <v>45750</v>
      </c>
      <c r="C1026" s="10" t="inlineStr">
        <is>
          <t>Treatment</t>
        </is>
      </c>
      <c r="D1026" s="10" t="inlineStr">
        <is>
          <t>North</t>
        </is>
      </c>
      <c r="E1026" s="10" t="inlineStr">
        <is>
          <t>Mobile</t>
        </is>
      </c>
      <c r="F1026" s="10" t="inlineStr">
        <is>
          <t>Social</t>
        </is>
      </c>
      <c r="G1026" s="10" t="inlineStr">
        <is>
          <t>Premium</t>
        </is>
      </c>
      <c r="H1026" s="10" t="n">
        <v>1</v>
      </c>
      <c r="I1026" s="10" t="n">
        <v>1</v>
      </c>
      <c r="J1026" s="10" t="n">
        <v>1</v>
      </c>
      <c r="K1026" s="10" t="n">
        <v>1</v>
      </c>
      <c r="L1026" s="10" t="n">
        <v>1906.23</v>
      </c>
      <c r="M1026" s="10" t="n">
        <v>0</v>
      </c>
      <c r="N1026" s="10" t="n">
        <v>0</v>
      </c>
      <c r="O1026" s="10" t="n">
        <v>4</v>
      </c>
      <c r="P1026" s="10" t="n">
        <v>84.59999999999999</v>
      </c>
      <c r="Q1026" s="10">
        <f>A1026&amp;"|"&amp;B1026&amp;"|"&amp;C1026&amp;"|"&amp;D1026&amp;"|"&amp;E1026&amp;"|"&amp;F1026&amp;"|"&amp;G1026&amp;"|"&amp;H1026&amp;"|"&amp;I1026&amp;"|"&amp;J1026&amp;"|"&amp;K1026&amp;"|"&amp;L1026&amp;"|"&amp;M1026&amp;"|"&amp;N1026&amp;"|"&amp;O1026&amp;"|"&amp;P1026</f>
        <v/>
      </c>
      <c r="R1026" s="10">
        <f>IF(COUNTIF($Q$2:$Q$1409,Q1026)&gt;1,IF(COUNTIF($Q$2:Q1026,Q1026)=1,"Exact Duplicate - Keep First","Exact Duplicate - Remove"),"Unique")</f>
        <v/>
      </c>
    </row>
    <row r="1027" ht="15" customHeight="1" s="11">
      <c r="A1027" s="10" t="inlineStr">
        <is>
          <t>USR-101026</t>
        </is>
      </c>
      <c r="B1027" s="14" t="n">
        <v>45742</v>
      </c>
      <c r="C1027" s="10" t="inlineStr">
        <is>
          <t>Treatment</t>
        </is>
      </c>
      <c r="D1027" s="10" t="inlineStr">
        <is>
          <t>East</t>
        </is>
      </c>
      <c r="E1027" s="10" t="inlineStr">
        <is>
          <t>Mobile</t>
        </is>
      </c>
      <c r="F1027" s="10" t="inlineStr">
        <is>
          <t>Referral</t>
        </is>
      </c>
      <c r="G1027" s="10" t="inlineStr">
        <is>
          <t>Free</t>
        </is>
      </c>
      <c r="H1027" s="10" t="n">
        <v>1</v>
      </c>
      <c r="I1027" s="10" t="n">
        <v>0</v>
      </c>
      <c r="J1027" s="10" t="n">
        <v>0</v>
      </c>
      <c r="K1027" s="10" t="n">
        <v>0</v>
      </c>
      <c r="L1027" s="10" t="n">
        <v>0</v>
      </c>
      <c r="M1027" s="10" t="n">
        <v>0</v>
      </c>
      <c r="N1027" s="10" t="n">
        <v>0</v>
      </c>
      <c r="P1027" s="10" t="n">
        <v>57</v>
      </c>
      <c r="Q1027" s="10">
        <f>A1027&amp;"|"&amp;B1027&amp;"|"&amp;C1027&amp;"|"&amp;D1027&amp;"|"&amp;E1027&amp;"|"&amp;F1027&amp;"|"&amp;G1027&amp;"|"&amp;H1027&amp;"|"&amp;I1027&amp;"|"&amp;J1027&amp;"|"&amp;K1027&amp;"|"&amp;L1027&amp;"|"&amp;M1027&amp;"|"&amp;N1027&amp;"|"&amp;O1027&amp;"|"&amp;P1027</f>
        <v/>
      </c>
      <c r="R1027" s="10">
        <f>IF(COUNTIF($Q$2:$Q$1409,Q1027)&gt;1,IF(COUNTIF($Q$2:Q1027,Q1027)=1,"Exact Duplicate - Keep First","Exact Duplicate - Remove"),"Unique")</f>
        <v/>
      </c>
    </row>
    <row r="1028" ht="15" customHeight="1" s="11">
      <c r="A1028" s="10" t="inlineStr">
        <is>
          <t>USR-101027</t>
        </is>
      </c>
      <c r="B1028" s="14" t="n">
        <v>45793</v>
      </c>
      <c r="C1028" s="10" t="inlineStr">
        <is>
          <t>Treatment</t>
        </is>
      </c>
      <c r="D1028" s="10" t="inlineStr">
        <is>
          <t>South</t>
        </is>
      </c>
      <c r="E1028" s="10" t="inlineStr">
        <is>
          <t>Mobile</t>
        </is>
      </c>
      <c r="F1028" s="10" t="inlineStr">
        <is>
          <t>Email</t>
        </is>
      </c>
      <c r="G1028" s="10" t="inlineStr">
        <is>
          <t>Premium</t>
        </is>
      </c>
      <c r="H1028" s="10" t="n">
        <v>0</v>
      </c>
      <c r="I1028" s="10" t="n">
        <v>0</v>
      </c>
      <c r="J1028" s="10" t="n">
        <v>0</v>
      </c>
      <c r="K1028" s="10" t="n">
        <v>0</v>
      </c>
      <c r="L1028" s="10" t="n">
        <v>0</v>
      </c>
      <c r="M1028" s="10" t="n">
        <v>0</v>
      </c>
      <c r="N1028" s="10" t="n">
        <v>0</v>
      </c>
      <c r="P1028" s="10" t="n">
        <v>46.3</v>
      </c>
      <c r="Q1028" s="10">
        <f>A1028&amp;"|"&amp;B1028&amp;"|"&amp;C1028&amp;"|"&amp;D1028&amp;"|"&amp;E1028&amp;"|"&amp;F1028&amp;"|"&amp;G1028&amp;"|"&amp;H1028&amp;"|"&amp;I1028&amp;"|"&amp;J1028&amp;"|"&amp;K1028&amp;"|"&amp;L1028&amp;"|"&amp;M1028&amp;"|"&amp;N1028&amp;"|"&amp;O1028&amp;"|"&amp;P1028</f>
        <v/>
      </c>
      <c r="R1028" s="10">
        <f>IF(COUNTIF($Q$2:$Q$1409,Q1028)&gt;1,IF(COUNTIF($Q$2:Q1028,Q1028)=1,"Exact Duplicate - Keep First","Exact Duplicate - Remove"),"Unique")</f>
        <v/>
      </c>
    </row>
    <row r="1029" ht="15" customHeight="1" s="11">
      <c r="A1029" s="10" t="inlineStr">
        <is>
          <t>USR-101028</t>
        </is>
      </c>
      <c r="B1029" s="14" t="n">
        <v>45767</v>
      </c>
      <c r="C1029" s="10" t="inlineStr">
        <is>
          <t>Treatment</t>
        </is>
      </c>
      <c r="D1029" s="10" t="inlineStr">
        <is>
          <t>West</t>
        </is>
      </c>
      <c r="E1029" s="10" t="inlineStr">
        <is>
          <t>Mobile</t>
        </is>
      </c>
      <c r="F1029" s="10" t="inlineStr">
        <is>
          <t>Social</t>
        </is>
      </c>
      <c r="G1029" s="10" t="inlineStr">
        <is>
          <t>Free</t>
        </is>
      </c>
      <c r="H1029" s="10" t="n">
        <v>0</v>
      </c>
      <c r="I1029" s="10" t="n">
        <v>0</v>
      </c>
      <c r="J1029" s="10" t="n">
        <v>0</v>
      </c>
      <c r="K1029" s="10" t="n">
        <v>0</v>
      </c>
      <c r="L1029" s="10" t="n">
        <v>0</v>
      </c>
      <c r="M1029" s="10" t="n">
        <v>1</v>
      </c>
      <c r="N1029" s="10" t="n">
        <v>0</v>
      </c>
      <c r="P1029" s="10" t="n">
        <v>64.40000000000001</v>
      </c>
      <c r="Q1029" s="10">
        <f>A1029&amp;"|"&amp;B1029&amp;"|"&amp;C1029&amp;"|"&amp;D1029&amp;"|"&amp;E1029&amp;"|"&amp;F1029&amp;"|"&amp;G1029&amp;"|"&amp;H1029&amp;"|"&amp;I1029&amp;"|"&amp;J1029&amp;"|"&amp;K1029&amp;"|"&amp;L1029&amp;"|"&amp;M1029&amp;"|"&amp;N1029&amp;"|"&amp;O1029&amp;"|"&amp;P1029</f>
        <v/>
      </c>
      <c r="R1029" s="10">
        <f>IF(COUNTIF($Q$2:$Q$1409,Q1029)&gt;1,IF(COUNTIF($Q$2:Q1029,Q1029)=1,"Exact Duplicate - Keep First","Exact Duplicate - Remove"),"Unique")</f>
        <v/>
      </c>
    </row>
    <row r="1030" ht="15" customHeight="1" s="11">
      <c r="A1030" s="10" t="inlineStr">
        <is>
          <t>USR-101029</t>
        </is>
      </c>
      <c r="B1030" s="14" t="n">
        <v>45762</v>
      </c>
      <c r="C1030" s="10" t="inlineStr">
        <is>
          <t>Treatment</t>
        </is>
      </c>
      <c r="D1030" s="10" t="inlineStr">
        <is>
          <t>West</t>
        </is>
      </c>
      <c r="E1030" s="10" t="inlineStr">
        <is>
          <t>Mobile</t>
        </is>
      </c>
      <c r="F1030" s="10" t="inlineStr">
        <is>
          <t>Paid Search</t>
        </is>
      </c>
      <c r="G1030" s="10" t="inlineStr">
        <is>
          <t>Free</t>
        </is>
      </c>
      <c r="H1030" s="10" t="n">
        <v>1</v>
      </c>
      <c r="I1030" s="10" t="n">
        <v>0</v>
      </c>
      <c r="J1030" s="10" t="n">
        <v>0</v>
      </c>
      <c r="K1030" s="10" t="n">
        <v>0</v>
      </c>
      <c r="L1030" s="10" t="n">
        <v>0</v>
      </c>
      <c r="M1030" s="10" t="n">
        <v>2</v>
      </c>
      <c r="N1030" s="10" t="n">
        <v>0</v>
      </c>
      <c r="P1030" s="10" t="n">
        <v>61.9</v>
      </c>
      <c r="Q1030" s="10">
        <f>A1030&amp;"|"&amp;B1030&amp;"|"&amp;C1030&amp;"|"&amp;D1030&amp;"|"&amp;E1030&amp;"|"&amp;F1030&amp;"|"&amp;G1030&amp;"|"&amp;H1030&amp;"|"&amp;I1030&amp;"|"&amp;J1030&amp;"|"&amp;K1030&amp;"|"&amp;L1030&amp;"|"&amp;M1030&amp;"|"&amp;N1030&amp;"|"&amp;O1030&amp;"|"&amp;P1030</f>
        <v/>
      </c>
      <c r="R1030" s="10">
        <f>IF(COUNTIF($Q$2:$Q$1409,Q1030)&gt;1,IF(COUNTIF($Q$2:Q1030,Q1030)=1,"Exact Duplicate - Keep First","Exact Duplicate - Remove"),"Unique")</f>
        <v/>
      </c>
    </row>
    <row r="1031" ht="15" customHeight="1" s="11">
      <c r="A1031" s="10" t="inlineStr">
        <is>
          <t>USR-101030</t>
        </is>
      </c>
      <c r="B1031" s="14" t="n">
        <v>45681</v>
      </c>
      <c r="C1031" s="10" t="inlineStr">
        <is>
          <t>Treatment</t>
        </is>
      </c>
      <c r="D1031" s="10" t="inlineStr">
        <is>
          <t>North</t>
        </is>
      </c>
      <c r="E1031" s="10" t="inlineStr">
        <is>
          <t>Mobile</t>
        </is>
      </c>
      <c r="F1031" s="10" t="inlineStr">
        <is>
          <t>Organic</t>
        </is>
      </c>
      <c r="G1031" s="10" t="inlineStr">
        <is>
          <t>Premium</t>
        </is>
      </c>
      <c r="H1031" s="10" t="n">
        <v>1</v>
      </c>
      <c r="I1031" s="10" t="n">
        <v>1</v>
      </c>
      <c r="J1031" s="10" t="n">
        <v>1</v>
      </c>
      <c r="K1031" s="10" t="n">
        <v>0</v>
      </c>
      <c r="L1031" s="10" t="n">
        <v>0</v>
      </c>
      <c r="M1031" s="10" t="n">
        <v>0</v>
      </c>
      <c r="N1031" s="10" t="n">
        <v>0</v>
      </c>
      <c r="P1031" s="10" t="n">
        <v>93.7</v>
      </c>
      <c r="Q1031" s="10">
        <f>A1031&amp;"|"&amp;B1031&amp;"|"&amp;C1031&amp;"|"&amp;D1031&amp;"|"&amp;E1031&amp;"|"&amp;F1031&amp;"|"&amp;G1031&amp;"|"&amp;H1031&amp;"|"&amp;I1031&amp;"|"&amp;J1031&amp;"|"&amp;K1031&amp;"|"&amp;L1031&amp;"|"&amp;M1031&amp;"|"&amp;N1031&amp;"|"&amp;O1031&amp;"|"&amp;P1031</f>
        <v/>
      </c>
      <c r="R1031" s="10">
        <f>IF(COUNTIF($Q$2:$Q$1409,Q1031)&gt;1,IF(COUNTIF($Q$2:Q1031,Q1031)=1,"Exact Duplicate - Keep First","Exact Duplicate - Remove"),"Unique")</f>
        <v/>
      </c>
    </row>
    <row r="1032" ht="15" customHeight="1" s="11">
      <c r="A1032" s="10" t="inlineStr">
        <is>
          <t>USR-101031</t>
        </is>
      </c>
      <c r="B1032" s="14" t="n">
        <v>45758</v>
      </c>
      <c r="C1032" s="10" t="inlineStr">
        <is>
          <t>Treatment</t>
        </is>
      </c>
      <c r="D1032" s="10" t="inlineStr">
        <is>
          <t>South</t>
        </is>
      </c>
      <c r="E1032" s="10" t="inlineStr">
        <is>
          <t>Mobile</t>
        </is>
      </c>
      <c r="F1032" s="10" t="inlineStr">
        <is>
          <t>Referral</t>
        </is>
      </c>
      <c r="G1032" s="10" t="inlineStr">
        <is>
          <t>Basic</t>
        </is>
      </c>
      <c r="H1032" s="10" t="n">
        <v>0</v>
      </c>
      <c r="I1032" s="10" t="n">
        <v>0</v>
      </c>
      <c r="J1032" s="10" t="n">
        <v>0</v>
      </c>
      <c r="K1032" s="10" t="n">
        <v>0</v>
      </c>
      <c r="L1032" s="10" t="n">
        <v>0</v>
      </c>
      <c r="M1032" s="10" t="n">
        <v>0</v>
      </c>
      <c r="N1032" s="10" t="n">
        <v>0</v>
      </c>
      <c r="P1032" s="10" t="n">
        <v>61.6</v>
      </c>
      <c r="Q1032" s="10">
        <f>A1032&amp;"|"&amp;B1032&amp;"|"&amp;C1032&amp;"|"&amp;D1032&amp;"|"&amp;E1032&amp;"|"&amp;F1032&amp;"|"&amp;G1032&amp;"|"&amp;H1032&amp;"|"&amp;I1032&amp;"|"&amp;J1032&amp;"|"&amp;K1032&amp;"|"&amp;L1032&amp;"|"&amp;M1032&amp;"|"&amp;N1032&amp;"|"&amp;O1032&amp;"|"&amp;P1032</f>
        <v/>
      </c>
      <c r="R1032" s="10">
        <f>IF(COUNTIF($Q$2:$Q$1409,Q1032)&gt;1,IF(COUNTIF($Q$2:Q1032,Q1032)=1,"Exact Duplicate - Keep First","Exact Duplicate - Remove"),"Unique")</f>
        <v/>
      </c>
    </row>
    <row r="1033" ht="15" customHeight="1" s="11">
      <c r="A1033" s="10" t="inlineStr">
        <is>
          <t>USR-101032</t>
        </is>
      </c>
      <c r="B1033" s="14" t="n">
        <v>45796</v>
      </c>
      <c r="C1033" s="10" t="inlineStr">
        <is>
          <t>Treatment</t>
        </is>
      </c>
      <c r="D1033" s="10" t="inlineStr">
        <is>
          <t>North</t>
        </is>
      </c>
      <c r="E1033" s="10" t="inlineStr">
        <is>
          <t>Mobile</t>
        </is>
      </c>
      <c r="F1033" s="10" t="inlineStr">
        <is>
          <t>Paid Search</t>
        </is>
      </c>
      <c r="G1033" s="10" t="inlineStr">
        <is>
          <t>Free</t>
        </is>
      </c>
      <c r="H1033" s="10" t="n">
        <v>1</v>
      </c>
      <c r="I1033" s="10" t="n">
        <v>0</v>
      </c>
      <c r="J1033" s="10" t="n">
        <v>0</v>
      </c>
      <c r="K1033" s="10" t="n">
        <v>0</v>
      </c>
      <c r="L1033" s="10" t="n">
        <v>0</v>
      </c>
      <c r="M1033" s="10" t="n">
        <v>0</v>
      </c>
      <c r="N1033" s="10" t="n">
        <v>0</v>
      </c>
      <c r="P1033" s="10" t="n">
        <v>72.2</v>
      </c>
      <c r="Q1033" s="10">
        <f>A1033&amp;"|"&amp;B1033&amp;"|"&amp;C1033&amp;"|"&amp;D1033&amp;"|"&amp;E1033&amp;"|"&amp;F1033&amp;"|"&amp;G1033&amp;"|"&amp;H1033&amp;"|"&amp;I1033&amp;"|"&amp;J1033&amp;"|"&amp;K1033&amp;"|"&amp;L1033&amp;"|"&amp;M1033&amp;"|"&amp;N1033&amp;"|"&amp;O1033&amp;"|"&amp;P1033</f>
        <v/>
      </c>
      <c r="R1033" s="10">
        <f>IF(COUNTIF($Q$2:$Q$1409,Q1033)&gt;1,IF(COUNTIF($Q$2:Q1033,Q1033)=1,"Exact Duplicate - Keep First","Exact Duplicate - Remove"),"Unique")</f>
        <v/>
      </c>
    </row>
    <row r="1034" ht="15" customHeight="1" s="11">
      <c r="A1034" s="10" t="inlineStr">
        <is>
          <t>USR-101033</t>
        </is>
      </c>
      <c r="B1034" s="14" t="n">
        <v>45671</v>
      </c>
      <c r="C1034" s="10" t="inlineStr">
        <is>
          <t>Treatment</t>
        </is>
      </c>
      <c r="D1034" s="10" t="inlineStr">
        <is>
          <t>North</t>
        </is>
      </c>
      <c r="E1034" s="10" t="inlineStr">
        <is>
          <t>Mobile</t>
        </is>
      </c>
      <c r="F1034" s="10" t="inlineStr">
        <is>
          <t>Organic</t>
        </is>
      </c>
      <c r="G1034" s="10" t="inlineStr">
        <is>
          <t>Basic</t>
        </is>
      </c>
      <c r="H1034" s="10" t="n">
        <v>0</v>
      </c>
      <c r="I1034" s="10" t="n">
        <v>0</v>
      </c>
      <c r="J1034" s="10" t="n">
        <v>0</v>
      </c>
      <c r="K1034" s="10" t="n">
        <v>0</v>
      </c>
      <c r="L1034" s="10" t="n">
        <v>0</v>
      </c>
      <c r="M1034" s="10" t="n">
        <v>0</v>
      </c>
      <c r="N1034" s="10" t="n">
        <v>0</v>
      </c>
      <c r="P1034" s="10" t="n">
        <v>69.5</v>
      </c>
      <c r="Q1034" s="10">
        <f>A1034&amp;"|"&amp;B1034&amp;"|"&amp;C1034&amp;"|"&amp;D1034&amp;"|"&amp;E1034&amp;"|"&amp;F1034&amp;"|"&amp;G1034&amp;"|"&amp;H1034&amp;"|"&amp;I1034&amp;"|"&amp;J1034&amp;"|"&amp;K1034&amp;"|"&amp;L1034&amp;"|"&amp;M1034&amp;"|"&amp;N1034&amp;"|"&amp;O1034&amp;"|"&amp;P1034</f>
        <v/>
      </c>
      <c r="R1034" s="10">
        <f>IF(COUNTIF($Q$2:$Q$1409,Q1034)&gt;1,IF(COUNTIF($Q$2:Q1034,Q1034)=1,"Exact Duplicate - Keep First","Exact Duplicate - Remove"),"Unique")</f>
        <v/>
      </c>
    </row>
    <row r="1035" ht="15" customHeight="1" s="11">
      <c r="A1035" s="10" t="inlineStr">
        <is>
          <t>USR-101034</t>
        </is>
      </c>
      <c r="B1035" s="14" t="n">
        <v>45716</v>
      </c>
      <c r="C1035" s="10" t="inlineStr">
        <is>
          <t>Treatment</t>
        </is>
      </c>
      <c r="D1035" s="10" t="inlineStr">
        <is>
          <t>East</t>
        </is>
      </c>
      <c r="E1035" s="10" t="inlineStr">
        <is>
          <t>Desktop</t>
        </is>
      </c>
      <c r="F1035" s="10" t="inlineStr">
        <is>
          <t>Organic</t>
        </is>
      </c>
      <c r="G1035" s="10" t="inlineStr">
        <is>
          <t>Basic</t>
        </is>
      </c>
      <c r="H1035" s="10" t="n">
        <v>0</v>
      </c>
      <c r="I1035" s="10" t="n">
        <v>0</v>
      </c>
      <c r="J1035" s="10" t="n">
        <v>0</v>
      </c>
      <c r="K1035" s="10" t="n">
        <v>0</v>
      </c>
      <c r="L1035" s="10" t="n">
        <v>0</v>
      </c>
      <c r="M1035" s="10" t="n">
        <v>0</v>
      </c>
      <c r="N1035" s="10" t="n">
        <v>0</v>
      </c>
      <c r="P1035" s="10" t="n">
        <v>59.7</v>
      </c>
      <c r="Q1035" s="10">
        <f>A1035&amp;"|"&amp;B1035&amp;"|"&amp;C1035&amp;"|"&amp;D1035&amp;"|"&amp;E1035&amp;"|"&amp;F1035&amp;"|"&amp;G1035&amp;"|"&amp;H1035&amp;"|"&amp;I1035&amp;"|"&amp;J1035&amp;"|"&amp;K1035&amp;"|"&amp;L1035&amp;"|"&amp;M1035&amp;"|"&amp;N1035&amp;"|"&amp;O1035&amp;"|"&amp;P1035</f>
        <v/>
      </c>
      <c r="R1035" s="10">
        <f>IF(COUNTIF($Q$2:$Q$1409,Q1035)&gt;1,IF(COUNTIF($Q$2:Q1035,Q1035)=1,"Exact Duplicate - Keep First","Exact Duplicate - Remove"),"Unique")</f>
        <v/>
      </c>
    </row>
    <row r="1036" ht="15" customHeight="1" s="11">
      <c r="A1036" s="10" t="inlineStr">
        <is>
          <t>USR-101035</t>
        </is>
      </c>
      <c r="B1036" s="14" t="n">
        <v>45795</v>
      </c>
      <c r="C1036" s="10" t="inlineStr">
        <is>
          <t>Treatment</t>
        </is>
      </c>
      <c r="D1036" s="10" t="inlineStr">
        <is>
          <t>East</t>
        </is>
      </c>
      <c r="E1036" s="10" t="inlineStr">
        <is>
          <t>Tablet</t>
        </is>
      </c>
      <c r="F1036" s="10" t="inlineStr">
        <is>
          <t>Paid Search</t>
        </is>
      </c>
      <c r="G1036" s="10" t="inlineStr">
        <is>
          <t>Basic</t>
        </is>
      </c>
      <c r="H1036" s="10" t="n">
        <v>1</v>
      </c>
      <c r="I1036" s="10" t="n">
        <v>0</v>
      </c>
      <c r="J1036" s="10" t="n">
        <v>0</v>
      </c>
      <c r="K1036" s="10" t="n">
        <v>0</v>
      </c>
      <c r="L1036" s="10" t="n">
        <v>0</v>
      </c>
      <c r="M1036" s="10" t="n">
        <v>0</v>
      </c>
      <c r="N1036" s="10" t="n">
        <v>0</v>
      </c>
      <c r="P1036" s="10" t="n">
        <v>73.90000000000001</v>
      </c>
      <c r="Q1036" s="10">
        <f>A1036&amp;"|"&amp;B1036&amp;"|"&amp;C1036&amp;"|"&amp;D1036&amp;"|"&amp;E1036&amp;"|"&amp;F1036&amp;"|"&amp;G1036&amp;"|"&amp;H1036&amp;"|"&amp;I1036&amp;"|"&amp;J1036&amp;"|"&amp;K1036&amp;"|"&amp;L1036&amp;"|"&amp;M1036&amp;"|"&amp;N1036&amp;"|"&amp;O1036&amp;"|"&amp;P1036</f>
        <v/>
      </c>
      <c r="R1036" s="10">
        <f>IF(COUNTIF($Q$2:$Q$1409,Q1036)&gt;1,IF(COUNTIF($Q$2:Q1036,Q1036)=1,"Exact Duplicate - Keep First","Exact Duplicate - Remove"),"Unique")</f>
        <v/>
      </c>
    </row>
    <row r="1037" ht="15" customHeight="1" s="11">
      <c r="A1037" s="10" t="inlineStr">
        <is>
          <t>USR-101036</t>
        </is>
      </c>
      <c r="B1037" s="14" t="n">
        <v>45661</v>
      </c>
      <c r="C1037" s="10" t="inlineStr">
        <is>
          <t>Treatment</t>
        </is>
      </c>
      <c r="D1037" s="10" t="inlineStr">
        <is>
          <t>North</t>
        </is>
      </c>
      <c r="E1037" s="10" t="inlineStr">
        <is>
          <t>Mobile</t>
        </is>
      </c>
      <c r="F1037" s="10" t="inlineStr">
        <is>
          <t>Social</t>
        </is>
      </c>
      <c r="G1037" s="10" t="inlineStr">
        <is>
          <t>Free</t>
        </is>
      </c>
      <c r="H1037" s="10" t="n">
        <v>0</v>
      </c>
      <c r="I1037" s="10" t="n">
        <v>0</v>
      </c>
      <c r="J1037" s="10" t="n">
        <v>0</v>
      </c>
      <c r="K1037" s="10" t="n">
        <v>0</v>
      </c>
      <c r="L1037" s="10" t="n">
        <v>0</v>
      </c>
      <c r="M1037" s="10" t="n">
        <v>0</v>
      </c>
      <c r="N1037" s="10" t="n">
        <v>0</v>
      </c>
      <c r="P1037" s="10" t="n">
        <v>41.5</v>
      </c>
      <c r="Q1037" s="10">
        <f>A1037&amp;"|"&amp;B1037&amp;"|"&amp;C1037&amp;"|"&amp;D1037&amp;"|"&amp;E1037&amp;"|"&amp;F1037&amp;"|"&amp;G1037&amp;"|"&amp;H1037&amp;"|"&amp;I1037&amp;"|"&amp;J1037&amp;"|"&amp;K1037&amp;"|"&amp;L1037&amp;"|"&amp;M1037&amp;"|"&amp;N1037&amp;"|"&amp;O1037&amp;"|"&amp;P1037</f>
        <v/>
      </c>
      <c r="R1037" s="10">
        <f>IF(COUNTIF($Q$2:$Q$1409,Q1037)&gt;1,IF(COUNTIF($Q$2:Q1037,Q1037)=1,"Exact Duplicate - Keep First","Exact Duplicate - Remove"),"Unique")</f>
        <v/>
      </c>
    </row>
    <row r="1038" ht="15" customHeight="1" s="11">
      <c r="A1038" s="10" t="inlineStr">
        <is>
          <t>USR-101037</t>
        </is>
      </c>
      <c r="B1038" s="14" t="n">
        <v>45673</v>
      </c>
      <c r="C1038" s="10" t="inlineStr">
        <is>
          <t>Treatment</t>
        </is>
      </c>
      <c r="D1038" s="10" t="inlineStr">
        <is>
          <t>West</t>
        </is>
      </c>
      <c r="E1038" s="10" t="inlineStr">
        <is>
          <t>Mobile</t>
        </is>
      </c>
      <c r="F1038" s="10" t="inlineStr">
        <is>
          <t>Social</t>
        </is>
      </c>
      <c r="G1038" s="10" t="inlineStr">
        <is>
          <t>Premium</t>
        </is>
      </c>
      <c r="H1038" s="10" t="n">
        <v>1</v>
      </c>
      <c r="I1038" s="10" t="n">
        <v>0</v>
      </c>
      <c r="J1038" s="10" t="n">
        <v>0</v>
      </c>
      <c r="K1038" s="10" t="n">
        <v>0</v>
      </c>
      <c r="L1038" s="10" t="n">
        <v>0</v>
      </c>
      <c r="M1038" s="10" t="n">
        <v>0</v>
      </c>
      <c r="N1038" s="10" t="n">
        <v>0</v>
      </c>
      <c r="P1038" s="10" t="n">
        <v>82.8</v>
      </c>
      <c r="Q1038" s="10">
        <f>A1038&amp;"|"&amp;B1038&amp;"|"&amp;C1038&amp;"|"&amp;D1038&amp;"|"&amp;E1038&amp;"|"&amp;F1038&amp;"|"&amp;G1038&amp;"|"&amp;H1038&amp;"|"&amp;I1038&amp;"|"&amp;J1038&amp;"|"&amp;K1038&amp;"|"&amp;L1038&amp;"|"&amp;M1038&amp;"|"&amp;N1038&amp;"|"&amp;O1038&amp;"|"&amp;P1038</f>
        <v/>
      </c>
      <c r="R1038" s="10">
        <f>IF(COUNTIF($Q$2:$Q$1409,Q1038)&gt;1,IF(COUNTIF($Q$2:Q1038,Q1038)=1,"Exact Duplicate - Keep First","Exact Duplicate - Remove"),"Unique")</f>
        <v/>
      </c>
    </row>
    <row r="1039" ht="15" customHeight="1" s="11">
      <c r="A1039" s="10" t="inlineStr">
        <is>
          <t>USR-101038</t>
        </is>
      </c>
      <c r="B1039" s="14" t="n">
        <v>45730</v>
      </c>
      <c r="C1039" s="10" t="inlineStr">
        <is>
          <t>Treatment</t>
        </is>
      </c>
      <c r="D1039" s="10" t="inlineStr">
        <is>
          <t>West</t>
        </is>
      </c>
      <c r="E1039" s="10" t="inlineStr">
        <is>
          <t>Mobile</t>
        </is>
      </c>
      <c r="F1039" s="10" t="inlineStr">
        <is>
          <t>Social</t>
        </is>
      </c>
      <c r="G1039" s="10" t="inlineStr">
        <is>
          <t>Premium</t>
        </is>
      </c>
      <c r="H1039" s="10" t="n">
        <v>1</v>
      </c>
      <c r="I1039" s="10" t="n">
        <v>0</v>
      </c>
      <c r="J1039" s="10" t="n">
        <v>0</v>
      </c>
      <c r="K1039" s="10" t="n">
        <v>0</v>
      </c>
      <c r="L1039" s="10" t="n">
        <v>0</v>
      </c>
      <c r="M1039" s="10" t="n">
        <v>3</v>
      </c>
      <c r="N1039" s="10" t="n">
        <v>0</v>
      </c>
      <c r="P1039" s="10" t="n">
        <v>70.2</v>
      </c>
      <c r="Q1039" s="10">
        <f>A1039&amp;"|"&amp;B1039&amp;"|"&amp;C1039&amp;"|"&amp;D1039&amp;"|"&amp;E1039&amp;"|"&amp;F1039&amp;"|"&amp;G1039&amp;"|"&amp;H1039&amp;"|"&amp;I1039&amp;"|"&amp;J1039&amp;"|"&amp;K1039&amp;"|"&amp;L1039&amp;"|"&amp;M1039&amp;"|"&amp;N1039&amp;"|"&amp;O1039&amp;"|"&amp;P1039</f>
        <v/>
      </c>
      <c r="R1039" s="10">
        <f>IF(COUNTIF($Q$2:$Q$1409,Q1039)&gt;1,IF(COUNTIF($Q$2:Q1039,Q1039)=1,"Exact Duplicate - Keep First","Exact Duplicate - Remove"),"Unique")</f>
        <v/>
      </c>
    </row>
    <row r="1040" ht="15" customHeight="1" s="11">
      <c r="A1040" s="10" t="inlineStr">
        <is>
          <t>USR-101039</t>
        </is>
      </c>
      <c r="B1040" s="14" t="n">
        <v>45680</v>
      </c>
      <c r="C1040" s="10" t="inlineStr">
        <is>
          <t>Treatment</t>
        </is>
      </c>
      <c r="D1040" s="10" t="inlineStr">
        <is>
          <t>East</t>
        </is>
      </c>
      <c r="E1040" s="10" t="inlineStr">
        <is>
          <t>Mobile</t>
        </is>
      </c>
      <c r="F1040" s="10" t="inlineStr">
        <is>
          <t>Paid Search</t>
        </is>
      </c>
      <c r="G1040" s="10" t="inlineStr">
        <is>
          <t>Basic</t>
        </is>
      </c>
      <c r="H1040" s="10" t="n">
        <v>1</v>
      </c>
      <c r="I1040" s="10" t="n">
        <v>0</v>
      </c>
      <c r="J1040" s="10" t="n">
        <v>0</v>
      </c>
      <c r="K1040" s="10" t="n">
        <v>0</v>
      </c>
      <c r="L1040" s="10" t="n">
        <v>0</v>
      </c>
      <c r="M1040" s="10" t="n">
        <v>1</v>
      </c>
      <c r="N1040" s="10" t="n">
        <v>0</v>
      </c>
      <c r="P1040" s="10" t="n">
        <v>69.40000000000001</v>
      </c>
      <c r="Q1040" s="10">
        <f>A1040&amp;"|"&amp;B1040&amp;"|"&amp;C1040&amp;"|"&amp;D1040&amp;"|"&amp;E1040&amp;"|"&amp;F1040&amp;"|"&amp;G1040&amp;"|"&amp;H1040&amp;"|"&amp;I1040&amp;"|"&amp;J1040&amp;"|"&amp;K1040&amp;"|"&amp;L1040&amp;"|"&amp;M1040&amp;"|"&amp;N1040&amp;"|"&amp;O1040&amp;"|"&amp;P1040</f>
        <v/>
      </c>
      <c r="R1040" s="10">
        <f>IF(COUNTIF($Q$2:$Q$1409,Q1040)&gt;1,IF(COUNTIF($Q$2:Q1040,Q1040)=1,"Exact Duplicate - Keep First","Exact Duplicate - Remove"),"Unique")</f>
        <v/>
      </c>
    </row>
    <row r="1041" ht="15" customHeight="1" s="11">
      <c r="A1041" s="10" t="inlineStr">
        <is>
          <t>USR-101040</t>
        </is>
      </c>
      <c r="B1041" s="14" t="n">
        <v>45691</v>
      </c>
      <c r="C1041" s="10" t="inlineStr">
        <is>
          <t>Treatment</t>
        </is>
      </c>
      <c r="D1041" s="10" t="inlineStr">
        <is>
          <t>North</t>
        </is>
      </c>
      <c r="E1041" s="10" t="inlineStr">
        <is>
          <t>Desktop</t>
        </is>
      </c>
      <c r="F1041" s="10" t="inlineStr">
        <is>
          <t>Organic</t>
        </is>
      </c>
      <c r="G1041" s="10" t="inlineStr">
        <is>
          <t>Basic</t>
        </is>
      </c>
      <c r="H1041" s="10" t="n">
        <v>1</v>
      </c>
      <c r="I1041" s="10" t="n">
        <v>0</v>
      </c>
      <c r="J1041" s="10" t="n">
        <v>0</v>
      </c>
      <c r="K1041" s="10" t="n">
        <v>0</v>
      </c>
      <c r="L1041" s="10" t="n">
        <v>0</v>
      </c>
      <c r="M1041" s="10" t="n">
        <v>0</v>
      </c>
      <c r="N1041" s="10" t="n">
        <v>0</v>
      </c>
      <c r="P1041" s="10" t="n">
        <v>60.4</v>
      </c>
      <c r="Q1041" s="10">
        <f>A1041&amp;"|"&amp;B1041&amp;"|"&amp;C1041&amp;"|"&amp;D1041&amp;"|"&amp;E1041&amp;"|"&amp;F1041&amp;"|"&amp;G1041&amp;"|"&amp;H1041&amp;"|"&amp;I1041&amp;"|"&amp;J1041&amp;"|"&amp;K1041&amp;"|"&amp;L1041&amp;"|"&amp;M1041&amp;"|"&amp;N1041&amp;"|"&amp;O1041&amp;"|"&amp;P1041</f>
        <v/>
      </c>
      <c r="R1041" s="10">
        <f>IF(COUNTIF($Q$2:$Q$1409,Q1041)&gt;1,IF(COUNTIF($Q$2:Q1041,Q1041)=1,"Exact Duplicate - Keep First","Exact Duplicate - Remove"),"Unique")</f>
        <v/>
      </c>
    </row>
    <row r="1042" ht="15" customHeight="1" s="11">
      <c r="A1042" s="10" t="inlineStr">
        <is>
          <t>USR-101041</t>
        </is>
      </c>
      <c r="B1042" s="14" t="n">
        <v>45793</v>
      </c>
      <c r="C1042" s="10" t="inlineStr">
        <is>
          <t>Treatment</t>
        </is>
      </c>
      <c r="D1042" s="10" t="inlineStr">
        <is>
          <t>East</t>
        </is>
      </c>
      <c r="E1042" s="10" t="inlineStr">
        <is>
          <t>Mobile</t>
        </is>
      </c>
      <c r="F1042" s="10" t="inlineStr">
        <is>
          <t>Referral</t>
        </is>
      </c>
      <c r="G1042" s="10" t="inlineStr">
        <is>
          <t>Free</t>
        </is>
      </c>
      <c r="H1042" s="10" t="n">
        <v>1</v>
      </c>
      <c r="I1042" s="10" t="n">
        <v>0</v>
      </c>
      <c r="J1042" s="10" t="n">
        <v>0</v>
      </c>
      <c r="K1042" s="10" t="n">
        <v>0</v>
      </c>
      <c r="L1042" s="10" t="n">
        <v>0</v>
      </c>
      <c r="M1042" s="10" t="n">
        <v>0</v>
      </c>
      <c r="N1042" s="10" t="n">
        <v>0</v>
      </c>
      <c r="P1042" s="10" t="n">
        <v>45.7</v>
      </c>
      <c r="Q1042" s="10">
        <f>A1042&amp;"|"&amp;B1042&amp;"|"&amp;C1042&amp;"|"&amp;D1042&amp;"|"&amp;E1042&amp;"|"&amp;F1042&amp;"|"&amp;G1042&amp;"|"&amp;H1042&amp;"|"&amp;I1042&amp;"|"&amp;J1042&amp;"|"&amp;K1042&amp;"|"&amp;L1042&amp;"|"&amp;M1042&amp;"|"&amp;N1042&amp;"|"&amp;O1042&amp;"|"&amp;P1042</f>
        <v/>
      </c>
      <c r="R1042" s="10">
        <f>IF(COUNTIF($Q$2:$Q$1409,Q1042)&gt;1,IF(COUNTIF($Q$2:Q1042,Q1042)=1,"Exact Duplicate - Keep First","Exact Duplicate - Remove"),"Unique")</f>
        <v/>
      </c>
    </row>
    <row r="1043" ht="15" customHeight="1" s="11">
      <c r="A1043" s="10" t="inlineStr">
        <is>
          <t>USR-101042</t>
        </is>
      </c>
      <c r="B1043" s="14" t="n">
        <v>45668</v>
      </c>
      <c r="C1043" s="10" t="inlineStr">
        <is>
          <t>Treatment</t>
        </is>
      </c>
      <c r="D1043" s="10" t="inlineStr">
        <is>
          <t>West</t>
        </is>
      </c>
      <c r="E1043" s="10" t="inlineStr">
        <is>
          <t>Mobile</t>
        </is>
      </c>
      <c r="F1043" s="10" t="inlineStr">
        <is>
          <t>Organic</t>
        </is>
      </c>
      <c r="G1043" s="10" t="inlineStr">
        <is>
          <t>Basic</t>
        </is>
      </c>
      <c r="H1043" s="10" t="n">
        <v>0</v>
      </c>
      <c r="I1043" s="10" t="n">
        <v>0</v>
      </c>
      <c r="J1043" s="10" t="n">
        <v>0</v>
      </c>
      <c r="K1043" s="10" t="n">
        <v>0</v>
      </c>
      <c r="L1043" s="10" t="n">
        <v>0</v>
      </c>
      <c r="M1043" s="10" t="n">
        <v>1</v>
      </c>
      <c r="N1043" s="10" t="n">
        <v>0</v>
      </c>
      <c r="P1043" s="10" t="n">
        <v>42.2</v>
      </c>
      <c r="Q1043" s="10">
        <f>A1043&amp;"|"&amp;B1043&amp;"|"&amp;C1043&amp;"|"&amp;D1043&amp;"|"&amp;E1043&amp;"|"&amp;F1043&amp;"|"&amp;G1043&amp;"|"&amp;H1043&amp;"|"&amp;I1043&amp;"|"&amp;J1043&amp;"|"&amp;K1043&amp;"|"&amp;L1043&amp;"|"&amp;M1043&amp;"|"&amp;N1043&amp;"|"&amp;O1043&amp;"|"&amp;P1043</f>
        <v/>
      </c>
      <c r="R1043" s="10">
        <f>IF(COUNTIF($Q$2:$Q$1409,Q1043)&gt;1,IF(COUNTIF($Q$2:Q1043,Q1043)=1,"Exact Duplicate - Keep First","Exact Duplicate - Remove"),"Unique")</f>
        <v/>
      </c>
    </row>
    <row r="1044" ht="15" customHeight="1" s="11">
      <c r="A1044" s="10" t="inlineStr">
        <is>
          <t>USR-101043</t>
        </is>
      </c>
      <c r="B1044" s="14" t="n">
        <v>45802</v>
      </c>
      <c r="C1044" s="10" t="inlineStr">
        <is>
          <t>Treatment</t>
        </is>
      </c>
      <c r="D1044" s="10" t="inlineStr">
        <is>
          <t>North</t>
        </is>
      </c>
      <c r="E1044" s="10" t="inlineStr">
        <is>
          <t>Desktop</t>
        </is>
      </c>
      <c r="F1044" s="10" t="inlineStr">
        <is>
          <t>Organic</t>
        </is>
      </c>
      <c r="G1044" s="10" t="inlineStr">
        <is>
          <t>Free</t>
        </is>
      </c>
      <c r="H1044" s="10" t="n">
        <v>0</v>
      </c>
      <c r="I1044" s="10" t="n">
        <v>0</v>
      </c>
      <c r="J1044" s="10" t="n">
        <v>0</v>
      </c>
      <c r="K1044" s="10" t="n">
        <v>0</v>
      </c>
      <c r="L1044" s="10" t="n">
        <v>0</v>
      </c>
      <c r="M1044" s="10" t="n">
        <v>2</v>
      </c>
      <c r="N1044" s="10" t="n">
        <v>0</v>
      </c>
      <c r="P1044" s="10" t="n">
        <v>61.9</v>
      </c>
      <c r="Q1044" s="10">
        <f>A1044&amp;"|"&amp;B1044&amp;"|"&amp;C1044&amp;"|"&amp;D1044&amp;"|"&amp;E1044&amp;"|"&amp;F1044&amp;"|"&amp;G1044&amp;"|"&amp;H1044&amp;"|"&amp;I1044&amp;"|"&amp;J1044&amp;"|"&amp;K1044&amp;"|"&amp;L1044&amp;"|"&amp;M1044&amp;"|"&amp;N1044&amp;"|"&amp;O1044&amp;"|"&amp;P1044</f>
        <v/>
      </c>
      <c r="R1044" s="10">
        <f>IF(COUNTIF($Q$2:$Q$1409,Q1044)&gt;1,IF(COUNTIF($Q$2:Q1044,Q1044)=1,"Exact Duplicate - Keep First","Exact Duplicate - Remove"),"Unique")</f>
        <v/>
      </c>
    </row>
    <row r="1045" ht="15" customHeight="1" s="11">
      <c r="A1045" s="10" t="inlineStr">
        <is>
          <t>USR-101044</t>
        </is>
      </c>
      <c r="B1045" s="14" t="n">
        <v>45785</v>
      </c>
      <c r="C1045" s="10" t="inlineStr">
        <is>
          <t>Treatment</t>
        </is>
      </c>
      <c r="D1045" s="10" t="inlineStr">
        <is>
          <t>East</t>
        </is>
      </c>
      <c r="E1045" s="10" t="inlineStr">
        <is>
          <t>Mobile</t>
        </is>
      </c>
      <c r="F1045" s="10" t="inlineStr">
        <is>
          <t>Paid Search</t>
        </is>
      </c>
      <c r="G1045" s="10" t="inlineStr">
        <is>
          <t>Premium</t>
        </is>
      </c>
      <c r="H1045" s="10" t="n">
        <v>0</v>
      </c>
      <c r="I1045" s="10" t="n">
        <v>0</v>
      </c>
      <c r="J1045" s="10" t="n">
        <v>0</v>
      </c>
      <c r="K1045" s="10" t="n">
        <v>0</v>
      </c>
      <c r="L1045" s="10" t="n">
        <v>0</v>
      </c>
      <c r="M1045" s="10" t="n">
        <v>0</v>
      </c>
      <c r="N1045" s="10" t="n">
        <v>0</v>
      </c>
      <c r="P1045" s="10" t="n">
        <v>44.9</v>
      </c>
      <c r="Q1045" s="10">
        <f>A1045&amp;"|"&amp;B1045&amp;"|"&amp;C1045&amp;"|"&amp;D1045&amp;"|"&amp;E1045&amp;"|"&amp;F1045&amp;"|"&amp;G1045&amp;"|"&amp;H1045&amp;"|"&amp;I1045&amp;"|"&amp;J1045&amp;"|"&amp;K1045&amp;"|"&amp;L1045&amp;"|"&amp;M1045&amp;"|"&amp;N1045&amp;"|"&amp;O1045&amp;"|"&amp;P1045</f>
        <v/>
      </c>
      <c r="R1045" s="10">
        <f>IF(COUNTIF($Q$2:$Q$1409,Q1045)&gt;1,IF(COUNTIF($Q$2:Q1045,Q1045)=1,"Exact Duplicate - Keep First","Exact Duplicate - Remove"),"Unique")</f>
        <v/>
      </c>
    </row>
    <row r="1046" ht="15" customHeight="1" s="11">
      <c r="A1046" s="10" t="inlineStr">
        <is>
          <t>USR-101045</t>
        </is>
      </c>
      <c r="B1046" s="14" t="n">
        <v>45714</v>
      </c>
      <c r="C1046" s="10" t="inlineStr">
        <is>
          <t>Treatment</t>
        </is>
      </c>
      <c r="D1046" s="10" t="inlineStr">
        <is>
          <t>East</t>
        </is>
      </c>
      <c r="E1046" s="10" t="inlineStr">
        <is>
          <t>Desktop</t>
        </is>
      </c>
      <c r="G1046" s="10" t="inlineStr">
        <is>
          <t>Basic</t>
        </is>
      </c>
      <c r="H1046" s="10" t="n">
        <v>1</v>
      </c>
      <c r="I1046" s="10" t="n">
        <v>0</v>
      </c>
      <c r="J1046" s="10" t="n">
        <v>0</v>
      </c>
      <c r="K1046" s="10" t="n">
        <v>0</v>
      </c>
      <c r="L1046" s="10" t="n">
        <v>0</v>
      </c>
      <c r="M1046" s="10" t="n">
        <v>0</v>
      </c>
      <c r="N1046" s="10" t="n">
        <v>0</v>
      </c>
      <c r="P1046" s="10" t="n">
        <v>68</v>
      </c>
      <c r="Q1046" s="10">
        <f>A1046&amp;"|"&amp;B1046&amp;"|"&amp;C1046&amp;"|"&amp;D1046&amp;"|"&amp;E1046&amp;"|"&amp;F1046&amp;"|"&amp;G1046&amp;"|"&amp;H1046&amp;"|"&amp;I1046&amp;"|"&amp;J1046&amp;"|"&amp;K1046&amp;"|"&amp;L1046&amp;"|"&amp;M1046&amp;"|"&amp;N1046&amp;"|"&amp;O1046&amp;"|"&amp;P1046</f>
        <v/>
      </c>
      <c r="R1046" s="10">
        <f>IF(COUNTIF($Q$2:$Q$1409,Q1046)&gt;1,IF(COUNTIF($Q$2:Q1046,Q1046)=1,"Exact Duplicate - Keep First","Exact Duplicate - Remove"),"Unique")</f>
        <v/>
      </c>
    </row>
    <row r="1047" ht="15" customHeight="1" s="11">
      <c r="A1047" s="10" t="inlineStr">
        <is>
          <t>USR-101046</t>
        </is>
      </c>
      <c r="B1047" s="14" t="n">
        <v>45746</v>
      </c>
      <c r="C1047" s="10" t="inlineStr">
        <is>
          <t>Treatment</t>
        </is>
      </c>
      <c r="D1047" s="10" t="inlineStr">
        <is>
          <t>North</t>
        </is>
      </c>
      <c r="E1047" s="10" t="inlineStr">
        <is>
          <t>Mobile</t>
        </is>
      </c>
      <c r="F1047" s="10" t="inlineStr">
        <is>
          <t>Paid Search</t>
        </is>
      </c>
      <c r="G1047" s="10" t="inlineStr">
        <is>
          <t>Free</t>
        </is>
      </c>
      <c r="H1047" s="10" t="n">
        <v>1</v>
      </c>
      <c r="I1047" s="10" t="n">
        <v>0</v>
      </c>
      <c r="J1047" s="10" t="n">
        <v>0</v>
      </c>
      <c r="K1047" s="10" t="n">
        <v>0</v>
      </c>
      <c r="L1047" s="10" t="n">
        <v>0</v>
      </c>
      <c r="M1047" s="10" t="n">
        <v>0</v>
      </c>
      <c r="N1047" s="10" t="n">
        <v>0</v>
      </c>
      <c r="P1047" s="10" t="n">
        <v>61</v>
      </c>
      <c r="Q1047" s="10">
        <f>A1047&amp;"|"&amp;B1047&amp;"|"&amp;C1047&amp;"|"&amp;D1047&amp;"|"&amp;E1047&amp;"|"&amp;F1047&amp;"|"&amp;G1047&amp;"|"&amp;H1047&amp;"|"&amp;I1047&amp;"|"&amp;J1047&amp;"|"&amp;K1047&amp;"|"&amp;L1047&amp;"|"&amp;M1047&amp;"|"&amp;N1047&amp;"|"&amp;O1047&amp;"|"&amp;P1047</f>
        <v/>
      </c>
      <c r="R1047" s="10">
        <f>IF(COUNTIF($Q$2:$Q$1409,Q1047)&gt;1,IF(COUNTIF($Q$2:Q1047,Q1047)=1,"Exact Duplicate - Keep First","Exact Duplicate - Remove"),"Unique")</f>
        <v/>
      </c>
    </row>
    <row r="1048" ht="15" customHeight="1" s="11">
      <c r="A1048" s="10" t="inlineStr">
        <is>
          <t>USR-101047</t>
        </is>
      </c>
      <c r="B1048" s="14" t="n">
        <v>45760</v>
      </c>
      <c r="C1048" s="10" t="inlineStr">
        <is>
          <t>Treatment</t>
        </is>
      </c>
      <c r="D1048" s="10" t="inlineStr">
        <is>
          <t>West</t>
        </is>
      </c>
      <c r="E1048" s="10" t="inlineStr">
        <is>
          <t>Mobile</t>
        </is>
      </c>
      <c r="F1048" s="10" t="inlineStr">
        <is>
          <t>Organic</t>
        </is>
      </c>
      <c r="G1048" s="10" t="inlineStr">
        <is>
          <t>Basic</t>
        </is>
      </c>
      <c r="H1048" s="10" t="n">
        <v>1</v>
      </c>
      <c r="I1048" s="10" t="n">
        <v>0</v>
      </c>
      <c r="J1048" s="10" t="n">
        <v>0</v>
      </c>
      <c r="K1048" s="10" t="n">
        <v>0</v>
      </c>
      <c r="L1048" s="10" t="n">
        <v>0</v>
      </c>
      <c r="M1048" s="10" t="n">
        <v>0</v>
      </c>
      <c r="N1048" s="10" t="n">
        <v>0</v>
      </c>
      <c r="P1048" s="10" t="n">
        <v>55</v>
      </c>
      <c r="Q1048" s="10">
        <f>A1048&amp;"|"&amp;B1048&amp;"|"&amp;C1048&amp;"|"&amp;D1048&amp;"|"&amp;E1048&amp;"|"&amp;F1048&amp;"|"&amp;G1048&amp;"|"&amp;H1048&amp;"|"&amp;I1048&amp;"|"&amp;J1048&amp;"|"&amp;K1048&amp;"|"&amp;L1048&amp;"|"&amp;M1048&amp;"|"&amp;N1048&amp;"|"&amp;O1048&amp;"|"&amp;P1048</f>
        <v/>
      </c>
      <c r="R1048" s="10">
        <f>IF(COUNTIF($Q$2:$Q$1409,Q1048)&gt;1,IF(COUNTIF($Q$2:Q1048,Q1048)=1,"Exact Duplicate - Keep First","Exact Duplicate - Remove"),"Unique")</f>
        <v/>
      </c>
    </row>
    <row r="1049" ht="15" customHeight="1" s="11">
      <c r="A1049" s="10" t="inlineStr">
        <is>
          <t>USR-101048</t>
        </is>
      </c>
      <c r="B1049" s="14" t="n">
        <v>45708</v>
      </c>
      <c r="C1049" s="10" t="inlineStr">
        <is>
          <t>Treatment</t>
        </is>
      </c>
      <c r="D1049" s="10" t="inlineStr">
        <is>
          <t>East</t>
        </is>
      </c>
      <c r="F1049" s="10" t="inlineStr">
        <is>
          <t>Paid Search</t>
        </is>
      </c>
      <c r="G1049" s="10" t="inlineStr">
        <is>
          <t>Basic</t>
        </is>
      </c>
      <c r="H1049" s="10" t="n">
        <v>1</v>
      </c>
      <c r="I1049" s="10" t="n">
        <v>0</v>
      </c>
      <c r="J1049" s="10" t="n">
        <v>0</v>
      </c>
      <c r="K1049" s="10" t="n">
        <v>0</v>
      </c>
      <c r="L1049" s="10" t="n">
        <v>0</v>
      </c>
      <c r="M1049" s="10" t="n">
        <v>0</v>
      </c>
      <c r="N1049" s="10" t="n">
        <v>0</v>
      </c>
      <c r="P1049" s="10" t="n">
        <v>63.1</v>
      </c>
      <c r="Q1049" s="10">
        <f>A1049&amp;"|"&amp;B1049&amp;"|"&amp;C1049&amp;"|"&amp;D1049&amp;"|"&amp;E1049&amp;"|"&amp;F1049&amp;"|"&amp;G1049&amp;"|"&amp;H1049&amp;"|"&amp;I1049&amp;"|"&amp;J1049&amp;"|"&amp;K1049&amp;"|"&amp;L1049&amp;"|"&amp;M1049&amp;"|"&amp;N1049&amp;"|"&amp;O1049&amp;"|"&amp;P1049</f>
        <v/>
      </c>
      <c r="R1049" s="10">
        <f>IF(COUNTIF($Q$2:$Q$1409,Q1049)&gt;1,IF(COUNTIF($Q$2:Q1049,Q1049)=1,"Exact Duplicate - Keep First","Exact Duplicate - Remove"),"Unique")</f>
        <v/>
      </c>
    </row>
    <row r="1050" ht="15" customHeight="1" s="11">
      <c r="A1050" s="10" t="inlineStr">
        <is>
          <t>USR-101049</t>
        </is>
      </c>
      <c r="B1050" s="14" t="n">
        <v>45766</v>
      </c>
      <c r="C1050" s="10" t="inlineStr">
        <is>
          <t>Treatment</t>
        </is>
      </c>
      <c r="D1050" s="10" t="inlineStr">
        <is>
          <t>West</t>
        </is>
      </c>
      <c r="E1050" s="10" t="inlineStr">
        <is>
          <t>Desktop</t>
        </is>
      </c>
      <c r="F1050" s="10" t="inlineStr">
        <is>
          <t>Social</t>
        </is>
      </c>
      <c r="G1050" s="10" t="inlineStr">
        <is>
          <t>Free</t>
        </is>
      </c>
      <c r="H1050" s="10" t="n">
        <v>1</v>
      </c>
      <c r="I1050" s="10" t="n">
        <v>0</v>
      </c>
      <c r="J1050" s="10" t="n">
        <v>0</v>
      </c>
      <c r="K1050" s="10" t="n">
        <v>0</v>
      </c>
      <c r="L1050" s="10" t="n">
        <v>0</v>
      </c>
      <c r="M1050" s="10" t="n">
        <v>0</v>
      </c>
      <c r="N1050" s="10" t="n">
        <v>0</v>
      </c>
      <c r="P1050" s="10" t="n">
        <v>75.8</v>
      </c>
      <c r="Q1050" s="10">
        <f>A1050&amp;"|"&amp;B1050&amp;"|"&amp;C1050&amp;"|"&amp;D1050&amp;"|"&amp;E1050&amp;"|"&amp;F1050&amp;"|"&amp;G1050&amp;"|"&amp;H1050&amp;"|"&amp;I1050&amp;"|"&amp;J1050&amp;"|"&amp;K1050&amp;"|"&amp;L1050&amp;"|"&amp;M1050&amp;"|"&amp;N1050&amp;"|"&amp;O1050&amp;"|"&amp;P1050</f>
        <v/>
      </c>
      <c r="R1050" s="10">
        <f>IF(COUNTIF($Q$2:$Q$1409,Q1050)&gt;1,IF(COUNTIF($Q$2:Q1050,Q1050)=1,"Exact Duplicate - Keep First","Exact Duplicate - Remove"),"Unique")</f>
        <v/>
      </c>
    </row>
    <row r="1051" ht="15" customHeight="1" s="11">
      <c r="A1051" s="10" t="inlineStr">
        <is>
          <t>USR-101050</t>
        </is>
      </c>
      <c r="B1051" s="14" t="n">
        <v>45738</v>
      </c>
      <c r="C1051" s="10" t="inlineStr">
        <is>
          <t>Treatment</t>
        </is>
      </c>
      <c r="D1051" s="10" t="inlineStr">
        <is>
          <t>South</t>
        </is>
      </c>
      <c r="E1051" s="10" t="inlineStr">
        <is>
          <t>Mobile</t>
        </is>
      </c>
      <c r="F1051" s="10" t="inlineStr">
        <is>
          <t>Paid Search</t>
        </is>
      </c>
      <c r="G1051" s="10" t="inlineStr">
        <is>
          <t>Free</t>
        </is>
      </c>
      <c r="H1051" s="10" t="n">
        <v>1</v>
      </c>
      <c r="I1051" s="10" t="n">
        <v>1</v>
      </c>
      <c r="J1051" s="10" t="n">
        <v>0</v>
      </c>
      <c r="K1051" s="10" t="n">
        <v>0</v>
      </c>
      <c r="L1051" s="10" t="n">
        <v>0</v>
      </c>
      <c r="M1051" s="10" t="n">
        <v>1</v>
      </c>
      <c r="N1051" s="10" t="n">
        <v>0</v>
      </c>
      <c r="P1051" s="10" t="n">
        <v>43.8</v>
      </c>
      <c r="Q1051" s="10">
        <f>A1051&amp;"|"&amp;B1051&amp;"|"&amp;C1051&amp;"|"&amp;D1051&amp;"|"&amp;E1051&amp;"|"&amp;F1051&amp;"|"&amp;G1051&amp;"|"&amp;H1051&amp;"|"&amp;I1051&amp;"|"&amp;J1051&amp;"|"&amp;K1051&amp;"|"&amp;L1051&amp;"|"&amp;M1051&amp;"|"&amp;N1051&amp;"|"&amp;O1051&amp;"|"&amp;P1051</f>
        <v/>
      </c>
      <c r="R1051" s="10">
        <f>IF(COUNTIF($Q$2:$Q$1409,Q1051)&gt;1,IF(COUNTIF($Q$2:Q1051,Q1051)=1,"Exact Duplicate - Keep First","Exact Duplicate - Remove"),"Unique")</f>
        <v/>
      </c>
    </row>
    <row r="1052" ht="15" customHeight="1" s="11">
      <c r="A1052" s="10" t="inlineStr">
        <is>
          <t>USR-101051</t>
        </is>
      </c>
      <c r="B1052" s="14" t="n">
        <v>45716</v>
      </c>
      <c r="C1052" s="10" t="inlineStr">
        <is>
          <t>Treatment</t>
        </is>
      </c>
      <c r="D1052" s="10" t="inlineStr">
        <is>
          <t>North</t>
        </is>
      </c>
      <c r="E1052" s="10" t="inlineStr">
        <is>
          <t>Mobile</t>
        </is>
      </c>
      <c r="F1052" s="10" t="inlineStr">
        <is>
          <t>Email</t>
        </is>
      </c>
      <c r="G1052" s="10" t="inlineStr">
        <is>
          <t>Basic</t>
        </is>
      </c>
      <c r="H1052" s="10" t="n">
        <v>1</v>
      </c>
      <c r="I1052" s="10" t="n">
        <v>1</v>
      </c>
      <c r="J1052" s="10" t="n">
        <v>0</v>
      </c>
      <c r="K1052" s="10" t="n">
        <v>0</v>
      </c>
      <c r="L1052" s="10" t="n">
        <v>0</v>
      </c>
      <c r="M1052" s="10" t="n">
        <v>0</v>
      </c>
      <c r="N1052" s="10" t="n">
        <v>0</v>
      </c>
      <c r="P1052" s="10" t="n">
        <v>46.8</v>
      </c>
      <c r="Q1052" s="10">
        <f>A1052&amp;"|"&amp;B1052&amp;"|"&amp;C1052&amp;"|"&amp;D1052&amp;"|"&amp;E1052&amp;"|"&amp;F1052&amp;"|"&amp;G1052&amp;"|"&amp;H1052&amp;"|"&amp;I1052&amp;"|"&amp;J1052&amp;"|"&amp;K1052&amp;"|"&amp;L1052&amp;"|"&amp;M1052&amp;"|"&amp;N1052&amp;"|"&amp;O1052&amp;"|"&amp;P1052</f>
        <v/>
      </c>
      <c r="R1052" s="10">
        <f>IF(COUNTIF($Q$2:$Q$1409,Q1052)&gt;1,IF(COUNTIF($Q$2:Q1052,Q1052)=1,"Exact Duplicate - Keep First","Exact Duplicate - Remove"),"Unique")</f>
        <v/>
      </c>
    </row>
    <row r="1053" ht="15" customHeight="1" s="11">
      <c r="A1053" s="10" t="inlineStr">
        <is>
          <t>USR-101052</t>
        </is>
      </c>
      <c r="B1053" s="14" t="n">
        <v>45801</v>
      </c>
      <c r="C1053" s="10" t="inlineStr">
        <is>
          <t>Treatment</t>
        </is>
      </c>
      <c r="D1053" s="10" t="inlineStr">
        <is>
          <t>East</t>
        </is>
      </c>
      <c r="E1053" s="10" t="inlineStr">
        <is>
          <t>Mobile</t>
        </is>
      </c>
      <c r="F1053" s="10" t="inlineStr">
        <is>
          <t>Social</t>
        </is>
      </c>
      <c r="G1053" s="10" t="inlineStr">
        <is>
          <t>Free</t>
        </is>
      </c>
      <c r="H1053" s="10" t="n">
        <v>1</v>
      </c>
      <c r="I1053" s="10" t="n">
        <v>1</v>
      </c>
      <c r="J1053" s="10" t="n">
        <v>1</v>
      </c>
      <c r="K1053" s="10" t="n">
        <v>0</v>
      </c>
      <c r="L1053" s="10" t="n">
        <v>0</v>
      </c>
      <c r="M1053" s="10" t="n">
        <v>0</v>
      </c>
      <c r="N1053" s="10" t="n">
        <v>0</v>
      </c>
      <c r="P1053" s="10" t="n">
        <v>97.40000000000001</v>
      </c>
      <c r="Q1053" s="10">
        <f>A1053&amp;"|"&amp;B1053&amp;"|"&amp;C1053&amp;"|"&amp;D1053&amp;"|"&amp;E1053&amp;"|"&amp;F1053&amp;"|"&amp;G1053&amp;"|"&amp;H1053&amp;"|"&amp;I1053&amp;"|"&amp;J1053&amp;"|"&amp;K1053&amp;"|"&amp;L1053&amp;"|"&amp;M1053&amp;"|"&amp;N1053&amp;"|"&amp;O1053&amp;"|"&amp;P1053</f>
        <v/>
      </c>
      <c r="R1053" s="10">
        <f>IF(COUNTIF($Q$2:$Q$1409,Q1053)&gt;1,IF(COUNTIF($Q$2:Q1053,Q1053)=1,"Exact Duplicate - Keep First","Exact Duplicate - Remove"),"Unique")</f>
        <v/>
      </c>
    </row>
    <row r="1054" ht="15" customHeight="1" s="11">
      <c r="A1054" s="10" t="inlineStr">
        <is>
          <t>USR-101053</t>
        </is>
      </c>
      <c r="B1054" s="14" t="n">
        <v>45691</v>
      </c>
      <c r="C1054" s="10" t="inlineStr">
        <is>
          <t>Treatment</t>
        </is>
      </c>
      <c r="D1054" s="10" t="inlineStr">
        <is>
          <t>North</t>
        </is>
      </c>
      <c r="E1054" s="10" t="inlineStr">
        <is>
          <t>Desktop</t>
        </is>
      </c>
      <c r="F1054" s="10" t="inlineStr">
        <is>
          <t>Email</t>
        </is>
      </c>
      <c r="G1054" s="10" t="inlineStr">
        <is>
          <t>Free</t>
        </is>
      </c>
      <c r="H1054" s="10" t="n">
        <v>1</v>
      </c>
      <c r="I1054" s="10" t="n">
        <v>1</v>
      </c>
      <c r="J1054" s="10" t="n">
        <v>1</v>
      </c>
      <c r="K1054" s="10" t="n">
        <v>1</v>
      </c>
      <c r="L1054" s="10" t="n">
        <v>268.96</v>
      </c>
      <c r="M1054" s="10" t="n">
        <v>0</v>
      </c>
      <c r="N1054" s="10" t="n">
        <v>0</v>
      </c>
      <c r="O1054" s="10" t="n">
        <v>14</v>
      </c>
      <c r="P1054" s="10" t="n">
        <v>81</v>
      </c>
      <c r="Q1054" s="10">
        <f>A1054&amp;"|"&amp;B1054&amp;"|"&amp;C1054&amp;"|"&amp;D1054&amp;"|"&amp;E1054&amp;"|"&amp;F1054&amp;"|"&amp;G1054&amp;"|"&amp;H1054&amp;"|"&amp;I1054&amp;"|"&amp;J1054&amp;"|"&amp;K1054&amp;"|"&amp;L1054&amp;"|"&amp;M1054&amp;"|"&amp;N1054&amp;"|"&amp;O1054&amp;"|"&amp;P1054</f>
        <v/>
      </c>
      <c r="R1054" s="10">
        <f>IF(COUNTIF($Q$2:$Q$1409,Q1054)&gt;1,IF(COUNTIF($Q$2:Q1054,Q1054)=1,"Exact Duplicate - Keep First","Exact Duplicate - Remove"),"Unique")</f>
        <v/>
      </c>
    </row>
    <row r="1055" ht="15" customHeight="1" s="11">
      <c r="A1055" s="10" t="inlineStr">
        <is>
          <t>USR-101054</t>
        </is>
      </c>
      <c r="B1055" s="14" t="n">
        <v>45684</v>
      </c>
      <c r="C1055" s="10" t="inlineStr">
        <is>
          <t>Treatment</t>
        </is>
      </c>
      <c r="D1055" s="10" t="inlineStr">
        <is>
          <t>South</t>
        </is>
      </c>
      <c r="E1055" s="10" t="inlineStr">
        <is>
          <t>Mobile</t>
        </is>
      </c>
      <c r="F1055" s="10" t="inlineStr">
        <is>
          <t>Organic</t>
        </is>
      </c>
      <c r="G1055" s="10" t="inlineStr">
        <is>
          <t>Free</t>
        </is>
      </c>
      <c r="H1055" s="10" t="n">
        <v>1</v>
      </c>
      <c r="I1055" s="10" t="n">
        <v>0</v>
      </c>
      <c r="J1055" s="10" t="n">
        <v>0</v>
      </c>
      <c r="K1055" s="10" t="n">
        <v>0</v>
      </c>
      <c r="L1055" s="10" t="n">
        <v>0</v>
      </c>
      <c r="M1055" s="10" t="n">
        <v>1</v>
      </c>
      <c r="N1055" s="10" t="n">
        <v>0</v>
      </c>
      <c r="P1055" s="10" t="n">
        <v>58.9</v>
      </c>
      <c r="Q1055" s="10">
        <f>A1055&amp;"|"&amp;B1055&amp;"|"&amp;C1055&amp;"|"&amp;D1055&amp;"|"&amp;E1055&amp;"|"&amp;F1055&amp;"|"&amp;G1055&amp;"|"&amp;H1055&amp;"|"&amp;I1055&amp;"|"&amp;J1055&amp;"|"&amp;K1055&amp;"|"&amp;L1055&amp;"|"&amp;M1055&amp;"|"&amp;N1055&amp;"|"&amp;O1055&amp;"|"&amp;P1055</f>
        <v/>
      </c>
      <c r="R1055" s="10">
        <f>IF(COUNTIF($Q$2:$Q$1409,Q1055)&gt;1,IF(COUNTIF($Q$2:Q1055,Q1055)=1,"Exact Duplicate - Keep First","Exact Duplicate - Remove"),"Unique")</f>
        <v/>
      </c>
    </row>
    <row r="1056" ht="15" customHeight="1" s="11">
      <c r="A1056" s="10" t="inlineStr">
        <is>
          <t>USR-101055</t>
        </is>
      </c>
      <c r="B1056" s="14" t="n">
        <v>45764</v>
      </c>
      <c r="C1056" s="10" t="inlineStr">
        <is>
          <t>Treatment</t>
        </is>
      </c>
      <c r="D1056" s="10" t="inlineStr">
        <is>
          <t>East</t>
        </is>
      </c>
      <c r="E1056" s="10" t="inlineStr">
        <is>
          <t>Mobile</t>
        </is>
      </c>
      <c r="F1056" s="10" t="inlineStr">
        <is>
          <t>Organic</t>
        </is>
      </c>
      <c r="G1056" s="10" t="inlineStr">
        <is>
          <t>Free</t>
        </is>
      </c>
      <c r="H1056" s="10" t="n">
        <v>1</v>
      </c>
      <c r="I1056" s="10" t="n">
        <v>0</v>
      </c>
      <c r="J1056" s="10" t="n">
        <v>0</v>
      </c>
      <c r="K1056" s="10" t="n">
        <v>0</v>
      </c>
      <c r="L1056" s="10" t="n">
        <v>0</v>
      </c>
      <c r="M1056" s="10" t="n">
        <v>0</v>
      </c>
      <c r="N1056" s="10" t="n">
        <v>0</v>
      </c>
      <c r="P1056" s="10" t="n">
        <v>51.9</v>
      </c>
      <c r="Q1056" s="10">
        <f>A1056&amp;"|"&amp;B1056&amp;"|"&amp;C1056&amp;"|"&amp;D1056&amp;"|"&amp;E1056&amp;"|"&amp;F1056&amp;"|"&amp;G1056&amp;"|"&amp;H1056&amp;"|"&amp;I1056&amp;"|"&amp;J1056&amp;"|"&amp;K1056&amp;"|"&amp;L1056&amp;"|"&amp;M1056&amp;"|"&amp;N1056&amp;"|"&amp;O1056&amp;"|"&amp;P1056</f>
        <v/>
      </c>
      <c r="R1056" s="10">
        <f>IF(COUNTIF($Q$2:$Q$1409,Q1056)&gt;1,IF(COUNTIF($Q$2:Q1056,Q1056)=1,"Exact Duplicate - Keep First","Exact Duplicate - Remove"),"Unique")</f>
        <v/>
      </c>
    </row>
    <row r="1057" ht="15" customHeight="1" s="11">
      <c r="A1057" s="10" t="inlineStr">
        <is>
          <t>USR-101056</t>
        </is>
      </c>
      <c r="B1057" s="14" t="n">
        <v>45694</v>
      </c>
      <c r="C1057" s="10" t="inlineStr">
        <is>
          <t>Treatment</t>
        </is>
      </c>
      <c r="D1057" s="10" t="inlineStr">
        <is>
          <t>West</t>
        </is>
      </c>
      <c r="E1057" s="10" t="inlineStr">
        <is>
          <t>Mobile</t>
        </is>
      </c>
      <c r="F1057" s="10" t="inlineStr">
        <is>
          <t>Social</t>
        </is>
      </c>
      <c r="G1057" s="10" t="inlineStr">
        <is>
          <t>Free</t>
        </is>
      </c>
      <c r="H1057" s="10" t="n">
        <v>1</v>
      </c>
      <c r="I1057" s="10" t="n">
        <v>1</v>
      </c>
      <c r="J1057" s="10" t="n">
        <v>0</v>
      </c>
      <c r="K1057" s="10" t="n">
        <v>0</v>
      </c>
      <c r="L1057" s="10" t="n">
        <v>0</v>
      </c>
      <c r="M1057" s="10" t="n">
        <v>0</v>
      </c>
      <c r="N1057" s="10" t="n">
        <v>0</v>
      </c>
      <c r="P1057" s="10" t="n">
        <v>61.7</v>
      </c>
      <c r="Q1057" s="10">
        <f>A1057&amp;"|"&amp;B1057&amp;"|"&amp;C1057&amp;"|"&amp;D1057&amp;"|"&amp;E1057&amp;"|"&amp;F1057&amp;"|"&amp;G1057&amp;"|"&amp;H1057&amp;"|"&amp;I1057&amp;"|"&amp;J1057&amp;"|"&amp;K1057&amp;"|"&amp;L1057&amp;"|"&amp;M1057&amp;"|"&amp;N1057&amp;"|"&amp;O1057&amp;"|"&amp;P1057</f>
        <v/>
      </c>
      <c r="R1057" s="10">
        <f>IF(COUNTIF($Q$2:$Q$1409,Q1057)&gt;1,IF(COUNTIF($Q$2:Q1057,Q1057)=1,"Exact Duplicate - Keep First","Exact Duplicate - Remove"),"Unique")</f>
        <v/>
      </c>
    </row>
    <row r="1058" ht="15" customHeight="1" s="11">
      <c r="A1058" s="10" t="inlineStr">
        <is>
          <t>USR-101057</t>
        </is>
      </c>
      <c r="B1058" s="14" t="n">
        <v>45767</v>
      </c>
      <c r="C1058" s="10" t="inlineStr">
        <is>
          <t>Treatment</t>
        </is>
      </c>
      <c r="D1058" s="10" t="inlineStr">
        <is>
          <t>South</t>
        </is>
      </c>
      <c r="E1058" s="10" t="inlineStr">
        <is>
          <t>Mobile</t>
        </is>
      </c>
      <c r="F1058" s="10" t="inlineStr">
        <is>
          <t>Paid Search</t>
        </is>
      </c>
      <c r="G1058" s="10" t="inlineStr">
        <is>
          <t>Free</t>
        </is>
      </c>
      <c r="H1058" s="10" t="n">
        <v>1</v>
      </c>
      <c r="I1058" s="10" t="n">
        <v>0</v>
      </c>
      <c r="J1058" s="10" t="n">
        <v>0</v>
      </c>
      <c r="K1058" s="10" t="n">
        <v>0</v>
      </c>
      <c r="L1058" s="10" t="n">
        <v>0</v>
      </c>
      <c r="M1058" s="10" t="n">
        <v>0</v>
      </c>
      <c r="N1058" s="10" t="n">
        <v>0</v>
      </c>
      <c r="P1058" s="10" t="n">
        <v>44.7</v>
      </c>
      <c r="Q1058" s="10">
        <f>A1058&amp;"|"&amp;B1058&amp;"|"&amp;C1058&amp;"|"&amp;D1058&amp;"|"&amp;E1058&amp;"|"&amp;F1058&amp;"|"&amp;G1058&amp;"|"&amp;H1058&amp;"|"&amp;I1058&amp;"|"&amp;J1058&amp;"|"&amp;K1058&amp;"|"&amp;L1058&amp;"|"&amp;M1058&amp;"|"&amp;N1058&amp;"|"&amp;O1058&amp;"|"&amp;P1058</f>
        <v/>
      </c>
      <c r="R1058" s="10">
        <f>IF(COUNTIF($Q$2:$Q$1409,Q1058)&gt;1,IF(COUNTIF($Q$2:Q1058,Q1058)=1,"Exact Duplicate - Keep First","Exact Duplicate - Remove"),"Unique")</f>
        <v/>
      </c>
    </row>
    <row r="1059" ht="15" customHeight="1" s="11">
      <c r="A1059" s="10" t="inlineStr">
        <is>
          <t>USR-101058</t>
        </is>
      </c>
      <c r="B1059" s="14" t="n">
        <v>45783</v>
      </c>
      <c r="C1059" s="10" t="inlineStr">
        <is>
          <t>Treatment</t>
        </is>
      </c>
      <c r="D1059" s="10" t="inlineStr">
        <is>
          <t>North</t>
        </is>
      </c>
      <c r="E1059" s="10" t="inlineStr">
        <is>
          <t>Mobile</t>
        </is>
      </c>
      <c r="F1059" s="10" t="inlineStr">
        <is>
          <t>Paid Search</t>
        </is>
      </c>
      <c r="G1059" s="10" t="inlineStr">
        <is>
          <t>Basic</t>
        </is>
      </c>
      <c r="H1059" s="10" t="n">
        <v>0</v>
      </c>
      <c r="I1059" s="10" t="n">
        <v>0</v>
      </c>
      <c r="J1059" s="10" t="n">
        <v>0</v>
      </c>
      <c r="K1059" s="10" t="n">
        <v>0</v>
      </c>
      <c r="L1059" s="10" t="n">
        <v>0</v>
      </c>
      <c r="M1059" s="10" t="n">
        <v>0</v>
      </c>
      <c r="N1059" s="10" t="n">
        <v>0</v>
      </c>
      <c r="P1059" s="10" t="n">
        <v>63.2</v>
      </c>
      <c r="Q1059" s="10">
        <f>A1059&amp;"|"&amp;B1059&amp;"|"&amp;C1059&amp;"|"&amp;D1059&amp;"|"&amp;E1059&amp;"|"&amp;F1059&amp;"|"&amp;G1059&amp;"|"&amp;H1059&amp;"|"&amp;I1059&amp;"|"&amp;J1059&amp;"|"&amp;K1059&amp;"|"&amp;L1059&amp;"|"&amp;M1059&amp;"|"&amp;N1059&amp;"|"&amp;O1059&amp;"|"&amp;P1059</f>
        <v/>
      </c>
      <c r="R1059" s="10">
        <f>IF(COUNTIF($Q$2:$Q$1409,Q1059)&gt;1,IF(COUNTIF($Q$2:Q1059,Q1059)=1,"Exact Duplicate - Keep First","Exact Duplicate - Remove"),"Unique")</f>
        <v/>
      </c>
    </row>
    <row r="1060" ht="15" customHeight="1" s="11">
      <c r="A1060" s="10" t="inlineStr">
        <is>
          <t>USR-101059</t>
        </is>
      </c>
      <c r="B1060" s="14" t="n">
        <v>45793</v>
      </c>
      <c r="C1060" s="10" t="inlineStr">
        <is>
          <t>Treatment</t>
        </is>
      </c>
      <c r="D1060" s="10" t="inlineStr">
        <is>
          <t>South</t>
        </is>
      </c>
      <c r="E1060" s="10" t="inlineStr">
        <is>
          <t>Mobile</t>
        </is>
      </c>
      <c r="F1060" s="10" t="inlineStr">
        <is>
          <t>Organic</t>
        </is>
      </c>
      <c r="G1060" s="10" t="inlineStr">
        <is>
          <t>Free</t>
        </is>
      </c>
      <c r="H1060" s="10" t="n">
        <v>1</v>
      </c>
      <c r="I1060" s="10" t="n">
        <v>0</v>
      </c>
      <c r="J1060" s="10" t="n">
        <v>0</v>
      </c>
      <c r="K1060" s="10" t="n">
        <v>0</v>
      </c>
      <c r="L1060" s="10" t="n">
        <v>0</v>
      </c>
      <c r="M1060" s="10" t="n">
        <v>0</v>
      </c>
      <c r="N1060" s="10" t="n">
        <v>0</v>
      </c>
      <c r="P1060" s="10" t="n">
        <v>70.3</v>
      </c>
      <c r="Q1060" s="10">
        <f>A1060&amp;"|"&amp;B1060&amp;"|"&amp;C1060&amp;"|"&amp;D1060&amp;"|"&amp;E1060&amp;"|"&amp;F1060&amp;"|"&amp;G1060&amp;"|"&amp;H1060&amp;"|"&amp;I1060&amp;"|"&amp;J1060&amp;"|"&amp;K1060&amp;"|"&amp;L1060&amp;"|"&amp;M1060&amp;"|"&amp;N1060&amp;"|"&amp;O1060&amp;"|"&amp;P1060</f>
        <v/>
      </c>
      <c r="R1060" s="10">
        <f>IF(COUNTIF($Q$2:$Q$1409,Q1060)&gt;1,IF(COUNTIF($Q$2:Q1060,Q1060)=1,"Exact Duplicate - Keep First","Exact Duplicate - Remove"),"Unique")</f>
        <v/>
      </c>
    </row>
    <row r="1061" ht="15" customHeight="1" s="11">
      <c r="A1061" s="10" t="inlineStr">
        <is>
          <t>USR-101060</t>
        </is>
      </c>
      <c r="B1061" s="14" t="n">
        <v>45718</v>
      </c>
      <c r="C1061" s="10" t="inlineStr">
        <is>
          <t>Treatment</t>
        </is>
      </c>
      <c r="D1061" s="10" t="inlineStr">
        <is>
          <t>South</t>
        </is>
      </c>
      <c r="E1061" s="10" t="inlineStr">
        <is>
          <t>Mobile</t>
        </is>
      </c>
      <c r="F1061" s="10" t="inlineStr">
        <is>
          <t>Paid Search</t>
        </is>
      </c>
      <c r="G1061" s="10" t="inlineStr">
        <is>
          <t>Premium</t>
        </is>
      </c>
      <c r="H1061" s="10" t="n">
        <v>1</v>
      </c>
      <c r="I1061" s="10" t="n">
        <v>1</v>
      </c>
      <c r="J1061" s="10" t="n">
        <v>0</v>
      </c>
      <c r="K1061" s="10" t="n">
        <v>0</v>
      </c>
      <c r="L1061" s="10" t="n">
        <v>0</v>
      </c>
      <c r="M1061" s="10" t="n">
        <v>1</v>
      </c>
      <c r="N1061" s="10" t="n">
        <v>0</v>
      </c>
      <c r="P1061" s="10" t="n">
        <v>83.09999999999999</v>
      </c>
      <c r="Q1061" s="10">
        <f>A1061&amp;"|"&amp;B1061&amp;"|"&amp;C1061&amp;"|"&amp;D1061&amp;"|"&amp;E1061&amp;"|"&amp;F1061&amp;"|"&amp;G1061&amp;"|"&amp;H1061&amp;"|"&amp;I1061&amp;"|"&amp;J1061&amp;"|"&amp;K1061&amp;"|"&amp;L1061&amp;"|"&amp;M1061&amp;"|"&amp;N1061&amp;"|"&amp;O1061&amp;"|"&amp;P1061</f>
        <v/>
      </c>
      <c r="R1061" s="10">
        <f>IF(COUNTIF($Q$2:$Q$1409,Q1061)&gt;1,IF(COUNTIF($Q$2:Q1061,Q1061)=1,"Exact Duplicate - Keep First","Exact Duplicate - Remove"),"Unique")</f>
        <v/>
      </c>
    </row>
    <row r="1062" ht="15" customHeight="1" s="11">
      <c r="A1062" s="10" t="inlineStr">
        <is>
          <t>USR-101061</t>
        </is>
      </c>
      <c r="B1062" s="14" t="n">
        <v>45756</v>
      </c>
      <c r="C1062" s="10" t="inlineStr">
        <is>
          <t>Treatment</t>
        </is>
      </c>
      <c r="D1062" s="10" t="inlineStr">
        <is>
          <t>West</t>
        </is>
      </c>
      <c r="E1062" s="10" t="inlineStr">
        <is>
          <t>Mobile</t>
        </is>
      </c>
      <c r="F1062" s="10" t="inlineStr">
        <is>
          <t>Social</t>
        </is>
      </c>
      <c r="G1062" s="10" t="inlineStr">
        <is>
          <t>Free</t>
        </is>
      </c>
      <c r="H1062" s="10" t="n">
        <v>0</v>
      </c>
      <c r="I1062" s="10" t="n">
        <v>0</v>
      </c>
      <c r="J1062" s="10" t="n">
        <v>0</v>
      </c>
      <c r="K1062" s="10" t="n">
        <v>0</v>
      </c>
      <c r="L1062" s="10" t="n">
        <v>0</v>
      </c>
      <c r="M1062" s="10" t="n">
        <v>0</v>
      </c>
      <c r="N1062" s="10" t="n">
        <v>0</v>
      </c>
      <c r="P1062" s="10" t="n">
        <v>50.3</v>
      </c>
      <c r="Q1062" s="10">
        <f>A1062&amp;"|"&amp;B1062&amp;"|"&amp;C1062&amp;"|"&amp;D1062&amp;"|"&amp;E1062&amp;"|"&amp;F1062&amp;"|"&amp;G1062&amp;"|"&amp;H1062&amp;"|"&amp;I1062&amp;"|"&amp;J1062&amp;"|"&amp;K1062&amp;"|"&amp;L1062&amp;"|"&amp;M1062&amp;"|"&amp;N1062&amp;"|"&amp;O1062&amp;"|"&amp;P1062</f>
        <v/>
      </c>
      <c r="R1062" s="10">
        <f>IF(COUNTIF($Q$2:$Q$1409,Q1062)&gt;1,IF(COUNTIF($Q$2:Q1062,Q1062)=1,"Exact Duplicate - Keep First","Exact Duplicate - Remove"),"Unique")</f>
        <v/>
      </c>
    </row>
    <row r="1063" ht="15" customHeight="1" s="11">
      <c r="A1063" s="10" t="inlineStr">
        <is>
          <t>USR-101062</t>
        </is>
      </c>
      <c r="B1063" s="14" t="n">
        <v>45683</v>
      </c>
      <c r="C1063" s="10" t="inlineStr">
        <is>
          <t>Treatment</t>
        </is>
      </c>
      <c r="D1063" s="10" t="inlineStr">
        <is>
          <t>East</t>
        </is>
      </c>
      <c r="E1063" s="10" t="inlineStr">
        <is>
          <t>Mobile</t>
        </is>
      </c>
      <c r="F1063" s="10" t="inlineStr">
        <is>
          <t>Paid Search</t>
        </is>
      </c>
      <c r="G1063" s="10" t="inlineStr">
        <is>
          <t>Free</t>
        </is>
      </c>
      <c r="H1063" s="10" t="n">
        <v>1</v>
      </c>
      <c r="I1063" s="10" t="n">
        <v>1</v>
      </c>
      <c r="J1063" s="10" t="n">
        <v>1</v>
      </c>
      <c r="K1063" s="10" t="n">
        <v>1</v>
      </c>
      <c r="L1063" s="10" t="n">
        <v>437.09</v>
      </c>
      <c r="M1063" s="10" t="n">
        <v>2</v>
      </c>
      <c r="N1063" s="10" t="n">
        <v>1</v>
      </c>
      <c r="O1063" s="10" t="n">
        <v>1</v>
      </c>
      <c r="P1063" s="10" t="n">
        <v>58.2</v>
      </c>
      <c r="Q1063" s="10">
        <f>A1063&amp;"|"&amp;B1063&amp;"|"&amp;C1063&amp;"|"&amp;D1063&amp;"|"&amp;E1063&amp;"|"&amp;F1063&amp;"|"&amp;G1063&amp;"|"&amp;H1063&amp;"|"&amp;I1063&amp;"|"&amp;J1063&amp;"|"&amp;K1063&amp;"|"&amp;L1063&amp;"|"&amp;M1063&amp;"|"&amp;N1063&amp;"|"&amp;O1063&amp;"|"&amp;P1063</f>
        <v/>
      </c>
      <c r="R1063" s="10">
        <f>IF(COUNTIF($Q$2:$Q$1409,Q1063)&gt;1,IF(COUNTIF($Q$2:Q1063,Q1063)=1,"Exact Duplicate - Keep First","Exact Duplicate - Remove"),"Unique")</f>
        <v/>
      </c>
    </row>
    <row r="1064" ht="15" customHeight="1" s="11">
      <c r="A1064" s="10" t="inlineStr">
        <is>
          <t>USR-101063</t>
        </is>
      </c>
      <c r="B1064" s="14" t="n">
        <v>45713</v>
      </c>
      <c r="C1064" s="10" t="inlineStr">
        <is>
          <t>Treatment</t>
        </is>
      </c>
      <c r="D1064" s="10" t="inlineStr">
        <is>
          <t>South</t>
        </is>
      </c>
      <c r="E1064" s="10" t="inlineStr">
        <is>
          <t>Mobile</t>
        </is>
      </c>
      <c r="F1064" s="10" t="inlineStr">
        <is>
          <t>Paid Search</t>
        </is>
      </c>
      <c r="G1064" s="10" t="inlineStr">
        <is>
          <t>Basic</t>
        </is>
      </c>
      <c r="H1064" s="10" t="n">
        <v>1</v>
      </c>
      <c r="I1064" s="10" t="n">
        <v>1</v>
      </c>
      <c r="J1064" s="10" t="n">
        <v>1</v>
      </c>
      <c r="K1064" s="10" t="n">
        <v>0</v>
      </c>
      <c r="L1064" s="10" t="n">
        <v>0</v>
      </c>
      <c r="M1064" s="10" t="n">
        <v>0</v>
      </c>
      <c r="N1064" s="10" t="n">
        <v>0</v>
      </c>
      <c r="P1064" s="10" t="n">
        <v>53.2</v>
      </c>
      <c r="Q1064" s="10">
        <f>A1064&amp;"|"&amp;B1064&amp;"|"&amp;C1064&amp;"|"&amp;D1064&amp;"|"&amp;E1064&amp;"|"&amp;F1064&amp;"|"&amp;G1064&amp;"|"&amp;H1064&amp;"|"&amp;I1064&amp;"|"&amp;J1064&amp;"|"&amp;K1064&amp;"|"&amp;L1064&amp;"|"&amp;M1064&amp;"|"&amp;N1064&amp;"|"&amp;O1064&amp;"|"&amp;P1064</f>
        <v/>
      </c>
      <c r="R1064" s="10">
        <f>IF(COUNTIF($Q$2:$Q$1409,Q1064)&gt;1,IF(COUNTIF($Q$2:Q1064,Q1064)=1,"Exact Duplicate - Keep First","Exact Duplicate - Remove"),"Unique")</f>
        <v/>
      </c>
    </row>
    <row r="1065" ht="15" customHeight="1" s="11">
      <c r="A1065" s="10" t="inlineStr">
        <is>
          <t>USR-101064</t>
        </is>
      </c>
      <c r="B1065" s="14" t="n">
        <v>45664</v>
      </c>
      <c r="C1065" s="10" t="inlineStr">
        <is>
          <t>Treatment</t>
        </is>
      </c>
      <c r="D1065" s="10" t="inlineStr">
        <is>
          <t>East</t>
        </is>
      </c>
      <c r="E1065" s="10" t="inlineStr">
        <is>
          <t>Mobile</t>
        </is>
      </c>
      <c r="F1065" s="10" t="inlineStr">
        <is>
          <t>Organic</t>
        </is>
      </c>
      <c r="G1065" s="10" t="inlineStr">
        <is>
          <t>Premium</t>
        </is>
      </c>
      <c r="H1065" s="10" t="n">
        <v>0</v>
      </c>
      <c r="I1065" s="10" t="n">
        <v>0</v>
      </c>
      <c r="J1065" s="10" t="n">
        <v>0</v>
      </c>
      <c r="K1065" s="10" t="n">
        <v>0</v>
      </c>
      <c r="L1065" s="10" t="n">
        <v>0</v>
      </c>
      <c r="M1065" s="10" t="n">
        <v>0</v>
      </c>
      <c r="N1065" s="10" t="n">
        <v>0</v>
      </c>
      <c r="P1065" s="10" t="n">
        <v>36.4</v>
      </c>
      <c r="Q1065" s="10">
        <f>A1065&amp;"|"&amp;B1065&amp;"|"&amp;C1065&amp;"|"&amp;D1065&amp;"|"&amp;E1065&amp;"|"&amp;F1065&amp;"|"&amp;G1065&amp;"|"&amp;H1065&amp;"|"&amp;I1065&amp;"|"&amp;J1065&amp;"|"&amp;K1065&amp;"|"&amp;L1065&amp;"|"&amp;M1065&amp;"|"&amp;N1065&amp;"|"&amp;O1065&amp;"|"&amp;P1065</f>
        <v/>
      </c>
      <c r="R1065" s="10">
        <f>IF(COUNTIF($Q$2:$Q$1409,Q1065)&gt;1,IF(COUNTIF($Q$2:Q1065,Q1065)=1,"Exact Duplicate - Keep First","Exact Duplicate - Remove"),"Unique")</f>
        <v/>
      </c>
    </row>
    <row r="1066" ht="15" customHeight="1" s="11">
      <c r="A1066" s="10" t="inlineStr">
        <is>
          <t>USR-101065</t>
        </is>
      </c>
      <c r="B1066" s="14" t="n">
        <v>45724</v>
      </c>
      <c r="C1066" s="10" t="inlineStr">
        <is>
          <t>Treatment</t>
        </is>
      </c>
      <c r="D1066" s="10" t="inlineStr">
        <is>
          <t>South</t>
        </is>
      </c>
      <c r="E1066" s="10" t="inlineStr">
        <is>
          <t>Mobile</t>
        </is>
      </c>
      <c r="F1066" s="10" t="inlineStr">
        <is>
          <t>Social</t>
        </is>
      </c>
      <c r="G1066" s="10" t="inlineStr">
        <is>
          <t>Basic</t>
        </is>
      </c>
      <c r="H1066" s="10" t="n">
        <v>1</v>
      </c>
      <c r="I1066" s="10" t="n">
        <v>1</v>
      </c>
      <c r="J1066" s="10" t="n">
        <v>1</v>
      </c>
      <c r="K1066" s="10" t="n">
        <v>0</v>
      </c>
      <c r="L1066" s="10" t="n">
        <v>0</v>
      </c>
      <c r="M1066" s="10" t="n">
        <v>0</v>
      </c>
      <c r="N1066" s="10" t="n">
        <v>0</v>
      </c>
      <c r="P1066" s="10" t="n">
        <v>72.7</v>
      </c>
      <c r="Q1066" s="10">
        <f>A1066&amp;"|"&amp;B1066&amp;"|"&amp;C1066&amp;"|"&amp;D1066&amp;"|"&amp;E1066&amp;"|"&amp;F1066&amp;"|"&amp;G1066&amp;"|"&amp;H1066&amp;"|"&amp;I1066&amp;"|"&amp;J1066&amp;"|"&amp;K1066&amp;"|"&amp;L1066&amp;"|"&amp;M1066&amp;"|"&amp;N1066&amp;"|"&amp;O1066&amp;"|"&amp;P1066</f>
        <v/>
      </c>
      <c r="R1066" s="10">
        <f>IF(COUNTIF($Q$2:$Q$1409,Q1066)&gt;1,IF(COUNTIF($Q$2:Q1066,Q1066)=1,"Exact Duplicate - Keep First","Exact Duplicate - Remove"),"Unique")</f>
        <v/>
      </c>
    </row>
    <row r="1067" ht="15" customHeight="1" s="11">
      <c r="A1067" s="10" t="inlineStr">
        <is>
          <t>USR-101066</t>
        </is>
      </c>
      <c r="B1067" s="14" t="n">
        <v>45799</v>
      </c>
      <c r="C1067" s="10" t="inlineStr">
        <is>
          <t>Treatment</t>
        </is>
      </c>
      <c r="D1067" s="10" t="inlineStr">
        <is>
          <t>East</t>
        </is>
      </c>
      <c r="E1067" s="10" t="inlineStr">
        <is>
          <t>Mobile</t>
        </is>
      </c>
      <c r="F1067" s="10" t="inlineStr">
        <is>
          <t>Referral</t>
        </is>
      </c>
      <c r="G1067" s="10" t="inlineStr">
        <is>
          <t>Free</t>
        </is>
      </c>
      <c r="H1067" s="10" t="n">
        <v>1</v>
      </c>
      <c r="I1067" s="10" t="n">
        <v>0</v>
      </c>
      <c r="J1067" s="10" t="n">
        <v>0</v>
      </c>
      <c r="K1067" s="10" t="n">
        <v>0</v>
      </c>
      <c r="L1067" s="10" t="n">
        <v>0</v>
      </c>
      <c r="M1067" s="10" t="n">
        <v>1</v>
      </c>
      <c r="N1067" s="10" t="n">
        <v>0</v>
      </c>
      <c r="P1067" s="10" t="n">
        <v>86.7</v>
      </c>
      <c r="Q1067" s="10">
        <f>A1067&amp;"|"&amp;B1067&amp;"|"&amp;C1067&amp;"|"&amp;D1067&amp;"|"&amp;E1067&amp;"|"&amp;F1067&amp;"|"&amp;G1067&amp;"|"&amp;H1067&amp;"|"&amp;I1067&amp;"|"&amp;J1067&amp;"|"&amp;K1067&amp;"|"&amp;L1067&amp;"|"&amp;M1067&amp;"|"&amp;N1067&amp;"|"&amp;O1067&amp;"|"&amp;P1067</f>
        <v/>
      </c>
      <c r="R1067" s="10">
        <f>IF(COUNTIF($Q$2:$Q$1409,Q1067)&gt;1,IF(COUNTIF($Q$2:Q1067,Q1067)=1,"Exact Duplicate - Keep First","Exact Duplicate - Remove"),"Unique")</f>
        <v/>
      </c>
    </row>
    <row r="1068" ht="15" customHeight="1" s="11">
      <c r="A1068" s="10" t="inlineStr">
        <is>
          <t>USR-101067</t>
        </is>
      </c>
      <c r="B1068" s="14" t="n">
        <v>45765</v>
      </c>
      <c r="C1068" s="10" t="inlineStr">
        <is>
          <t>Treatment</t>
        </is>
      </c>
      <c r="D1068" s="10" t="inlineStr">
        <is>
          <t>East</t>
        </is>
      </c>
      <c r="E1068" s="10" t="inlineStr">
        <is>
          <t>Mobile</t>
        </is>
      </c>
      <c r="F1068" s="10" t="inlineStr">
        <is>
          <t>Paid Search</t>
        </is>
      </c>
      <c r="G1068" s="10" t="inlineStr">
        <is>
          <t>Premium</t>
        </is>
      </c>
      <c r="H1068" s="10" t="n">
        <v>1</v>
      </c>
      <c r="I1068" s="10" t="n">
        <v>0</v>
      </c>
      <c r="J1068" s="10" t="n">
        <v>0</v>
      </c>
      <c r="K1068" s="10" t="n">
        <v>0</v>
      </c>
      <c r="L1068" s="10" t="n">
        <v>0</v>
      </c>
      <c r="M1068" s="10" t="n">
        <v>0</v>
      </c>
      <c r="N1068" s="10" t="n">
        <v>0</v>
      </c>
      <c r="P1068" s="10" t="n">
        <v>48.2</v>
      </c>
      <c r="Q1068" s="10">
        <f>A1068&amp;"|"&amp;B1068&amp;"|"&amp;C1068&amp;"|"&amp;D1068&amp;"|"&amp;E1068&amp;"|"&amp;F1068&amp;"|"&amp;G1068&amp;"|"&amp;H1068&amp;"|"&amp;I1068&amp;"|"&amp;J1068&amp;"|"&amp;K1068&amp;"|"&amp;L1068&amp;"|"&amp;M1068&amp;"|"&amp;N1068&amp;"|"&amp;O1068&amp;"|"&amp;P1068</f>
        <v/>
      </c>
      <c r="R1068" s="10">
        <f>IF(COUNTIF($Q$2:$Q$1409,Q1068)&gt;1,IF(COUNTIF($Q$2:Q1068,Q1068)=1,"Exact Duplicate - Keep First","Exact Duplicate - Remove"),"Unique")</f>
        <v/>
      </c>
    </row>
    <row r="1069" ht="15" customHeight="1" s="11">
      <c r="A1069" s="10" t="inlineStr">
        <is>
          <t>USR-101068</t>
        </is>
      </c>
      <c r="B1069" s="14" t="n">
        <v>45712</v>
      </c>
      <c r="C1069" s="10" t="inlineStr">
        <is>
          <t>Treatment</t>
        </is>
      </c>
      <c r="D1069" s="10" t="inlineStr">
        <is>
          <t>West</t>
        </is>
      </c>
      <c r="E1069" s="10" t="inlineStr">
        <is>
          <t>Mobile</t>
        </is>
      </c>
      <c r="F1069" s="10" t="inlineStr">
        <is>
          <t>Referral</t>
        </is>
      </c>
      <c r="G1069" s="10" t="inlineStr">
        <is>
          <t>Basic</t>
        </is>
      </c>
      <c r="H1069" s="10" t="n">
        <v>0</v>
      </c>
      <c r="I1069" s="10" t="n">
        <v>0</v>
      </c>
      <c r="J1069" s="10" t="n">
        <v>0</v>
      </c>
      <c r="K1069" s="10" t="n">
        <v>0</v>
      </c>
      <c r="L1069" s="10" t="n">
        <v>0</v>
      </c>
      <c r="M1069" s="10" t="n">
        <v>1</v>
      </c>
      <c r="N1069" s="10" t="n">
        <v>0</v>
      </c>
      <c r="P1069" s="10" t="n">
        <v>57.6</v>
      </c>
      <c r="Q1069" s="10">
        <f>A1069&amp;"|"&amp;B1069&amp;"|"&amp;C1069&amp;"|"&amp;D1069&amp;"|"&amp;E1069&amp;"|"&amp;F1069&amp;"|"&amp;G1069&amp;"|"&amp;H1069&amp;"|"&amp;I1069&amp;"|"&amp;J1069&amp;"|"&amp;K1069&amp;"|"&amp;L1069&amp;"|"&amp;M1069&amp;"|"&amp;N1069&amp;"|"&amp;O1069&amp;"|"&amp;P1069</f>
        <v/>
      </c>
      <c r="R1069" s="10">
        <f>IF(COUNTIF($Q$2:$Q$1409,Q1069)&gt;1,IF(COUNTIF($Q$2:Q1069,Q1069)=1,"Exact Duplicate - Keep First","Exact Duplicate - Remove"),"Unique")</f>
        <v/>
      </c>
    </row>
    <row r="1070" ht="15" customHeight="1" s="11">
      <c r="A1070" s="10" t="inlineStr">
        <is>
          <t>USR-101069</t>
        </is>
      </c>
      <c r="B1070" s="14" t="n">
        <v>45699</v>
      </c>
      <c r="C1070" s="10" t="inlineStr">
        <is>
          <t>Treatment</t>
        </is>
      </c>
      <c r="D1070" s="10" t="inlineStr">
        <is>
          <t>North</t>
        </is>
      </c>
      <c r="E1070" s="10" t="inlineStr">
        <is>
          <t>Mobile</t>
        </is>
      </c>
      <c r="F1070" s="10" t="inlineStr">
        <is>
          <t>Organic</t>
        </is>
      </c>
      <c r="G1070" s="10" t="inlineStr">
        <is>
          <t>Free</t>
        </is>
      </c>
      <c r="H1070" s="10" t="n">
        <v>1</v>
      </c>
      <c r="I1070" s="10" t="n">
        <v>1</v>
      </c>
      <c r="J1070" s="10" t="n">
        <v>1</v>
      </c>
      <c r="K1070" s="10" t="n">
        <v>0</v>
      </c>
      <c r="L1070" s="10" t="n">
        <v>0</v>
      </c>
      <c r="M1070" s="10" t="n">
        <v>0</v>
      </c>
      <c r="N1070" s="10" t="n">
        <v>0</v>
      </c>
      <c r="P1070" s="10" t="n">
        <v>75.7</v>
      </c>
      <c r="Q1070" s="10">
        <f>A1070&amp;"|"&amp;B1070&amp;"|"&amp;C1070&amp;"|"&amp;D1070&amp;"|"&amp;E1070&amp;"|"&amp;F1070&amp;"|"&amp;G1070&amp;"|"&amp;H1070&amp;"|"&amp;I1070&amp;"|"&amp;J1070&amp;"|"&amp;K1070&amp;"|"&amp;L1070&amp;"|"&amp;M1070&amp;"|"&amp;N1070&amp;"|"&amp;O1070&amp;"|"&amp;P1070</f>
        <v/>
      </c>
      <c r="R1070" s="10">
        <f>IF(COUNTIF($Q$2:$Q$1409,Q1070)&gt;1,IF(COUNTIF($Q$2:Q1070,Q1070)=1,"Exact Duplicate - Keep First","Exact Duplicate - Remove"),"Unique")</f>
        <v/>
      </c>
    </row>
    <row r="1071" ht="15" customHeight="1" s="11">
      <c r="A1071" s="10" t="inlineStr">
        <is>
          <t>USR-101070</t>
        </is>
      </c>
      <c r="B1071" s="14" t="n">
        <v>45727</v>
      </c>
      <c r="C1071" s="10" t="inlineStr">
        <is>
          <t>Treatment</t>
        </is>
      </c>
      <c r="D1071" s="10" t="inlineStr">
        <is>
          <t>West</t>
        </is>
      </c>
      <c r="E1071" s="10" t="inlineStr">
        <is>
          <t>Desktop</t>
        </is>
      </c>
      <c r="F1071" s="10" t="inlineStr">
        <is>
          <t>Paid Search</t>
        </is>
      </c>
      <c r="G1071" s="10" t="inlineStr">
        <is>
          <t>Free</t>
        </is>
      </c>
      <c r="H1071" s="10" t="n">
        <v>1</v>
      </c>
      <c r="I1071" s="10" t="n">
        <v>0</v>
      </c>
      <c r="J1071" s="10" t="n">
        <v>0</v>
      </c>
      <c r="K1071" s="10" t="n">
        <v>0</v>
      </c>
      <c r="L1071" s="10" t="n">
        <v>0</v>
      </c>
      <c r="M1071" s="10" t="n">
        <v>2</v>
      </c>
      <c r="N1071" s="10" t="n">
        <v>0</v>
      </c>
      <c r="P1071" s="10" t="n">
        <v>48.6</v>
      </c>
      <c r="Q1071" s="10">
        <f>A1071&amp;"|"&amp;B1071&amp;"|"&amp;C1071&amp;"|"&amp;D1071&amp;"|"&amp;E1071&amp;"|"&amp;F1071&amp;"|"&amp;G1071&amp;"|"&amp;H1071&amp;"|"&amp;I1071&amp;"|"&amp;J1071&amp;"|"&amp;K1071&amp;"|"&amp;L1071&amp;"|"&amp;M1071&amp;"|"&amp;N1071&amp;"|"&amp;O1071&amp;"|"&amp;P1071</f>
        <v/>
      </c>
      <c r="R1071" s="10">
        <f>IF(COUNTIF($Q$2:$Q$1409,Q1071)&gt;1,IF(COUNTIF($Q$2:Q1071,Q1071)=1,"Exact Duplicate - Keep First","Exact Duplicate - Remove"),"Unique")</f>
        <v/>
      </c>
    </row>
    <row r="1072" ht="15" customHeight="1" s="11">
      <c r="A1072" s="10" t="inlineStr">
        <is>
          <t>USR-101071</t>
        </is>
      </c>
      <c r="B1072" s="14" t="n">
        <v>45758</v>
      </c>
      <c r="C1072" s="10" t="inlineStr">
        <is>
          <t>Treatment</t>
        </is>
      </c>
      <c r="D1072" s="10" t="inlineStr">
        <is>
          <t>East</t>
        </is>
      </c>
      <c r="E1072" s="10" t="inlineStr">
        <is>
          <t>Tablet</t>
        </is>
      </c>
      <c r="F1072" s="10" t="inlineStr">
        <is>
          <t>Referral</t>
        </is>
      </c>
      <c r="G1072" s="10" t="inlineStr">
        <is>
          <t>Free</t>
        </is>
      </c>
      <c r="H1072" s="10" t="n">
        <v>1</v>
      </c>
      <c r="I1072" s="10" t="n">
        <v>1</v>
      </c>
      <c r="J1072" s="10" t="n">
        <v>1</v>
      </c>
      <c r="K1072" s="10" t="n">
        <v>0</v>
      </c>
      <c r="L1072" s="10" t="n">
        <v>0</v>
      </c>
      <c r="M1072" s="10" t="n">
        <v>0</v>
      </c>
      <c r="N1072" s="10" t="n">
        <v>0</v>
      </c>
      <c r="P1072" s="10" t="n">
        <v>72</v>
      </c>
      <c r="Q1072" s="10">
        <f>A1072&amp;"|"&amp;B1072&amp;"|"&amp;C1072&amp;"|"&amp;D1072&amp;"|"&amp;E1072&amp;"|"&amp;F1072&amp;"|"&amp;G1072&amp;"|"&amp;H1072&amp;"|"&amp;I1072&amp;"|"&amp;J1072&amp;"|"&amp;K1072&amp;"|"&amp;L1072&amp;"|"&amp;M1072&amp;"|"&amp;N1072&amp;"|"&amp;O1072&amp;"|"&amp;P1072</f>
        <v/>
      </c>
      <c r="R1072" s="10">
        <f>IF(COUNTIF($Q$2:$Q$1409,Q1072)&gt;1,IF(COUNTIF($Q$2:Q1072,Q1072)=1,"Exact Duplicate - Keep First","Exact Duplicate - Remove"),"Unique")</f>
        <v/>
      </c>
    </row>
    <row r="1073" ht="15" customHeight="1" s="11">
      <c r="A1073" s="10" t="inlineStr">
        <is>
          <t>USR-101072</t>
        </is>
      </c>
      <c r="B1073" s="14" t="n">
        <v>45727</v>
      </c>
      <c r="C1073" s="10" t="inlineStr">
        <is>
          <t>Treatment</t>
        </is>
      </c>
      <c r="D1073" s="10" t="inlineStr">
        <is>
          <t>North</t>
        </is>
      </c>
      <c r="E1073" s="10" t="inlineStr">
        <is>
          <t>Mobile</t>
        </is>
      </c>
      <c r="F1073" s="10" t="inlineStr">
        <is>
          <t>Organic</t>
        </is>
      </c>
      <c r="G1073" s="10" t="inlineStr">
        <is>
          <t>Free</t>
        </is>
      </c>
      <c r="H1073" s="10" t="n">
        <v>0</v>
      </c>
      <c r="I1073" s="10" t="n">
        <v>0</v>
      </c>
      <c r="J1073" s="10" t="n">
        <v>0</v>
      </c>
      <c r="K1073" s="10" t="n">
        <v>0</v>
      </c>
      <c r="L1073" s="10" t="n">
        <v>0</v>
      </c>
      <c r="M1073" s="10" t="n">
        <v>0</v>
      </c>
      <c r="N1073" s="10" t="n">
        <v>0</v>
      </c>
      <c r="P1073" s="10" t="n">
        <v>72.2</v>
      </c>
      <c r="Q1073" s="10">
        <f>A1073&amp;"|"&amp;B1073&amp;"|"&amp;C1073&amp;"|"&amp;D1073&amp;"|"&amp;E1073&amp;"|"&amp;F1073&amp;"|"&amp;G1073&amp;"|"&amp;H1073&amp;"|"&amp;I1073&amp;"|"&amp;J1073&amp;"|"&amp;K1073&amp;"|"&amp;L1073&amp;"|"&amp;M1073&amp;"|"&amp;N1073&amp;"|"&amp;O1073&amp;"|"&amp;P1073</f>
        <v/>
      </c>
      <c r="R1073" s="10">
        <f>IF(COUNTIF($Q$2:$Q$1409,Q1073)&gt;1,IF(COUNTIF($Q$2:Q1073,Q1073)=1,"Exact Duplicate - Keep First","Exact Duplicate - Remove"),"Unique")</f>
        <v/>
      </c>
    </row>
    <row r="1074" ht="15" customHeight="1" s="11">
      <c r="A1074" s="10" t="inlineStr">
        <is>
          <t>USR-101073</t>
        </is>
      </c>
      <c r="B1074" s="14" t="n">
        <v>45799</v>
      </c>
      <c r="C1074" s="10" t="inlineStr">
        <is>
          <t>Treatment</t>
        </is>
      </c>
      <c r="D1074" s="10" t="inlineStr">
        <is>
          <t>East</t>
        </is>
      </c>
      <c r="E1074" s="10" t="inlineStr">
        <is>
          <t>Mobile</t>
        </is>
      </c>
      <c r="F1074" s="10" t="inlineStr">
        <is>
          <t>Referral</t>
        </is>
      </c>
      <c r="G1074" s="10" t="inlineStr">
        <is>
          <t>Free</t>
        </is>
      </c>
      <c r="H1074" s="10" t="n">
        <v>1</v>
      </c>
      <c r="I1074" s="10" t="n">
        <v>0</v>
      </c>
      <c r="J1074" s="10" t="n">
        <v>0</v>
      </c>
      <c r="K1074" s="10" t="n">
        <v>0</v>
      </c>
      <c r="L1074" s="10" t="n">
        <v>0</v>
      </c>
      <c r="M1074" s="10" t="n">
        <v>1</v>
      </c>
      <c r="N1074" s="10" t="n">
        <v>0</v>
      </c>
      <c r="Q1074" s="10">
        <f>A1074&amp;"|"&amp;B1074&amp;"|"&amp;C1074&amp;"|"&amp;D1074&amp;"|"&amp;E1074&amp;"|"&amp;F1074&amp;"|"&amp;G1074&amp;"|"&amp;H1074&amp;"|"&amp;I1074&amp;"|"&amp;J1074&amp;"|"&amp;K1074&amp;"|"&amp;L1074&amp;"|"&amp;M1074&amp;"|"&amp;N1074&amp;"|"&amp;O1074&amp;"|"&amp;P1074</f>
        <v/>
      </c>
      <c r="R1074" s="10">
        <f>IF(COUNTIF($Q$2:$Q$1409,Q1074)&gt;1,IF(COUNTIF($Q$2:Q1074,Q1074)=1,"Exact Duplicate - Keep First","Exact Duplicate - Remove"),"Unique")</f>
        <v/>
      </c>
    </row>
    <row r="1075" ht="15" customHeight="1" s="11">
      <c r="A1075" s="10" t="inlineStr">
        <is>
          <t>USR-101074</t>
        </is>
      </c>
      <c r="B1075" s="14" t="n">
        <v>45710</v>
      </c>
      <c r="C1075" s="10" t="inlineStr">
        <is>
          <t>Treatment</t>
        </is>
      </c>
      <c r="D1075" s="10" t="inlineStr">
        <is>
          <t>South</t>
        </is>
      </c>
      <c r="E1075" s="10" t="inlineStr">
        <is>
          <t>Desktop</t>
        </is>
      </c>
      <c r="F1075" s="10" t="inlineStr">
        <is>
          <t>Organic</t>
        </is>
      </c>
      <c r="G1075" s="10" t="inlineStr">
        <is>
          <t>Free</t>
        </is>
      </c>
      <c r="H1075" s="10" t="n">
        <v>1</v>
      </c>
      <c r="I1075" s="10" t="n">
        <v>1</v>
      </c>
      <c r="J1075" s="10" t="n">
        <v>1</v>
      </c>
      <c r="K1075" s="10" t="n">
        <v>1</v>
      </c>
      <c r="L1075" s="10" t="n">
        <v>331.53</v>
      </c>
      <c r="M1075" s="10" t="n">
        <v>2</v>
      </c>
      <c r="N1075" s="10" t="n">
        <v>0</v>
      </c>
      <c r="O1075" s="10" t="n">
        <v>4</v>
      </c>
      <c r="P1075" s="10" t="n">
        <v>56.8</v>
      </c>
      <c r="Q1075" s="10">
        <f>A1075&amp;"|"&amp;B1075&amp;"|"&amp;C1075&amp;"|"&amp;D1075&amp;"|"&amp;E1075&amp;"|"&amp;F1075&amp;"|"&amp;G1075&amp;"|"&amp;H1075&amp;"|"&amp;I1075&amp;"|"&amp;J1075&amp;"|"&amp;K1075&amp;"|"&amp;L1075&amp;"|"&amp;M1075&amp;"|"&amp;N1075&amp;"|"&amp;O1075&amp;"|"&amp;P1075</f>
        <v/>
      </c>
      <c r="R1075" s="10">
        <f>IF(COUNTIF($Q$2:$Q$1409,Q1075)&gt;1,IF(COUNTIF($Q$2:Q1075,Q1075)=1,"Exact Duplicate - Keep First","Exact Duplicate - Remove"),"Unique")</f>
        <v/>
      </c>
    </row>
    <row r="1076" ht="15" customHeight="1" s="11">
      <c r="A1076" s="10" t="inlineStr">
        <is>
          <t>USR-101075</t>
        </is>
      </c>
      <c r="B1076" s="14" t="n">
        <v>45670</v>
      </c>
      <c r="C1076" s="10" t="inlineStr">
        <is>
          <t>Treatment</t>
        </is>
      </c>
      <c r="D1076" s="10" t="inlineStr">
        <is>
          <t>East</t>
        </is>
      </c>
      <c r="E1076" s="10" t="inlineStr">
        <is>
          <t>Mobile</t>
        </is>
      </c>
      <c r="F1076" s="10" t="inlineStr">
        <is>
          <t>Paid Search</t>
        </is>
      </c>
      <c r="G1076" s="10" t="inlineStr">
        <is>
          <t>Basic</t>
        </is>
      </c>
      <c r="H1076" s="10" t="n">
        <v>1</v>
      </c>
      <c r="I1076" s="10" t="n">
        <v>0</v>
      </c>
      <c r="J1076" s="10" t="n">
        <v>0</v>
      </c>
      <c r="K1076" s="10" t="n">
        <v>0</v>
      </c>
      <c r="L1076" s="10" t="n">
        <v>0</v>
      </c>
      <c r="M1076" s="10" t="n">
        <v>0</v>
      </c>
      <c r="N1076" s="10" t="n">
        <v>0</v>
      </c>
      <c r="P1076" s="10" t="n">
        <v>62.5</v>
      </c>
      <c r="Q1076" s="10">
        <f>A1076&amp;"|"&amp;B1076&amp;"|"&amp;C1076&amp;"|"&amp;D1076&amp;"|"&amp;E1076&amp;"|"&amp;F1076&amp;"|"&amp;G1076&amp;"|"&amp;H1076&amp;"|"&amp;I1076&amp;"|"&amp;J1076&amp;"|"&amp;K1076&amp;"|"&amp;L1076&amp;"|"&amp;M1076&amp;"|"&amp;N1076&amp;"|"&amp;O1076&amp;"|"&amp;P1076</f>
        <v/>
      </c>
      <c r="R1076" s="10">
        <f>IF(COUNTIF($Q$2:$Q$1409,Q1076)&gt;1,IF(COUNTIF($Q$2:Q1076,Q1076)=1,"Exact Duplicate - Keep First","Exact Duplicate - Remove"),"Unique")</f>
        <v/>
      </c>
    </row>
    <row r="1077" ht="15" customHeight="1" s="11">
      <c r="A1077" s="10" t="inlineStr">
        <is>
          <t>USR-101076</t>
        </is>
      </c>
      <c r="B1077" s="14" t="n">
        <v>45796</v>
      </c>
      <c r="C1077" s="10" t="inlineStr">
        <is>
          <t>Treatment</t>
        </is>
      </c>
      <c r="D1077" s="10" t="inlineStr">
        <is>
          <t>South</t>
        </is>
      </c>
      <c r="E1077" s="10" t="inlineStr">
        <is>
          <t>Mobile</t>
        </is>
      </c>
      <c r="F1077" s="10" t="inlineStr">
        <is>
          <t>Organic</t>
        </is>
      </c>
      <c r="G1077" s="10" t="inlineStr">
        <is>
          <t>Free</t>
        </is>
      </c>
      <c r="H1077" s="10" t="n">
        <v>1</v>
      </c>
      <c r="I1077" s="10" t="n">
        <v>0</v>
      </c>
      <c r="J1077" s="10" t="n">
        <v>0</v>
      </c>
      <c r="K1077" s="10" t="n">
        <v>0</v>
      </c>
      <c r="L1077" s="10" t="n">
        <v>0</v>
      </c>
      <c r="M1077" s="10" t="n">
        <v>0</v>
      </c>
      <c r="N1077" s="10" t="n">
        <v>0</v>
      </c>
      <c r="P1077" s="10" t="n">
        <v>63.4</v>
      </c>
      <c r="Q1077" s="10">
        <f>A1077&amp;"|"&amp;B1077&amp;"|"&amp;C1077&amp;"|"&amp;D1077&amp;"|"&amp;E1077&amp;"|"&amp;F1077&amp;"|"&amp;G1077&amp;"|"&amp;H1077&amp;"|"&amp;I1077&amp;"|"&amp;J1077&amp;"|"&amp;K1077&amp;"|"&amp;L1077&amp;"|"&amp;M1077&amp;"|"&amp;N1077&amp;"|"&amp;O1077&amp;"|"&amp;P1077</f>
        <v/>
      </c>
      <c r="R1077" s="10">
        <f>IF(COUNTIF($Q$2:$Q$1409,Q1077)&gt;1,IF(COUNTIF($Q$2:Q1077,Q1077)=1,"Exact Duplicate - Keep First","Exact Duplicate - Remove"),"Unique")</f>
        <v/>
      </c>
    </row>
    <row r="1078" ht="15" customHeight="1" s="11">
      <c r="A1078" s="10" t="inlineStr">
        <is>
          <t>USR-101077</t>
        </is>
      </c>
      <c r="B1078" s="14" t="n">
        <v>45724</v>
      </c>
      <c r="C1078" s="10" t="inlineStr">
        <is>
          <t>Treatment</t>
        </is>
      </c>
      <c r="D1078" s="10" t="inlineStr">
        <is>
          <t>North</t>
        </is>
      </c>
      <c r="E1078" s="10" t="inlineStr">
        <is>
          <t>Tablet</t>
        </is>
      </c>
      <c r="F1078" s="10" t="inlineStr">
        <is>
          <t>Organic</t>
        </is>
      </c>
      <c r="G1078" s="10" t="inlineStr">
        <is>
          <t>Basic</t>
        </is>
      </c>
      <c r="H1078" s="10" t="n">
        <v>1</v>
      </c>
      <c r="I1078" s="10" t="n">
        <v>1</v>
      </c>
      <c r="J1078" s="10" t="n">
        <v>1</v>
      </c>
      <c r="K1078" s="10" t="n">
        <v>1</v>
      </c>
      <c r="L1078" s="10" t="n">
        <v>774.78</v>
      </c>
      <c r="M1078" s="10" t="n">
        <v>0</v>
      </c>
      <c r="N1078" s="10" t="n">
        <v>0</v>
      </c>
      <c r="O1078" s="10" t="n">
        <v>3</v>
      </c>
      <c r="P1078" s="10" t="n">
        <v>46.8</v>
      </c>
      <c r="Q1078" s="10">
        <f>A1078&amp;"|"&amp;B1078&amp;"|"&amp;C1078&amp;"|"&amp;D1078&amp;"|"&amp;E1078&amp;"|"&amp;F1078&amp;"|"&amp;G1078&amp;"|"&amp;H1078&amp;"|"&amp;I1078&amp;"|"&amp;J1078&amp;"|"&amp;K1078&amp;"|"&amp;L1078&amp;"|"&amp;M1078&amp;"|"&amp;N1078&amp;"|"&amp;O1078&amp;"|"&amp;P1078</f>
        <v/>
      </c>
      <c r="R1078" s="10">
        <f>IF(COUNTIF($Q$2:$Q$1409,Q1078)&gt;1,IF(COUNTIF($Q$2:Q1078,Q1078)=1,"Exact Duplicate - Keep First","Exact Duplicate - Remove"),"Unique")</f>
        <v/>
      </c>
    </row>
    <row r="1079" ht="15" customHeight="1" s="11">
      <c r="A1079" s="10" t="inlineStr">
        <is>
          <t>USR-101078</t>
        </is>
      </c>
      <c r="B1079" s="14" t="n">
        <v>45767</v>
      </c>
      <c r="C1079" s="10" t="inlineStr">
        <is>
          <t>Treatment</t>
        </is>
      </c>
      <c r="D1079" s="10" t="inlineStr">
        <is>
          <t>South</t>
        </is>
      </c>
      <c r="E1079" s="10" t="inlineStr">
        <is>
          <t>Mobile</t>
        </is>
      </c>
      <c r="F1079" s="10" t="inlineStr">
        <is>
          <t>Organic</t>
        </is>
      </c>
      <c r="G1079" s="10" t="inlineStr">
        <is>
          <t>Free</t>
        </is>
      </c>
      <c r="H1079" s="10" t="n">
        <v>1</v>
      </c>
      <c r="I1079" s="10" t="n">
        <v>1</v>
      </c>
      <c r="J1079" s="10" t="n">
        <v>1</v>
      </c>
      <c r="K1079" s="10" t="n">
        <v>1</v>
      </c>
      <c r="L1079" s="10" t="n">
        <v>422.02</v>
      </c>
      <c r="M1079" s="10" t="n">
        <v>0</v>
      </c>
      <c r="N1079" s="10" t="n">
        <v>0</v>
      </c>
      <c r="O1079" s="10" t="n">
        <v>8</v>
      </c>
      <c r="P1079" s="10" t="n">
        <v>86.5</v>
      </c>
      <c r="Q1079" s="10">
        <f>A1079&amp;"|"&amp;B1079&amp;"|"&amp;C1079&amp;"|"&amp;D1079&amp;"|"&amp;E1079&amp;"|"&amp;F1079&amp;"|"&amp;G1079&amp;"|"&amp;H1079&amp;"|"&amp;I1079&amp;"|"&amp;J1079&amp;"|"&amp;K1079&amp;"|"&amp;L1079&amp;"|"&amp;M1079&amp;"|"&amp;N1079&amp;"|"&amp;O1079&amp;"|"&amp;P1079</f>
        <v/>
      </c>
      <c r="R1079" s="10">
        <f>IF(COUNTIF($Q$2:$Q$1409,Q1079)&gt;1,IF(COUNTIF($Q$2:Q1079,Q1079)=1,"Exact Duplicate - Keep First","Exact Duplicate - Remove"),"Unique")</f>
        <v/>
      </c>
    </row>
    <row r="1080" ht="15" customHeight="1" s="11">
      <c r="A1080" s="10" t="inlineStr">
        <is>
          <t>USR-101079</t>
        </is>
      </c>
      <c r="B1080" s="14" t="n">
        <v>45785</v>
      </c>
      <c r="C1080" s="10" t="inlineStr">
        <is>
          <t>Treatment</t>
        </is>
      </c>
      <c r="D1080" s="10" t="inlineStr">
        <is>
          <t>West</t>
        </is>
      </c>
      <c r="E1080" s="10" t="inlineStr">
        <is>
          <t>Mobile</t>
        </is>
      </c>
      <c r="F1080" s="10" t="inlineStr">
        <is>
          <t>Email</t>
        </is>
      </c>
      <c r="G1080" s="10" t="inlineStr">
        <is>
          <t>Basic</t>
        </is>
      </c>
      <c r="H1080" s="10" t="n">
        <v>0</v>
      </c>
      <c r="I1080" s="10" t="n">
        <v>0</v>
      </c>
      <c r="J1080" s="10" t="n">
        <v>0</v>
      </c>
      <c r="K1080" s="10" t="n">
        <v>0</v>
      </c>
      <c r="L1080" s="10" t="n">
        <v>0</v>
      </c>
      <c r="M1080" s="10" t="n">
        <v>1</v>
      </c>
      <c r="N1080" s="10" t="n">
        <v>0</v>
      </c>
      <c r="P1080" s="10" t="n">
        <v>75.09999999999999</v>
      </c>
      <c r="Q1080" s="10">
        <f>A1080&amp;"|"&amp;B1080&amp;"|"&amp;C1080&amp;"|"&amp;D1080&amp;"|"&amp;E1080&amp;"|"&amp;F1080&amp;"|"&amp;G1080&amp;"|"&amp;H1080&amp;"|"&amp;I1080&amp;"|"&amp;J1080&amp;"|"&amp;K1080&amp;"|"&amp;L1080&amp;"|"&amp;M1080&amp;"|"&amp;N1080&amp;"|"&amp;O1080&amp;"|"&amp;P1080</f>
        <v/>
      </c>
      <c r="R1080" s="10">
        <f>IF(COUNTIF($Q$2:$Q$1409,Q1080)&gt;1,IF(COUNTIF($Q$2:Q1080,Q1080)=1,"Exact Duplicate - Keep First","Exact Duplicate - Remove"),"Unique")</f>
        <v/>
      </c>
    </row>
    <row r="1081" ht="15" customHeight="1" s="11">
      <c r="A1081" s="10" t="inlineStr">
        <is>
          <t>USR-101080</t>
        </is>
      </c>
      <c r="B1081" s="14" t="n">
        <v>45787</v>
      </c>
      <c r="C1081" s="10" t="inlineStr">
        <is>
          <t>Treatment</t>
        </is>
      </c>
      <c r="D1081" s="10" t="inlineStr">
        <is>
          <t>South</t>
        </is>
      </c>
      <c r="E1081" s="10" t="inlineStr">
        <is>
          <t>Mobile</t>
        </is>
      </c>
      <c r="F1081" s="10" t="inlineStr">
        <is>
          <t>Organic</t>
        </is>
      </c>
      <c r="G1081" s="10" t="inlineStr">
        <is>
          <t>Basic</t>
        </is>
      </c>
      <c r="H1081" s="10" t="n">
        <v>1</v>
      </c>
      <c r="I1081" s="10" t="n">
        <v>0</v>
      </c>
      <c r="J1081" s="10" t="n">
        <v>0</v>
      </c>
      <c r="K1081" s="10" t="n">
        <v>0</v>
      </c>
      <c r="L1081" s="10" t="n">
        <v>0</v>
      </c>
      <c r="M1081" s="10" t="n">
        <v>0</v>
      </c>
      <c r="N1081" s="10" t="n">
        <v>0</v>
      </c>
      <c r="P1081" s="10" t="n">
        <v>64.5</v>
      </c>
      <c r="Q1081" s="10">
        <f>A1081&amp;"|"&amp;B1081&amp;"|"&amp;C1081&amp;"|"&amp;D1081&amp;"|"&amp;E1081&amp;"|"&amp;F1081&amp;"|"&amp;G1081&amp;"|"&amp;H1081&amp;"|"&amp;I1081&amp;"|"&amp;J1081&amp;"|"&amp;K1081&amp;"|"&amp;L1081&amp;"|"&amp;M1081&amp;"|"&amp;N1081&amp;"|"&amp;O1081&amp;"|"&amp;P1081</f>
        <v/>
      </c>
      <c r="R1081" s="10">
        <f>IF(COUNTIF($Q$2:$Q$1409,Q1081)&gt;1,IF(COUNTIF($Q$2:Q1081,Q1081)=1,"Exact Duplicate - Keep First","Exact Duplicate - Remove"),"Unique")</f>
        <v/>
      </c>
    </row>
    <row r="1082" ht="15" customHeight="1" s="11">
      <c r="A1082" s="10" t="inlineStr">
        <is>
          <t>USR-101081</t>
        </is>
      </c>
      <c r="B1082" s="14" t="n">
        <v>45744</v>
      </c>
      <c r="C1082" s="10" t="inlineStr">
        <is>
          <t>Treatment</t>
        </is>
      </c>
      <c r="D1082" s="10" t="inlineStr">
        <is>
          <t>East</t>
        </is>
      </c>
      <c r="E1082" s="10" t="inlineStr">
        <is>
          <t>Mobile</t>
        </is>
      </c>
      <c r="F1082" s="10" t="inlineStr">
        <is>
          <t>Organic</t>
        </is>
      </c>
      <c r="G1082" s="10" t="inlineStr">
        <is>
          <t>Free</t>
        </is>
      </c>
      <c r="H1082" s="10" t="n">
        <v>1</v>
      </c>
      <c r="I1082" s="10" t="n">
        <v>0</v>
      </c>
      <c r="J1082" s="10" t="n">
        <v>0</v>
      </c>
      <c r="K1082" s="10" t="n">
        <v>0</v>
      </c>
      <c r="L1082" s="10" t="n">
        <v>0</v>
      </c>
      <c r="M1082" s="10" t="n">
        <v>0</v>
      </c>
      <c r="N1082" s="10" t="n">
        <v>0</v>
      </c>
      <c r="P1082" s="10" t="n">
        <v>54.2</v>
      </c>
      <c r="Q1082" s="10">
        <f>A1082&amp;"|"&amp;B1082&amp;"|"&amp;C1082&amp;"|"&amp;D1082&amp;"|"&amp;E1082&amp;"|"&amp;F1082&amp;"|"&amp;G1082&amp;"|"&amp;H1082&amp;"|"&amp;I1082&amp;"|"&amp;J1082&amp;"|"&amp;K1082&amp;"|"&amp;L1082&amp;"|"&amp;M1082&amp;"|"&amp;N1082&amp;"|"&amp;O1082&amp;"|"&amp;P1082</f>
        <v/>
      </c>
      <c r="R1082" s="10">
        <f>IF(COUNTIF($Q$2:$Q$1409,Q1082)&gt;1,IF(COUNTIF($Q$2:Q1082,Q1082)=1,"Exact Duplicate - Keep First","Exact Duplicate - Remove"),"Unique")</f>
        <v/>
      </c>
    </row>
    <row r="1083" ht="15" customHeight="1" s="11">
      <c r="A1083" s="10" t="inlineStr">
        <is>
          <t>USR-101082</t>
        </is>
      </c>
      <c r="B1083" s="14" t="n">
        <v>45777</v>
      </c>
      <c r="C1083" s="10" t="inlineStr">
        <is>
          <t>Treatment</t>
        </is>
      </c>
      <c r="D1083" s="10" t="inlineStr">
        <is>
          <t>East</t>
        </is>
      </c>
      <c r="E1083" s="10" t="inlineStr">
        <is>
          <t>Mobile</t>
        </is>
      </c>
      <c r="F1083" s="10" t="inlineStr">
        <is>
          <t>Paid Search</t>
        </is>
      </c>
      <c r="G1083" s="10" t="inlineStr">
        <is>
          <t>Premium</t>
        </is>
      </c>
      <c r="H1083" s="10" t="n">
        <v>1</v>
      </c>
      <c r="I1083" s="10" t="n">
        <v>1</v>
      </c>
      <c r="J1083" s="10" t="n">
        <v>1</v>
      </c>
      <c r="K1083" s="10" t="n">
        <v>0</v>
      </c>
      <c r="L1083" s="10" t="n">
        <v>0</v>
      </c>
      <c r="M1083" s="10" t="n">
        <v>0</v>
      </c>
      <c r="N1083" s="10" t="n">
        <v>0</v>
      </c>
      <c r="P1083" s="10" t="n">
        <v>84.09999999999999</v>
      </c>
      <c r="Q1083" s="10">
        <f>A1083&amp;"|"&amp;B1083&amp;"|"&amp;C1083&amp;"|"&amp;D1083&amp;"|"&amp;E1083&amp;"|"&amp;F1083&amp;"|"&amp;G1083&amp;"|"&amp;H1083&amp;"|"&amp;I1083&amp;"|"&amp;J1083&amp;"|"&amp;K1083&amp;"|"&amp;L1083&amp;"|"&amp;M1083&amp;"|"&amp;N1083&amp;"|"&amp;O1083&amp;"|"&amp;P1083</f>
        <v/>
      </c>
      <c r="R1083" s="10">
        <f>IF(COUNTIF($Q$2:$Q$1409,Q1083)&gt;1,IF(COUNTIF($Q$2:Q1083,Q1083)=1,"Exact Duplicate - Keep First","Exact Duplicate - Remove"),"Unique")</f>
        <v/>
      </c>
    </row>
    <row r="1084" ht="15" customHeight="1" s="11">
      <c r="A1084" s="10" t="inlineStr">
        <is>
          <t>USR-101083</t>
        </is>
      </c>
      <c r="B1084" s="14" t="n">
        <v>45696</v>
      </c>
      <c r="C1084" s="10" t="inlineStr">
        <is>
          <t>Treatment</t>
        </is>
      </c>
      <c r="D1084" s="10" t="inlineStr">
        <is>
          <t>North</t>
        </is>
      </c>
      <c r="E1084" s="10" t="inlineStr">
        <is>
          <t>Mobile</t>
        </is>
      </c>
      <c r="F1084" s="10" t="inlineStr">
        <is>
          <t>Organic</t>
        </is>
      </c>
      <c r="G1084" s="10" t="inlineStr">
        <is>
          <t>Basic</t>
        </is>
      </c>
      <c r="H1084" s="10" t="n">
        <v>0</v>
      </c>
      <c r="I1084" s="10" t="n">
        <v>0</v>
      </c>
      <c r="J1084" s="10" t="n">
        <v>0</v>
      </c>
      <c r="K1084" s="10" t="n">
        <v>0</v>
      </c>
      <c r="L1084" s="10" t="n">
        <v>0</v>
      </c>
      <c r="M1084" s="10" t="n">
        <v>1</v>
      </c>
      <c r="N1084" s="10" t="n">
        <v>0</v>
      </c>
      <c r="P1084" s="10" t="n">
        <v>49.1</v>
      </c>
      <c r="Q1084" s="10">
        <f>A1084&amp;"|"&amp;B1084&amp;"|"&amp;C1084&amp;"|"&amp;D1084&amp;"|"&amp;E1084&amp;"|"&amp;F1084&amp;"|"&amp;G1084&amp;"|"&amp;H1084&amp;"|"&amp;I1084&amp;"|"&amp;J1084&amp;"|"&amp;K1084&amp;"|"&amp;L1084&amp;"|"&amp;M1084&amp;"|"&amp;N1084&amp;"|"&amp;O1084&amp;"|"&amp;P1084</f>
        <v/>
      </c>
      <c r="R1084" s="10">
        <f>IF(COUNTIF($Q$2:$Q$1409,Q1084)&gt;1,IF(COUNTIF($Q$2:Q1084,Q1084)=1,"Exact Duplicate - Keep First","Exact Duplicate - Remove"),"Unique")</f>
        <v/>
      </c>
    </row>
    <row r="1085" ht="15" customHeight="1" s="11">
      <c r="A1085" s="10" t="inlineStr">
        <is>
          <t>USR-101084</t>
        </is>
      </c>
      <c r="B1085" s="14" t="n">
        <v>45723</v>
      </c>
      <c r="C1085" s="10" t="inlineStr">
        <is>
          <t>Treatment</t>
        </is>
      </c>
      <c r="D1085" s="10" t="inlineStr">
        <is>
          <t>South</t>
        </is>
      </c>
      <c r="E1085" s="10" t="inlineStr">
        <is>
          <t>Mobile</t>
        </is>
      </c>
      <c r="F1085" s="10" t="inlineStr">
        <is>
          <t>Referral</t>
        </is>
      </c>
      <c r="G1085" s="10" t="inlineStr">
        <is>
          <t>Premium</t>
        </is>
      </c>
      <c r="H1085" s="10" t="n">
        <v>0</v>
      </c>
      <c r="I1085" s="10" t="n">
        <v>0</v>
      </c>
      <c r="J1085" s="10" t="n">
        <v>0</v>
      </c>
      <c r="K1085" s="10" t="n">
        <v>0</v>
      </c>
      <c r="L1085" s="10" t="n">
        <v>0</v>
      </c>
      <c r="M1085" s="10" t="n">
        <v>0</v>
      </c>
      <c r="N1085" s="10" t="n">
        <v>0</v>
      </c>
      <c r="P1085" s="10" t="n">
        <v>92.7</v>
      </c>
      <c r="Q1085" s="10">
        <f>A1085&amp;"|"&amp;B1085&amp;"|"&amp;C1085&amp;"|"&amp;D1085&amp;"|"&amp;E1085&amp;"|"&amp;F1085&amp;"|"&amp;G1085&amp;"|"&amp;H1085&amp;"|"&amp;I1085&amp;"|"&amp;J1085&amp;"|"&amp;K1085&amp;"|"&amp;L1085&amp;"|"&amp;M1085&amp;"|"&amp;N1085&amp;"|"&amp;O1085&amp;"|"&amp;P1085</f>
        <v/>
      </c>
      <c r="R1085" s="10">
        <f>IF(COUNTIF($Q$2:$Q$1409,Q1085)&gt;1,IF(COUNTIF($Q$2:Q1085,Q1085)=1,"Exact Duplicate - Keep First","Exact Duplicate - Remove"),"Unique")</f>
        <v/>
      </c>
    </row>
    <row r="1086" ht="15" customHeight="1" s="11">
      <c r="A1086" s="10" t="inlineStr">
        <is>
          <t>USR-101085</t>
        </is>
      </c>
      <c r="B1086" s="14" t="n">
        <v>45798</v>
      </c>
      <c r="C1086" s="10" t="inlineStr">
        <is>
          <t>Treatment</t>
        </is>
      </c>
      <c r="D1086" s="10" t="inlineStr">
        <is>
          <t>South</t>
        </is>
      </c>
      <c r="E1086" s="10" t="inlineStr">
        <is>
          <t>Mobile</t>
        </is>
      </c>
      <c r="F1086" s="10" t="inlineStr">
        <is>
          <t>Social</t>
        </is>
      </c>
      <c r="G1086" s="10" t="inlineStr">
        <is>
          <t>Basic</t>
        </is>
      </c>
      <c r="H1086" s="10" t="n">
        <v>1</v>
      </c>
      <c r="I1086" s="10" t="n">
        <v>1</v>
      </c>
      <c r="J1086" s="10" t="n">
        <v>1</v>
      </c>
      <c r="K1086" s="10" t="n">
        <v>0</v>
      </c>
      <c r="L1086" s="10" t="n">
        <v>0</v>
      </c>
      <c r="M1086" s="10" t="n">
        <v>1</v>
      </c>
      <c r="N1086" s="10" t="n">
        <v>0</v>
      </c>
      <c r="P1086" s="10" t="n">
        <v>58.7</v>
      </c>
      <c r="Q1086" s="10">
        <f>A1086&amp;"|"&amp;B1086&amp;"|"&amp;C1086&amp;"|"&amp;D1086&amp;"|"&amp;E1086&amp;"|"&amp;F1086&amp;"|"&amp;G1086&amp;"|"&amp;H1086&amp;"|"&amp;I1086&amp;"|"&amp;J1086&amp;"|"&amp;K1086&amp;"|"&amp;L1086&amp;"|"&amp;M1086&amp;"|"&amp;N1086&amp;"|"&amp;O1086&amp;"|"&amp;P1086</f>
        <v/>
      </c>
      <c r="R1086" s="10">
        <f>IF(COUNTIF($Q$2:$Q$1409,Q1086)&gt;1,IF(COUNTIF($Q$2:Q1086,Q1086)=1,"Exact Duplicate - Keep First","Exact Duplicate - Remove"),"Unique")</f>
        <v/>
      </c>
    </row>
    <row r="1087" ht="15" customHeight="1" s="11">
      <c r="A1087" s="10" t="inlineStr">
        <is>
          <t>USR-101086</t>
        </is>
      </c>
      <c r="B1087" s="14" t="n">
        <v>45759</v>
      </c>
      <c r="C1087" s="10" t="inlineStr">
        <is>
          <t>Treatment</t>
        </is>
      </c>
      <c r="D1087" s="10" t="inlineStr">
        <is>
          <t>South</t>
        </is>
      </c>
      <c r="E1087" s="10" t="inlineStr">
        <is>
          <t>Mobile</t>
        </is>
      </c>
      <c r="F1087" s="10" t="inlineStr">
        <is>
          <t>Social</t>
        </is>
      </c>
      <c r="G1087" s="10" t="inlineStr">
        <is>
          <t>Free</t>
        </is>
      </c>
      <c r="H1087" s="10" t="n">
        <v>1</v>
      </c>
      <c r="I1087" s="10" t="n">
        <v>1</v>
      </c>
      <c r="J1087" s="10" t="n">
        <v>1</v>
      </c>
      <c r="K1087" s="10" t="n">
        <v>0</v>
      </c>
      <c r="L1087" s="10" t="n">
        <v>0</v>
      </c>
      <c r="M1087" s="10" t="n">
        <v>0</v>
      </c>
      <c r="N1087" s="10" t="n">
        <v>0</v>
      </c>
      <c r="P1087" s="10" t="n">
        <v>59.3</v>
      </c>
      <c r="Q1087" s="10">
        <f>A1087&amp;"|"&amp;B1087&amp;"|"&amp;C1087&amp;"|"&amp;D1087&amp;"|"&amp;E1087&amp;"|"&amp;F1087&amp;"|"&amp;G1087&amp;"|"&amp;H1087&amp;"|"&amp;I1087&amp;"|"&amp;J1087&amp;"|"&amp;K1087&amp;"|"&amp;L1087&amp;"|"&amp;M1087&amp;"|"&amp;N1087&amp;"|"&amp;O1087&amp;"|"&amp;P1087</f>
        <v/>
      </c>
      <c r="R1087" s="10">
        <f>IF(COUNTIF($Q$2:$Q$1409,Q1087)&gt;1,IF(COUNTIF($Q$2:Q1087,Q1087)=1,"Exact Duplicate - Keep First","Exact Duplicate - Remove"),"Unique")</f>
        <v/>
      </c>
    </row>
    <row r="1088" ht="15" customHeight="1" s="11">
      <c r="A1088" s="10" t="inlineStr">
        <is>
          <t>USR-101087</t>
        </is>
      </c>
      <c r="B1088" s="14" t="n">
        <v>45690</v>
      </c>
      <c r="C1088" s="10" t="inlineStr">
        <is>
          <t>Treatment</t>
        </is>
      </c>
      <c r="D1088" s="10" t="inlineStr">
        <is>
          <t>South</t>
        </is>
      </c>
      <c r="E1088" s="10" t="inlineStr">
        <is>
          <t>Mobile</t>
        </is>
      </c>
      <c r="F1088" s="10" t="inlineStr">
        <is>
          <t>Paid Search</t>
        </is>
      </c>
      <c r="G1088" s="10" t="inlineStr">
        <is>
          <t>Free</t>
        </is>
      </c>
      <c r="H1088" s="10" t="n">
        <v>1</v>
      </c>
      <c r="I1088" s="10" t="n">
        <v>0</v>
      </c>
      <c r="J1088" s="10" t="n">
        <v>0</v>
      </c>
      <c r="K1088" s="10" t="n">
        <v>0</v>
      </c>
      <c r="L1088" s="10" t="n">
        <v>0</v>
      </c>
      <c r="M1088" s="10" t="n">
        <v>0</v>
      </c>
      <c r="N1088" s="10" t="n">
        <v>0</v>
      </c>
      <c r="P1088" s="10" t="n">
        <v>62</v>
      </c>
      <c r="Q1088" s="10">
        <f>A1088&amp;"|"&amp;B1088&amp;"|"&amp;C1088&amp;"|"&amp;D1088&amp;"|"&amp;E1088&amp;"|"&amp;F1088&amp;"|"&amp;G1088&amp;"|"&amp;H1088&amp;"|"&amp;I1088&amp;"|"&amp;J1088&amp;"|"&amp;K1088&amp;"|"&amp;L1088&amp;"|"&amp;M1088&amp;"|"&amp;N1088&amp;"|"&amp;O1088&amp;"|"&amp;P1088</f>
        <v/>
      </c>
      <c r="R1088" s="10">
        <f>IF(COUNTIF($Q$2:$Q$1409,Q1088)&gt;1,IF(COUNTIF($Q$2:Q1088,Q1088)=1,"Exact Duplicate - Keep First","Exact Duplicate - Remove"),"Unique")</f>
        <v/>
      </c>
    </row>
    <row r="1089" ht="15" customHeight="1" s="11">
      <c r="A1089" s="10" t="inlineStr">
        <is>
          <t>USR-101088</t>
        </is>
      </c>
      <c r="B1089" s="14" t="n">
        <v>45769</v>
      </c>
      <c r="C1089" s="10" t="inlineStr">
        <is>
          <t>Treatment</t>
        </is>
      </c>
      <c r="D1089" s="10" t="inlineStr">
        <is>
          <t>North</t>
        </is>
      </c>
      <c r="E1089" s="10" t="inlineStr">
        <is>
          <t>Tablet</t>
        </is>
      </c>
      <c r="F1089" s="10" t="inlineStr">
        <is>
          <t>Referral</t>
        </is>
      </c>
      <c r="G1089" s="10" t="inlineStr">
        <is>
          <t>Free</t>
        </is>
      </c>
      <c r="H1089" s="10" t="n">
        <v>1</v>
      </c>
      <c r="I1089" s="10" t="n">
        <v>1</v>
      </c>
      <c r="J1089" s="10" t="n">
        <v>1</v>
      </c>
      <c r="K1089" s="10" t="n">
        <v>0</v>
      </c>
      <c r="L1089" s="10" t="n">
        <v>0</v>
      </c>
      <c r="M1089" s="10" t="n">
        <v>1</v>
      </c>
      <c r="N1089" s="10" t="n">
        <v>0</v>
      </c>
      <c r="P1089" s="10" t="n">
        <v>60.3</v>
      </c>
      <c r="Q1089" s="10">
        <f>A1089&amp;"|"&amp;B1089&amp;"|"&amp;C1089&amp;"|"&amp;D1089&amp;"|"&amp;E1089&amp;"|"&amp;F1089&amp;"|"&amp;G1089&amp;"|"&amp;H1089&amp;"|"&amp;I1089&amp;"|"&amp;J1089&amp;"|"&amp;K1089&amp;"|"&amp;L1089&amp;"|"&amp;M1089&amp;"|"&amp;N1089&amp;"|"&amp;O1089&amp;"|"&amp;P1089</f>
        <v/>
      </c>
      <c r="R1089" s="10">
        <f>IF(COUNTIF($Q$2:$Q$1409,Q1089)&gt;1,IF(COUNTIF($Q$2:Q1089,Q1089)=1,"Exact Duplicate - Keep First","Exact Duplicate - Remove"),"Unique")</f>
        <v/>
      </c>
    </row>
    <row r="1090" ht="15" customHeight="1" s="11">
      <c r="A1090" s="10" t="inlineStr">
        <is>
          <t>USR-101089</t>
        </is>
      </c>
      <c r="B1090" s="14" t="n">
        <v>45696</v>
      </c>
      <c r="C1090" s="10" t="inlineStr">
        <is>
          <t>Treatment</t>
        </is>
      </c>
      <c r="D1090" s="10" t="inlineStr">
        <is>
          <t>North</t>
        </is>
      </c>
      <c r="E1090" s="10" t="inlineStr">
        <is>
          <t>Mobile</t>
        </is>
      </c>
      <c r="F1090" s="10" t="inlineStr">
        <is>
          <t>Social</t>
        </is>
      </c>
      <c r="G1090" s="10" t="inlineStr">
        <is>
          <t>Basic</t>
        </is>
      </c>
      <c r="H1090" s="10" t="n">
        <v>1</v>
      </c>
      <c r="I1090" s="10" t="n">
        <v>0</v>
      </c>
      <c r="J1090" s="10" t="n">
        <v>0</v>
      </c>
      <c r="K1090" s="10" t="n">
        <v>0</v>
      </c>
      <c r="L1090" s="10" t="n">
        <v>0</v>
      </c>
      <c r="M1090" s="10" t="n">
        <v>0</v>
      </c>
      <c r="N1090" s="10" t="n">
        <v>0</v>
      </c>
      <c r="P1090" s="10" t="n">
        <v>70.5</v>
      </c>
      <c r="Q1090" s="10">
        <f>A1090&amp;"|"&amp;B1090&amp;"|"&amp;C1090&amp;"|"&amp;D1090&amp;"|"&amp;E1090&amp;"|"&amp;F1090&amp;"|"&amp;G1090&amp;"|"&amp;H1090&amp;"|"&amp;I1090&amp;"|"&amp;J1090&amp;"|"&amp;K1090&amp;"|"&amp;L1090&amp;"|"&amp;M1090&amp;"|"&amp;N1090&amp;"|"&amp;O1090&amp;"|"&amp;P1090</f>
        <v/>
      </c>
      <c r="R1090" s="10">
        <f>IF(COUNTIF($Q$2:$Q$1409,Q1090)&gt;1,IF(COUNTIF($Q$2:Q1090,Q1090)=1,"Exact Duplicate - Keep First","Exact Duplicate - Remove"),"Unique")</f>
        <v/>
      </c>
    </row>
    <row r="1091" ht="15" customHeight="1" s="11">
      <c r="A1091" s="10" t="inlineStr">
        <is>
          <t>USR-101090</t>
        </is>
      </c>
      <c r="B1091" s="14" t="n">
        <v>45681</v>
      </c>
      <c r="C1091" s="10" t="inlineStr">
        <is>
          <t>Treatment</t>
        </is>
      </c>
      <c r="D1091" s="10" t="inlineStr">
        <is>
          <t>South</t>
        </is>
      </c>
      <c r="E1091" s="10" t="inlineStr">
        <is>
          <t>Desktop</t>
        </is>
      </c>
      <c r="F1091" s="10" t="inlineStr">
        <is>
          <t>Email</t>
        </is>
      </c>
      <c r="G1091" s="10" t="inlineStr">
        <is>
          <t>Free</t>
        </is>
      </c>
      <c r="H1091" s="10" t="n">
        <v>1</v>
      </c>
      <c r="I1091" s="10" t="n">
        <v>0</v>
      </c>
      <c r="J1091" s="10" t="n">
        <v>0</v>
      </c>
      <c r="K1091" s="10" t="n">
        <v>0</v>
      </c>
      <c r="L1091" s="10" t="n">
        <v>0</v>
      </c>
      <c r="M1091" s="10" t="n">
        <v>0</v>
      </c>
      <c r="N1091" s="10" t="n">
        <v>0</v>
      </c>
      <c r="P1091" s="10" t="n">
        <v>36.8</v>
      </c>
      <c r="Q1091" s="10">
        <f>A1091&amp;"|"&amp;B1091&amp;"|"&amp;C1091&amp;"|"&amp;D1091&amp;"|"&amp;E1091&amp;"|"&amp;F1091&amp;"|"&amp;G1091&amp;"|"&amp;H1091&amp;"|"&amp;I1091&amp;"|"&amp;J1091&amp;"|"&amp;K1091&amp;"|"&amp;L1091&amp;"|"&amp;M1091&amp;"|"&amp;N1091&amp;"|"&amp;O1091&amp;"|"&amp;P1091</f>
        <v/>
      </c>
      <c r="R1091" s="10">
        <f>IF(COUNTIF($Q$2:$Q$1409,Q1091)&gt;1,IF(COUNTIF($Q$2:Q1091,Q1091)=1,"Exact Duplicate - Keep First","Exact Duplicate - Remove"),"Unique")</f>
        <v/>
      </c>
    </row>
    <row r="1092" ht="15" customHeight="1" s="11">
      <c r="A1092" s="10" t="inlineStr">
        <is>
          <t>USR-101091</t>
        </is>
      </c>
      <c r="B1092" s="14" t="n">
        <v>45789</v>
      </c>
      <c r="C1092" s="10" t="inlineStr">
        <is>
          <t>Treatment</t>
        </is>
      </c>
      <c r="D1092" s="10" t="inlineStr">
        <is>
          <t>South</t>
        </is>
      </c>
      <c r="E1092" s="10" t="inlineStr">
        <is>
          <t>Mobile</t>
        </is>
      </c>
      <c r="F1092" s="10" t="inlineStr">
        <is>
          <t>Paid Search</t>
        </is>
      </c>
      <c r="G1092" s="10" t="inlineStr">
        <is>
          <t>Basic</t>
        </is>
      </c>
      <c r="H1092" s="10" t="n">
        <v>0</v>
      </c>
      <c r="I1092" s="10" t="n">
        <v>0</v>
      </c>
      <c r="J1092" s="10" t="n">
        <v>0</v>
      </c>
      <c r="K1092" s="10" t="n">
        <v>0</v>
      </c>
      <c r="L1092" s="10" t="n">
        <v>0</v>
      </c>
      <c r="M1092" s="10" t="n">
        <v>1</v>
      </c>
      <c r="N1092" s="10" t="n">
        <v>0</v>
      </c>
      <c r="P1092" s="10" t="n">
        <v>73.2</v>
      </c>
      <c r="Q1092" s="10">
        <f>A1092&amp;"|"&amp;B1092&amp;"|"&amp;C1092&amp;"|"&amp;D1092&amp;"|"&amp;E1092&amp;"|"&amp;F1092&amp;"|"&amp;G1092&amp;"|"&amp;H1092&amp;"|"&amp;I1092&amp;"|"&amp;J1092&amp;"|"&amp;K1092&amp;"|"&amp;L1092&amp;"|"&amp;M1092&amp;"|"&amp;N1092&amp;"|"&amp;O1092&amp;"|"&amp;P1092</f>
        <v/>
      </c>
      <c r="R1092" s="10">
        <f>IF(COUNTIF($Q$2:$Q$1409,Q1092)&gt;1,IF(COUNTIF($Q$2:Q1092,Q1092)=1,"Exact Duplicate - Keep First","Exact Duplicate - Remove"),"Unique")</f>
        <v/>
      </c>
    </row>
    <row r="1093" ht="15" customHeight="1" s="11">
      <c r="A1093" s="10" t="inlineStr">
        <is>
          <t>USR-101092</t>
        </is>
      </c>
      <c r="B1093" s="14" t="n">
        <v>45746</v>
      </c>
      <c r="C1093" s="10" t="inlineStr">
        <is>
          <t>Treatment</t>
        </is>
      </c>
      <c r="D1093" s="10" t="inlineStr">
        <is>
          <t>North</t>
        </is>
      </c>
      <c r="E1093" s="10" t="inlineStr">
        <is>
          <t>Mobile</t>
        </is>
      </c>
      <c r="F1093" s="10" t="inlineStr">
        <is>
          <t>Organic</t>
        </is>
      </c>
      <c r="G1093" s="10" t="inlineStr">
        <is>
          <t>Basic</t>
        </is>
      </c>
      <c r="H1093" s="10" t="n">
        <v>0</v>
      </c>
      <c r="I1093" s="10" t="n">
        <v>0</v>
      </c>
      <c r="J1093" s="10" t="n">
        <v>0</v>
      </c>
      <c r="K1093" s="10" t="n">
        <v>0</v>
      </c>
      <c r="L1093" s="10" t="n">
        <v>0</v>
      </c>
      <c r="M1093" s="10" t="n">
        <v>0</v>
      </c>
      <c r="N1093" s="10" t="n">
        <v>0</v>
      </c>
      <c r="P1093" s="10" t="n">
        <v>70.09999999999999</v>
      </c>
      <c r="Q1093" s="10">
        <f>A1093&amp;"|"&amp;B1093&amp;"|"&amp;C1093&amp;"|"&amp;D1093&amp;"|"&amp;E1093&amp;"|"&amp;F1093&amp;"|"&amp;G1093&amp;"|"&amp;H1093&amp;"|"&amp;I1093&amp;"|"&amp;J1093&amp;"|"&amp;K1093&amp;"|"&amp;L1093&amp;"|"&amp;M1093&amp;"|"&amp;N1093&amp;"|"&amp;O1093&amp;"|"&amp;P1093</f>
        <v/>
      </c>
      <c r="R1093" s="10">
        <f>IF(COUNTIF($Q$2:$Q$1409,Q1093)&gt;1,IF(COUNTIF($Q$2:Q1093,Q1093)=1,"Exact Duplicate - Keep First","Exact Duplicate - Remove"),"Unique")</f>
        <v/>
      </c>
    </row>
    <row r="1094" ht="15" customHeight="1" s="11">
      <c r="A1094" s="10" t="inlineStr">
        <is>
          <t>USR-101093</t>
        </is>
      </c>
      <c r="B1094" s="14" t="n">
        <v>45659</v>
      </c>
      <c r="C1094" s="10" t="inlineStr">
        <is>
          <t>Treatment</t>
        </is>
      </c>
      <c r="D1094" s="10" t="inlineStr">
        <is>
          <t>South</t>
        </is>
      </c>
      <c r="E1094" s="10" t="inlineStr">
        <is>
          <t>Desktop</t>
        </is>
      </c>
      <c r="F1094" s="10" t="inlineStr">
        <is>
          <t>Paid Search</t>
        </is>
      </c>
      <c r="G1094" s="10" t="inlineStr">
        <is>
          <t>Basic</t>
        </is>
      </c>
      <c r="H1094" s="10" t="n">
        <v>1</v>
      </c>
      <c r="I1094" s="10" t="n">
        <v>0</v>
      </c>
      <c r="J1094" s="10" t="n">
        <v>0</v>
      </c>
      <c r="K1094" s="10" t="n">
        <v>0</v>
      </c>
      <c r="L1094" s="10" t="n">
        <v>0</v>
      </c>
      <c r="M1094" s="10" t="n">
        <v>0</v>
      </c>
      <c r="N1094" s="10" t="n">
        <v>0</v>
      </c>
      <c r="P1094" s="10" t="n">
        <v>76.40000000000001</v>
      </c>
      <c r="Q1094" s="10">
        <f>A1094&amp;"|"&amp;B1094&amp;"|"&amp;C1094&amp;"|"&amp;D1094&amp;"|"&amp;E1094&amp;"|"&amp;F1094&amp;"|"&amp;G1094&amp;"|"&amp;H1094&amp;"|"&amp;I1094&amp;"|"&amp;J1094&amp;"|"&amp;K1094&amp;"|"&amp;L1094&amp;"|"&amp;M1094&amp;"|"&amp;N1094&amp;"|"&amp;O1094&amp;"|"&amp;P1094</f>
        <v/>
      </c>
      <c r="R1094" s="10">
        <f>IF(COUNTIF($Q$2:$Q$1409,Q1094)&gt;1,IF(COUNTIF($Q$2:Q1094,Q1094)=1,"Exact Duplicate - Keep First","Exact Duplicate - Remove"),"Unique")</f>
        <v/>
      </c>
    </row>
    <row r="1095" ht="15" customHeight="1" s="11">
      <c r="A1095" s="10" t="inlineStr">
        <is>
          <t>USR-101094</t>
        </is>
      </c>
      <c r="B1095" s="14" t="n">
        <v>45737</v>
      </c>
      <c r="C1095" s="10" t="inlineStr">
        <is>
          <t>Treatment</t>
        </is>
      </c>
      <c r="D1095" s="10" t="inlineStr">
        <is>
          <t>South</t>
        </is>
      </c>
      <c r="E1095" s="10" t="inlineStr">
        <is>
          <t>Tablet</t>
        </is>
      </c>
      <c r="F1095" s="10" t="inlineStr">
        <is>
          <t>Email</t>
        </is>
      </c>
      <c r="G1095" s="10" t="inlineStr">
        <is>
          <t>Basic</t>
        </is>
      </c>
      <c r="H1095" s="10" t="n">
        <v>0</v>
      </c>
      <c r="I1095" s="10" t="n">
        <v>0</v>
      </c>
      <c r="J1095" s="10" t="n">
        <v>0</v>
      </c>
      <c r="K1095" s="10" t="n">
        <v>0</v>
      </c>
      <c r="L1095" s="10" t="n">
        <v>0</v>
      </c>
      <c r="M1095" s="10" t="n">
        <v>0</v>
      </c>
      <c r="N1095" s="10" t="n">
        <v>0</v>
      </c>
      <c r="P1095" s="10" t="n">
        <v>46.4</v>
      </c>
      <c r="Q1095" s="10">
        <f>A1095&amp;"|"&amp;B1095&amp;"|"&amp;C1095&amp;"|"&amp;D1095&amp;"|"&amp;E1095&amp;"|"&amp;F1095&amp;"|"&amp;G1095&amp;"|"&amp;H1095&amp;"|"&amp;I1095&amp;"|"&amp;J1095&amp;"|"&amp;K1095&amp;"|"&amp;L1095&amp;"|"&amp;M1095&amp;"|"&amp;N1095&amp;"|"&amp;O1095&amp;"|"&amp;P1095</f>
        <v/>
      </c>
      <c r="R1095" s="10">
        <f>IF(COUNTIF($Q$2:$Q$1409,Q1095)&gt;1,IF(COUNTIF($Q$2:Q1095,Q1095)=1,"Exact Duplicate - Keep First","Exact Duplicate - Remove"),"Unique")</f>
        <v/>
      </c>
    </row>
    <row r="1096" ht="15" customHeight="1" s="11">
      <c r="A1096" s="10" t="inlineStr">
        <is>
          <t>USR-101095</t>
        </is>
      </c>
      <c r="B1096" s="14" t="n">
        <v>45682</v>
      </c>
      <c r="C1096" s="10" t="inlineStr">
        <is>
          <t>Treatment</t>
        </is>
      </c>
      <c r="D1096" s="10" t="inlineStr">
        <is>
          <t>West</t>
        </is>
      </c>
      <c r="E1096" s="10" t="inlineStr">
        <is>
          <t>Mobile</t>
        </is>
      </c>
      <c r="F1096" s="10" t="inlineStr">
        <is>
          <t>Organic</t>
        </is>
      </c>
      <c r="G1096" s="10" t="inlineStr">
        <is>
          <t>Free</t>
        </is>
      </c>
      <c r="H1096" s="10" t="n">
        <v>1</v>
      </c>
      <c r="I1096" s="10" t="n">
        <v>1</v>
      </c>
      <c r="J1096" s="10" t="n">
        <v>1</v>
      </c>
      <c r="K1096" s="10" t="n">
        <v>0</v>
      </c>
      <c r="L1096" s="10" t="n">
        <v>0</v>
      </c>
      <c r="M1096" s="10" t="n">
        <v>1</v>
      </c>
      <c r="N1096" s="10" t="n">
        <v>0</v>
      </c>
      <c r="P1096" s="10" t="n">
        <v>81.3</v>
      </c>
      <c r="Q1096" s="10">
        <f>A1096&amp;"|"&amp;B1096&amp;"|"&amp;C1096&amp;"|"&amp;D1096&amp;"|"&amp;E1096&amp;"|"&amp;F1096&amp;"|"&amp;G1096&amp;"|"&amp;H1096&amp;"|"&amp;I1096&amp;"|"&amp;J1096&amp;"|"&amp;K1096&amp;"|"&amp;L1096&amp;"|"&amp;M1096&amp;"|"&amp;N1096&amp;"|"&amp;O1096&amp;"|"&amp;P1096</f>
        <v/>
      </c>
      <c r="R1096" s="10">
        <f>IF(COUNTIF($Q$2:$Q$1409,Q1096)&gt;1,IF(COUNTIF($Q$2:Q1096,Q1096)=1,"Exact Duplicate - Keep First","Exact Duplicate - Remove"),"Unique")</f>
        <v/>
      </c>
    </row>
    <row r="1097" ht="15" customHeight="1" s="11">
      <c r="A1097" s="10" t="inlineStr">
        <is>
          <t>USR-101096</t>
        </is>
      </c>
      <c r="B1097" s="14" t="n">
        <v>45669</v>
      </c>
      <c r="C1097" s="10" t="inlineStr">
        <is>
          <t>Treatment</t>
        </is>
      </c>
      <c r="D1097" s="10" t="inlineStr">
        <is>
          <t>South</t>
        </is>
      </c>
      <c r="E1097" s="10" t="inlineStr">
        <is>
          <t>Tablet</t>
        </is>
      </c>
      <c r="F1097" s="10" t="inlineStr">
        <is>
          <t>Social</t>
        </is>
      </c>
      <c r="G1097" s="10" t="inlineStr">
        <is>
          <t>Free</t>
        </is>
      </c>
      <c r="H1097" s="10" t="n">
        <v>1</v>
      </c>
      <c r="I1097" s="10" t="n">
        <v>1</v>
      </c>
      <c r="J1097" s="10" t="n">
        <v>1</v>
      </c>
      <c r="K1097" s="10" t="n">
        <v>0</v>
      </c>
      <c r="L1097" s="10" t="n">
        <v>0</v>
      </c>
      <c r="M1097" s="10" t="n">
        <v>0</v>
      </c>
      <c r="N1097" s="10" t="n">
        <v>0</v>
      </c>
      <c r="P1097" s="10" t="n">
        <v>55.3</v>
      </c>
      <c r="Q1097" s="10">
        <f>A1097&amp;"|"&amp;B1097&amp;"|"&amp;C1097&amp;"|"&amp;D1097&amp;"|"&amp;E1097&amp;"|"&amp;F1097&amp;"|"&amp;G1097&amp;"|"&amp;H1097&amp;"|"&amp;I1097&amp;"|"&amp;J1097&amp;"|"&amp;K1097&amp;"|"&amp;L1097&amp;"|"&amp;M1097&amp;"|"&amp;N1097&amp;"|"&amp;O1097&amp;"|"&amp;P1097</f>
        <v/>
      </c>
      <c r="R1097" s="10">
        <f>IF(COUNTIF($Q$2:$Q$1409,Q1097)&gt;1,IF(COUNTIF($Q$2:Q1097,Q1097)=1,"Exact Duplicate - Keep First","Exact Duplicate - Remove"),"Unique")</f>
        <v/>
      </c>
    </row>
    <row r="1098" ht="15" customHeight="1" s="11">
      <c r="A1098" s="10" t="inlineStr">
        <is>
          <t>USR-101097</t>
        </is>
      </c>
      <c r="B1098" s="14" t="n">
        <v>45734</v>
      </c>
      <c r="C1098" s="10" t="inlineStr">
        <is>
          <t>Treatment</t>
        </is>
      </c>
      <c r="D1098" s="10" t="inlineStr">
        <is>
          <t>East</t>
        </is>
      </c>
      <c r="E1098" s="10" t="inlineStr">
        <is>
          <t>Desktop</t>
        </is>
      </c>
      <c r="F1098" s="10" t="inlineStr">
        <is>
          <t>Referral</t>
        </is>
      </c>
      <c r="G1098" s="10" t="inlineStr">
        <is>
          <t>Free</t>
        </is>
      </c>
      <c r="H1098" s="10" t="n">
        <v>1</v>
      </c>
      <c r="I1098" s="10" t="n">
        <v>0</v>
      </c>
      <c r="J1098" s="10" t="n">
        <v>0</v>
      </c>
      <c r="K1098" s="10" t="n">
        <v>0</v>
      </c>
      <c r="L1098" s="10" t="n">
        <v>0</v>
      </c>
      <c r="M1098" s="10" t="n">
        <v>0</v>
      </c>
      <c r="N1098" s="10" t="n">
        <v>0</v>
      </c>
      <c r="P1098" s="10" t="n">
        <v>44.7</v>
      </c>
      <c r="Q1098" s="10">
        <f>A1098&amp;"|"&amp;B1098&amp;"|"&amp;C1098&amp;"|"&amp;D1098&amp;"|"&amp;E1098&amp;"|"&amp;F1098&amp;"|"&amp;G1098&amp;"|"&amp;H1098&amp;"|"&amp;I1098&amp;"|"&amp;J1098&amp;"|"&amp;K1098&amp;"|"&amp;L1098&amp;"|"&amp;M1098&amp;"|"&amp;N1098&amp;"|"&amp;O1098&amp;"|"&amp;P1098</f>
        <v/>
      </c>
      <c r="R1098" s="10">
        <f>IF(COUNTIF($Q$2:$Q$1409,Q1098)&gt;1,IF(COUNTIF($Q$2:Q1098,Q1098)=1,"Exact Duplicate - Keep First","Exact Duplicate - Remove"),"Unique")</f>
        <v/>
      </c>
    </row>
    <row r="1099" ht="15" customHeight="1" s="11">
      <c r="A1099" s="10" t="inlineStr">
        <is>
          <t>USR-101098</t>
        </is>
      </c>
      <c r="B1099" s="14" t="n">
        <v>45742</v>
      </c>
      <c r="C1099" s="10" t="inlineStr">
        <is>
          <t>Treatment</t>
        </is>
      </c>
      <c r="D1099" s="10" t="inlineStr">
        <is>
          <t>East</t>
        </is>
      </c>
      <c r="E1099" s="10" t="inlineStr">
        <is>
          <t>Mobile</t>
        </is>
      </c>
      <c r="F1099" s="10" t="inlineStr">
        <is>
          <t>Paid Search</t>
        </is>
      </c>
      <c r="G1099" s="10" t="inlineStr">
        <is>
          <t>Basic</t>
        </is>
      </c>
      <c r="H1099" s="10" t="n">
        <v>1</v>
      </c>
      <c r="I1099" s="10" t="n">
        <v>0</v>
      </c>
      <c r="J1099" s="10" t="n">
        <v>0</v>
      </c>
      <c r="K1099" s="10" t="n">
        <v>0</v>
      </c>
      <c r="L1099" s="10" t="n">
        <v>0</v>
      </c>
      <c r="M1099" s="10" t="n">
        <v>0</v>
      </c>
      <c r="N1099" s="10" t="n">
        <v>0</v>
      </c>
      <c r="P1099" s="10" t="n">
        <v>67.2</v>
      </c>
      <c r="Q1099" s="10">
        <f>A1099&amp;"|"&amp;B1099&amp;"|"&amp;C1099&amp;"|"&amp;D1099&amp;"|"&amp;E1099&amp;"|"&amp;F1099&amp;"|"&amp;G1099&amp;"|"&amp;H1099&amp;"|"&amp;I1099&amp;"|"&amp;J1099&amp;"|"&amp;K1099&amp;"|"&amp;L1099&amp;"|"&amp;M1099&amp;"|"&amp;N1099&amp;"|"&amp;O1099&amp;"|"&amp;P1099</f>
        <v/>
      </c>
      <c r="R1099" s="10">
        <f>IF(COUNTIF($Q$2:$Q$1409,Q1099)&gt;1,IF(COUNTIF($Q$2:Q1099,Q1099)=1,"Exact Duplicate - Keep First","Exact Duplicate - Remove"),"Unique")</f>
        <v/>
      </c>
    </row>
    <row r="1100" ht="15" customHeight="1" s="11">
      <c r="A1100" s="10" t="inlineStr">
        <is>
          <t>USR-101099</t>
        </is>
      </c>
      <c r="B1100" s="14" t="n">
        <v>45766</v>
      </c>
      <c r="C1100" s="10" t="inlineStr">
        <is>
          <t>Treatment</t>
        </is>
      </c>
      <c r="D1100" s="10" t="inlineStr">
        <is>
          <t>North</t>
        </is>
      </c>
      <c r="E1100" s="10" t="inlineStr">
        <is>
          <t>Mobile</t>
        </is>
      </c>
      <c r="F1100" s="10" t="inlineStr">
        <is>
          <t>Paid Search</t>
        </is>
      </c>
      <c r="G1100" s="10" t="inlineStr">
        <is>
          <t>Basic</t>
        </is>
      </c>
      <c r="H1100" s="10" t="n">
        <v>1</v>
      </c>
      <c r="I1100" s="10" t="n">
        <v>0</v>
      </c>
      <c r="J1100" s="10" t="n">
        <v>0</v>
      </c>
      <c r="K1100" s="10" t="n">
        <v>0</v>
      </c>
      <c r="L1100" s="10" t="n">
        <v>0</v>
      </c>
      <c r="M1100" s="10" t="n">
        <v>0</v>
      </c>
      <c r="N1100" s="10" t="n">
        <v>0</v>
      </c>
      <c r="Q1100" s="10">
        <f>A1100&amp;"|"&amp;B1100&amp;"|"&amp;C1100&amp;"|"&amp;D1100&amp;"|"&amp;E1100&amp;"|"&amp;F1100&amp;"|"&amp;G1100&amp;"|"&amp;H1100&amp;"|"&amp;I1100&amp;"|"&amp;J1100&amp;"|"&amp;K1100&amp;"|"&amp;L1100&amp;"|"&amp;M1100&amp;"|"&amp;N1100&amp;"|"&amp;O1100&amp;"|"&amp;P1100</f>
        <v/>
      </c>
      <c r="R1100" s="10">
        <f>IF(COUNTIF($Q$2:$Q$1409,Q1100)&gt;1,IF(COUNTIF($Q$2:Q1100,Q1100)=1,"Exact Duplicate - Keep First","Exact Duplicate - Remove"),"Unique")</f>
        <v/>
      </c>
    </row>
    <row r="1101" ht="15" customHeight="1" s="11">
      <c r="A1101" s="10" t="inlineStr">
        <is>
          <t>USR-101100</t>
        </is>
      </c>
      <c r="B1101" s="14" t="n">
        <v>45764</v>
      </c>
      <c r="C1101" s="10" t="inlineStr">
        <is>
          <t>Treatment</t>
        </is>
      </c>
      <c r="D1101" s="10" t="inlineStr">
        <is>
          <t>East</t>
        </is>
      </c>
      <c r="E1101" s="10" t="inlineStr">
        <is>
          <t>Mobile</t>
        </is>
      </c>
      <c r="F1101" s="10" t="inlineStr">
        <is>
          <t>Organic</t>
        </is>
      </c>
      <c r="G1101" s="10" t="inlineStr">
        <is>
          <t>Premium</t>
        </is>
      </c>
      <c r="H1101" s="10" t="n">
        <v>1</v>
      </c>
      <c r="I1101" s="10" t="n">
        <v>1</v>
      </c>
      <c r="J1101" s="10" t="n">
        <v>1</v>
      </c>
      <c r="K1101" s="10" t="n">
        <v>0</v>
      </c>
      <c r="L1101" s="10" t="n">
        <v>0</v>
      </c>
      <c r="M1101" s="10" t="n">
        <v>1</v>
      </c>
      <c r="N1101" s="10" t="n">
        <v>0</v>
      </c>
      <c r="P1101" s="10" t="n">
        <v>70.8</v>
      </c>
      <c r="Q1101" s="10">
        <f>A1101&amp;"|"&amp;B1101&amp;"|"&amp;C1101&amp;"|"&amp;D1101&amp;"|"&amp;E1101&amp;"|"&amp;F1101&amp;"|"&amp;G1101&amp;"|"&amp;H1101&amp;"|"&amp;I1101&amp;"|"&amp;J1101&amp;"|"&amp;K1101&amp;"|"&amp;L1101&amp;"|"&amp;M1101&amp;"|"&amp;N1101&amp;"|"&amp;O1101&amp;"|"&amp;P1101</f>
        <v/>
      </c>
      <c r="R1101" s="10">
        <f>IF(COUNTIF($Q$2:$Q$1409,Q1101)&gt;1,IF(COUNTIF($Q$2:Q1101,Q1101)=1,"Exact Duplicate - Keep First","Exact Duplicate - Remove"),"Unique")</f>
        <v/>
      </c>
    </row>
    <row r="1102" ht="15" customHeight="1" s="11">
      <c r="A1102" s="10" t="inlineStr">
        <is>
          <t>USR-101101</t>
        </is>
      </c>
      <c r="B1102" s="14" t="n">
        <v>45803</v>
      </c>
      <c r="C1102" s="10" t="inlineStr">
        <is>
          <t>Treatment</t>
        </is>
      </c>
      <c r="D1102" s="10" t="inlineStr">
        <is>
          <t>South</t>
        </is>
      </c>
      <c r="E1102" s="10" t="inlineStr">
        <is>
          <t>Mobile</t>
        </is>
      </c>
      <c r="F1102" s="10" t="inlineStr">
        <is>
          <t>Paid Search</t>
        </is>
      </c>
      <c r="G1102" s="10" t="inlineStr">
        <is>
          <t>Free</t>
        </is>
      </c>
      <c r="H1102" s="10" t="n">
        <v>1</v>
      </c>
      <c r="I1102" s="10" t="n">
        <v>0</v>
      </c>
      <c r="J1102" s="10" t="n">
        <v>0</v>
      </c>
      <c r="K1102" s="10" t="n">
        <v>0</v>
      </c>
      <c r="L1102" s="10" t="n">
        <v>0</v>
      </c>
      <c r="M1102" s="10" t="n">
        <v>0</v>
      </c>
      <c r="N1102" s="10" t="n">
        <v>0</v>
      </c>
      <c r="P1102" s="10" t="n">
        <v>71.3</v>
      </c>
      <c r="Q1102" s="10">
        <f>A1102&amp;"|"&amp;B1102&amp;"|"&amp;C1102&amp;"|"&amp;D1102&amp;"|"&amp;E1102&amp;"|"&amp;F1102&amp;"|"&amp;G1102&amp;"|"&amp;H1102&amp;"|"&amp;I1102&amp;"|"&amp;J1102&amp;"|"&amp;K1102&amp;"|"&amp;L1102&amp;"|"&amp;M1102&amp;"|"&amp;N1102&amp;"|"&amp;O1102&amp;"|"&amp;P1102</f>
        <v/>
      </c>
      <c r="R1102" s="10">
        <f>IF(COUNTIF($Q$2:$Q$1409,Q1102)&gt;1,IF(COUNTIF($Q$2:Q1102,Q1102)=1,"Exact Duplicate - Keep First","Exact Duplicate - Remove"),"Unique")</f>
        <v/>
      </c>
    </row>
    <row r="1103" ht="15" customHeight="1" s="11">
      <c r="A1103" s="10" t="inlineStr">
        <is>
          <t>USR-101102</t>
        </is>
      </c>
      <c r="B1103" s="14" t="n">
        <v>45761</v>
      </c>
      <c r="C1103" s="10" t="inlineStr">
        <is>
          <t>Treatment</t>
        </is>
      </c>
      <c r="D1103" s="10" t="inlineStr">
        <is>
          <t>North</t>
        </is>
      </c>
      <c r="E1103" s="10" t="inlineStr">
        <is>
          <t>Mobile</t>
        </is>
      </c>
      <c r="F1103" s="10" t="inlineStr">
        <is>
          <t>Social</t>
        </is>
      </c>
      <c r="G1103" s="10" t="inlineStr">
        <is>
          <t>Premium</t>
        </is>
      </c>
      <c r="H1103" s="10" t="n">
        <v>1</v>
      </c>
      <c r="I1103" s="10" t="n">
        <v>1</v>
      </c>
      <c r="J1103" s="10" t="n">
        <v>1</v>
      </c>
      <c r="K1103" s="10" t="n">
        <v>0</v>
      </c>
      <c r="L1103" s="10" t="n">
        <v>0</v>
      </c>
      <c r="M1103" s="10" t="n">
        <v>0</v>
      </c>
      <c r="N1103" s="10" t="n">
        <v>0</v>
      </c>
      <c r="P1103" s="10" t="n">
        <v>69.40000000000001</v>
      </c>
      <c r="Q1103" s="10">
        <f>A1103&amp;"|"&amp;B1103&amp;"|"&amp;C1103&amp;"|"&amp;D1103&amp;"|"&amp;E1103&amp;"|"&amp;F1103&amp;"|"&amp;G1103&amp;"|"&amp;H1103&amp;"|"&amp;I1103&amp;"|"&amp;J1103&amp;"|"&amp;K1103&amp;"|"&amp;L1103&amp;"|"&amp;M1103&amp;"|"&amp;N1103&amp;"|"&amp;O1103&amp;"|"&amp;P1103</f>
        <v/>
      </c>
      <c r="R1103" s="10">
        <f>IF(COUNTIF($Q$2:$Q$1409,Q1103)&gt;1,IF(COUNTIF($Q$2:Q1103,Q1103)=1,"Exact Duplicate - Keep First","Exact Duplicate - Remove"),"Unique")</f>
        <v/>
      </c>
    </row>
    <row r="1104" ht="15" customHeight="1" s="11">
      <c r="A1104" s="10" t="inlineStr">
        <is>
          <t>USR-101103</t>
        </is>
      </c>
      <c r="B1104" s="14" t="n">
        <v>45680</v>
      </c>
      <c r="C1104" s="10" t="inlineStr">
        <is>
          <t>Treatment</t>
        </is>
      </c>
      <c r="D1104" s="10" t="inlineStr">
        <is>
          <t>South</t>
        </is>
      </c>
      <c r="E1104" s="10" t="inlineStr">
        <is>
          <t>Mobile</t>
        </is>
      </c>
      <c r="F1104" s="10" t="inlineStr">
        <is>
          <t>Organic</t>
        </is>
      </c>
      <c r="G1104" s="10" t="inlineStr">
        <is>
          <t>Basic</t>
        </is>
      </c>
      <c r="H1104" s="10" t="n">
        <v>1</v>
      </c>
      <c r="I1104" s="10" t="n">
        <v>1</v>
      </c>
      <c r="J1104" s="10" t="n">
        <v>0</v>
      </c>
      <c r="K1104" s="10" t="n">
        <v>0</v>
      </c>
      <c r="L1104" s="10" t="n">
        <v>0</v>
      </c>
      <c r="M1104" s="10" t="n">
        <v>0</v>
      </c>
      <c r="N1104" s="10" t="n">
        <v>0</v>
      </c>
      <c r="P1104" s="10" t="n">
        <v>58.9</v>
      </c>
      <c r="Q1104" s="10">
        <f>A1104&amp;"|"&amp;B1104&amp;"|"&amp;C1104&amp;"|"&amp;D1104&amp;"|"&amp;E1104&amp;"|"&amp;F1104&amp;"|"&amp;G1104&amp;"|"&amp;H1104&amp;"|"&amp;I1104&amp;"|"&amp;J1104&amp;"|"&amp;K1104&amp;"|"&amp;L1104&amp;"|"&amp;M1104&amp;"|"&amp;N1104&amp;"|"&amp;O1104&amp;"|"&amp;P1104</f>
        <v/>
      </c>
      <c r="R1104" s="10">
        <f>IF(COUNTIF($Q$2:$Q$1409,Q1104)&gt;1,IF(COUNTIF($Q$2:Q1104,Q1104)=1,"Exact Duplicate - Keep First","Exact Duplicate - Remove"),"Unique")</f>
        <v/>
      </c>
    </row>
    <row r="1105" ht="15" customHeight="1" s="11">
      <c r="A1105" s="10" t="inlineStr">
        <is>
          <t>USR-101104</t>
        </is>
      </c>
      <c r="B1105" s="14" t="n">
        <v>45663</v>
      </c>
      <c r="C1105" s="10" t="inlineStr">
        <is>
          <t>Treatment</t>
        </is>
      </c>
      <c r="D1105" s="10" t="inlineStr">
        <is>
          <t>East</t>
        </is>
      </c>
      <c r="E1105" s="10" t="inlineStr">
        <is>
          <t>Mobile</t>
        </is>
      </c>
      <c r="F1105" s="10" t="inlineStr">
        <is>
          <t>Referral</t>
        </is>
      </c>
      <c r="G1105" s="10" t="inlineStr">
        <is>
          <t>Free</t>
        </is>
      </c>
      <c r="H1105" s="10" t="n">
        <v>0</v>
      </c>
      <c r="I1105" s="10" t="n">
        <v>0</v>
      </c>
      <c r="J1105" s="10" t="n">
        <v>0</v>
      </c>
      <c r="K1105" s="10" t="n">
        <v>0</v>
      </c>
      <c r="L1105" s="10" t="n">
        <v>0</v>
      </c>
      <c r="M1105" s="10" t="n">
        <v>0</v>
      </c>
      <c r="N1105" s="10" t="n">
        <v>0</v>
      </c>
      <c r="P1105" s="10" t="n">
        <v>70.7</v>
      </c>
      <c r="Q1105" s="10">
        <f>A1105&amp;"|"&amp;B1105&amp;"|"&amp;C1105&amp;"|"&amp;D1105&amp;"|"&amp;E1105&amp;"|"&amp;F1105&amp;"|"&amp;G1105&amp;"|"&amp;H1105&amp;"|"&amp;I1105&amp;"|"&amp;J1105&amp;"|"&amp;K1105&amp;"|"&amp;L1105&amp;"|"&amp;M1105&amp;"|"&amp;N1105&amp;"|"&amp;O1105&amp;"|"&amp;P1105</f>
        <v/>
      </c>
      <c r="R1105" s="10">
        <f>IF(COUNTIF($Q$2:$Q$1409,Q1105)&gt;1,IF(COUNTIF($Q$2:Q1105,Q1105)=1,"Exact Duplicate - Keep First","Exact Duplicate - Remove"),"Unique")</f>
        <v/>
      </c>
    </row>
    <row r="1106" ht="15" customHeight="1" s="11">
      <c r="A1106" s="10" t="inlineStr">
        <is>
          <t>USR-101105</t>
        </is>
      </c>
      <c r="B1106" s="14" t="n">
        <v>45808</v>
      </c>
      <c r="C1106" s="10" t="inlineStr">
        <is>
          <t>Treatment</t>
        </is>
      </c>
      <c r="D1106" s="10" t="inlineStr">
        <is>
          <t>West</t>
        </is>
      </c>
      <c r="E1106" s="10" t="inlineStr">
        <is>
          <t>Mobile</t>
        </is>
      </c>
      <c r="F1106" s="10" t="inlineStr">
        <is>
          <t>Email</t>
        </is>
      </c>
      <c r="G1106" s="10" t="inlineStr">
        <is>
          <t>Basic</t>
        </is>
      </c>
      <c r="H1106" s="10" t="n">
        <v>1</v>
      </c>
      <c r="I1106" s="10" t="n">
        <v>0</v>
      </c>
      <c r="J1106" s="10" t="n">
        <v>0</v>
      </c>
      <c r="K1106" s="10" t="n">
        <v>0</v>
      </c>
      <c r="L1106" s="10" t="n">
        <v>0</v>
      </c>
      <c r="M1106" s="10" t="n">
        <v>0</v>
      </c>
      <c r="N1106" s="10" t="n">
        <v>0</v>
      </c>
      <c r="P1106" s="10" t="n">
        <v>60.5</v>
      </c>
      <c r="Q1106" s="10">
        <f>A1106&amp;"|"&amp;B1106&amp;"|"&amp;C1106&amp;"|"&amp;D1106&amp;"|"&amp;E1106&amp;"|"&amp;F1106&amp;"|"&amp;G1106&amp;"|"&amp;H1106&amp;"|"&amp;I1106&amp;"|"&amp;J1106&amp;"|"&amp;K1106&amp;"|"&amp;L1106&amp;"|"&amp;M1106&amp;"|"&amp;N1106&amp;"|"&amp;O1106&amp;"|"&amp;P1106</f>
        <v/>
      </c>
      <c r="R1106" s="10">
        <f>IF(COUNTIF($Q$2:$Q$1409,Q1106)&gt;1,IF(COUNTIF($Q$2:Q1106,Q1106)=1,"Exact Duplicate - Keep First","Exact Duplicate - Remove"),"Unique")</f>
        <v/>
      </c>
    </row>
    <row r="1107" ht="15" customHeight="1" s="11">
      <c r="A1107" s="10" t="inlineStr">
        <is>
          <t>USR-101106</t>
        </is>
      </c>
      <c r="B1107" s="14" t="n">
        <v>45796</v>
      </c>
      <c r="C1107" s="10" t="inlineStr">
        <is>
          <t>Treatment</t>
        </is>
      </c>
      <c r="D1107" s="10" t="inlineStr">
        <is>
          <t>North</t>
        </is>
      </c>
      <c r="E1107" s="10" t="inlineStr">
        <is>
          <t>Mobile</t>
        </is>
      </c>
      <c r="F1107" s="10" t="inlineStr">
        <is>
          <t>Organic</t>
        </is>
      </c>
      <c r="G1107" s="10" t="inlineStr">
        <is>
          <t>Basic</t>
        </is>
      </c>
      <c r="H1107" s="10" t="n">
        <v>1</v>
      </c>
      <c r="I1107" s="10" t="n">
        <v>1</v>
      </c>
      <c r="J1107" s="10" t="n">
        <v>1</v>
      </c>
      <c r="K1107" s="10" t="n">
        <v>0</v>
      </c>
      <c r="L1107" s="10" t="n">
        <v>0</v>
      </c>
      <c r="M1107" s="10" t="n">
        <v>0</v>
      </c>
      <c r="N1107" s="10" t="n">
        <v>0</v>
      </c>
      <c r="P1107" s="10" t="n">
        <v>77.3</v>
      </c>
      <c r="Q1107" s="10">
        <f>A1107&amp;"|"&amp;B1107&amp;"|"&amp;C1107&amp;"|"&amp;D1107&amp;"|"&amp;E1107&amp;"|"&amp;F1107&amp;"|"&amp;G1107&amp;"|"&amp;H1107&amp;"|"&amp;I1107&amp;"|"&amp;J1107&amp;"|"&amp;K1107&amp;"|"&amp;L1107&amp;"|"&amp;M1107&amp;"|"&amp;N1107&amp;"|"&amp;O1107&amp;"|"&amp;P1107</f>
        <v/>
      </c>
      <c r="R1107" s="10">
        <f>IF(COUNTIF($Q$2:$Q$1409,Q1107)&gt;1,IF(COUNTIF($Q$2:Q1107,Q1107)=1,"Exact Duplicate - Keep First","Exact Duplicate - Remove"),"Unique")</f>
        <v/>
      </c>
    </row>
    <row r="1108" ht="15" customHeight="1" s="11">
      <c r="A1108" s="10" t="inlineStr">
        <is>
          <t>USR-101107</t>
        </is>
      </c>
      <c r="B1108" s="14" t="n">
        <v>45713</v>
      </c>
      <c r="C1108" s="10" t="inlineStr">
        <is>
          <t>Treatment</t>
        </is>
      </c>
      <c r="D1108" s="10" t="inlineStr">
        <is>
          <t>North</t>
        </is>
      </c>
      <c r="E1108" s="10" t="inlineStr">
        <is>
          <t>Mobile</t>
        </is>
      </c>
      <c r="F1108" s="10" t="inlineStr">
        <is>
          <t>Organic</t>
        </is>
      </c>
      <c r="G1108" s="10" t="inlineStr">
        <is>
          <t>Free</t>
        </is>
      </c>
      <c r="H1108" s="10" t="n">
        <v>0</v>
      </c>
      <c r="I1108" s="10" t="n">
        <v>0</v>
      </c>
      <c r="J1108" s="10" t="n">
        <v>0</v>
      </c>
      <c r="K1108" s="10" t="n">
        <v>0</v>
      </c>
      <c r="L1108" s="10" t="n">
        <v>0</v>
      </c>
      <c r="M1108" s="10" t="n">
        <v>1</v>
      </c>
      <c r="N1108" s="10" t="n">
        <v>0</v>
      </c>
      <c r="P1108" s="10" t="n">
        <v>39.5</v>
      </c>
      <c r="Q1108" s="10">
        <f>A1108&amp;"|"&amp;B1108&amp;"|"&amp;C1108&amp;"|"&amp;D1108&amp;"|"&amp;E1108&amp;"|"&amp;F1108&amp;"|"&amp;G1108&amp;"|"&amp;H1108&amp;"|"&amp;I1108&amp;"|"&amp;J1108&amp;"|"&amp;K1108&amp;"|"&amp;L1108&amp;"|"&amp;M1108&amp;"|"&amp;N1108&amp;"|"&amp;O1108&amp;"|"&amp;P1108</f>
        <v/>
      </c>
      <c r="R1108" s="10">
        <f>IF(COUNTIF($Q$2:$Q$1409,Q1108)&gt;1,IF(COUNTIF($Q$2:Q1108,Q1108)=1,"Exact Duplicate - Keep First","Exact Duplicate - Remove"),"Unique")</f>
        <v/>
      </c>
    </row>
    <row r="1109" ht="15" customHeight="1" s="11">
      <c r="A1109" s="10" t="inlineStr">
        <is>
          <t>USR-101108</t>
        </is>
      </c>
      <c r="B1109" s="14" t="n">
        <v>45667</v>
      </c>
      <c r="C1109" s="10" t="inlineStr">
        <is>
          <t>Treatment</t>
        </is>
      </c>
      <c r="D1109" s="10" t="inlineStr">
        <is>
          <t>South</t>
        </is>
      </c>
      <c r="E1109" s="10" t="inlineStr">
        <is>
          <t>Tablet</t>
        </is>
      </c>
      <c r="F1109" s="10" t="inlineStr">
        <is>
          <t>Organic</t>
        </is>
      </c>
      <c r="G1109" s="10" t="inlineStr">
        <is>
          <t>Basic</t>
        </is>
      </c>
      <c r="H1109" s="10" t="n">
        <v>1</v>
      </c>
      <c r="I1109" s="10" t="n">
        <v>0</v>
      </c>
      <c r="J1109" s="10" t="n">
        <v>0</v>
      </c>
      <c r="K1109" s="10" t="n">
        <v>0</v>
      </c>
      <c r="L1109" s="10" t="n">
        <v>0</v>
      </c>
      <c r="M1109" s="10" t="n">
        <v>0</v>
      </c>
      <c r="N1109" s="10" t="n">
        <v>0</v>
      </c>
      <c r="P1109" s="10" t="n">
        <v>68.09999999999999</v>
      </c>
      <c r="Q1109" s="10">
        <f>A1109&amp;"|"&amp;B1109&amp;"|"&amp;C1109&amp;"|"&amp;D1109&amp;"|"&amp;E1109&amp;"|"&amp;F1109&amp;"|"&amp;G1109&amp;"|"&amp;H1109&amp;"|"&amp;I1109&amp;"|"&amp;J1109&amp;"|"&amp;K1109&amp;"|"&amp;L1109&amp;"|"&amp;M1109&amp;"|"&amp;N1109&amp;"|"&amp;O1109&amp;"|"&amp;P1109</f>
        <v/>
      </c>
      <c r="R1109" s="10">
        <f>IF(COUNTIF($Q$2:$Q$1409,Q1109)&gt;1,IF(COUNTIF($Q$2:Q1109,Q1109)=1,"Exact Duplicate - Keep First","Exact Duplicate - Remove"),"Unique")</f>
        <v/>
      </c>
    </row>
    <row r="1110" ht="15" customHeight="1" s="11">
      <c r="A1110" s="10" t="inlineStr">
        <is>
          <t>USR-101109</t>
        </is>
      </c>
      <c r="B1110" s="14" t="n">
        <v>45790</v>
      </c>
      <c r="C1110" s="10" t="inlineStr">
        <is>
          <t>Treatment</t>
        </is>
      </c>
      <c r="D1110" s="10" t="inlineStr">
        <is>
          <t>North</t>
        </is>
      </c>
      <c r="E1110" s="10" t="inlineStr">
        <is>
          <t>Tablet</t>
        </is>
      </c>
      <c r="F1110" s="10" t="inlineStr">
        <is>
          <t>Paid Search</t>
        </is>
      </c>
      <c r="G1110" s="10" t="inlineStr">
        <is>
          <t>Free</t>
        </is>
      </c>
      <c r="H1110" s="10" t="n">
        <v>0</v>
      </c>
      <c r="I1110" s="10" t="n">
        <v>0</v>
      </c>
      <c r="J1110" s="10" t="n">
        <v>0</v>
      </c>
      <c r="K1110" s="10" t="n">
        <v>0</v>
      </c>
      <c r="L1110" s="10" t="n">
        <v>0</v>
      </c>
      <c r="M1110" s="10" t="n">
        <v>0</v>
      </c>
      <c r="N1110" s="10" t="n">
        <v>0</v>
      </c>
      <c r="P1110" s="10" t="n">
        <v>80.3</v>
      </c>
      <c r="Q1110" s="10">
        <f>A1110&amp;"|"&amp;B1110&amp;"|"&amp;C1110&amp;"|"&amp;D1110&amp;"|"&amp;E1110&amp;"|"&amp;F1110&amp;"|"&amp;G1110&amp;"|"&amp;H1110&amp;"|"&amp;I1110&amp;"|"&amp;J1110&amp;"|"&amp;K1110&amp;"|"&amp;L1110&amp;"|"&amp;M1110&amp;"|"&amp;N1110&amp;"|"&amp;O1110&amp;"|"&amp;P1110</f>
        <v/>
      </c>
      <c r="R1110" s="10">
        <f>IF(COUNTIF($Q$2:$Q$1409,Q1110)&gt;1,IF(COUNTIF($Q$2:Q1110,Q1110)=1,"Exact Duplicate - Keep First","Exact Duplicate - Remove"),"Unique")</f>
        <v/>
      </c>
    </row>
    <row r="1111" ht="15" customHeight="1" s="11">
      <c r="A1111" s="10" t="inlineStr">
        <is>
          <t>USR-101110</t>
        </is>
      </c>
      <c r="B1111" s="14" t="n">
        <v>45774</v>
      </c>
      <c r="C1111" s="10" t="inlineStr">
        <is>
          <t>Treatment</t>
        </is>
      </c>
      <c r="D1111" s="10" t="inlineStr">
        <is>
          <t>West</t>
        </is>
      </c>
      <c r="E1111" s="10" t="inlineStr">
        <is>
          <t>Desktop</t>
        </is>
      </c>
      <c r="F1111" s="10" t="inlineStr">
        <is>
          <t>Organic</t>
        </is>
      </c>
      <c r="G1111" s="10" t="inlineStr">
        <is>
          <t>Premium</t>
        </is>
      </c>
      <c r="H1111" s="10" t="n">
        <v>1</v>
      </c>
      <c r="I1111" s="10" t="n">
        <v>0</v>
      </c>
      <c r="J1111" s="10" t="n">
        <v>0</v>
      </c>
      <c r="K1111" s="10" t="n">
        <v>0</v>
      </c>
      <c r="L1111" s="10" t="n">
        <v>0</v>
      </c>
      <c r="M1111" s="10" t="n">
        <v>0</v>
      </c>
      <c r="N1111" s="10" t="n">
        <v>0</v>
      </c>
      <c r="P1111" s="10" t="n">
        <v>77.7</v>
      </c>
      <c r="Q1111" s="10">
        <f>A1111&amp;"|"&amp;B1111&amp;"|"&amp;C1111&amp;"|"&amp;D1111&amp;"|"&amp;E1111&amp;"|"&amp;F1111&amp;"|"&amp;G1111&amp;"|"&amp;H1111&amp;"|"&amp;I1111&amp;"|"&amp;J1111&amp;"|"&amp;K1111&amp;"|"&amp;L1111&amp;"|"&amp;M1111&amp;"|"&amp;N1111&amp;"|"&amp;O1111&amp;"|"&amp;P1111</f>
        <v/>
      </c>
      <c r="R1111" s="10">
        <f>IF(COUNTIF($Q$2:$Q$1409,Q1111)&gt;1,IF(COUNTIF($Q$2:Q1111,Q1111)=1,"Exact Duplicate - Keep First","Exact Duplicate - Remove"),"Unique")</f>
        <v/>
      </c>
    </row>
    <row r="1112" ht="15" customHeight="1" s="11">
      <c r="A1112" s="10" t="inlineStr">
        <is>
          <t>USR-101111</t>
        </is>
      </c>
      <c r="B1112" s="14" t="n">
        <v>45750</v>
      </c>
      <c r="C1112" s="10" t="inlineStr">
        <is>
          <t>Treatment</t>
        </is>
      </c>
      <c r="D1112" s="10" t="inlineStr">
        <is>
          <t>South</t>
        </is>
      </c>
      <c r="E1112" s="10" t="inlineStr">
        <is>
          <t>Mobile</t>
        </is>
      </c>
      <c r="F1112" s="10" t="inlineStr">
        <is>
          <t>Organic</t>
        </is>
      </c>
      <c r="G1112" s="10" t="inlineStr">
        <is>
          <t>Free</t>
        </is>
      </c>
      <c r="H1112" s="10" t="n">
        <v>1</v>
      </c>
      <c r="I1112" s="10" t="n">
        <v>0</v>
      </c>
      <c r="J1112" s="10" t="n">
        <v>0</v>
      </c>
      <c r="K1112" s="10" t="n">
        <v>0</v>
      </c>
      <c r="L1112" s="10" t="n">
        <v>0</v>
      </c>
      <c r="M1112" s="10" t="n">
        <v>1</v>
      </c>
      <c r="N1112" s="10" t="n">
        <v>0</v>
      </c>
      <c r="P1112" s="10" t="n">
        <v>66.2</v>
      </c>
      <c r="Q1112" s="10">
        <f>A1112&amp;"|"&amp;B1112&amp;"|"&amp;C1112&amp;"|"&amp;D1112&amp;"|"&amp;E1112&amp;"|"&amp;F1112&amp;"|"&amp;G1112&amp;"|"&amp;H1112&amp;"|"&amp;I1112&amp;"|"&amp;J1112&amp;"|"&amp;K1112&amp;"|"&amp;L1112&amp;"|"&amp;M1112&amp;"|"&amp;N1112&amp;"|"&amp;O1112&amp;"|"&amp;P1112</f>
        <v/>
      </c>
      <c r="R1112" s="10">
        <f>IF(COUNTIF($Q$2:$Q$1409,Q1112)&gt;1,IF(COUNTIF($Q$2:Q1112,Q1112)=1,"Exact Duplicate - Keep First","Exact Duplicate - Remove"),"Unique")</f>
        <v/>
      </c>
    </row>
    <row r="1113" ht="15" customHeight="1" s="11">
      <c r="A1113" s="10" t="inlineStr">
        <is>
          <t>USR-101112</t>
        </is>
      </c>
      <c r="B1113" s="14" t="n">
        <v>45742</v>
      </c>
      <c r="C1113" s="10" t="inlineStr">
        <is>
          <t>Treatment</t>
        </is>
      </c>
      <c r="D1113" s="10" t="inlineStr">
        <is>
          <t>South</t>
        </is>
      </c>
      <c r="E1113" s="10" t="inlineStr">
        <is>
          <t>Mobile</t>
        </is>
      </c>
      <c r="F1113" s="10" t="inlineStr">
        <is>
          <t>Organic</t>
        </is>
      </c>
      <c r="G1113" s="10" t="inlineStr">
        <is>
          <t>Free</t>
        </is>
      </c>
      <c r="H1113" s="10" t="n">
        <v>1</v>
      </c>
      <c r="I1113" s="10" t="n">
        <v>1</v>
      </c>
      <c r="J1113" s="10" t="n">
        <v>1</v>
      </c>
      <c r="K1113" s="10" t="n">
        <v>0</v>
      </c>
      <c r="L1113" s="10" t="n">
        <v>0</v>
      </c>
      <c r="M1113" s="10" t="n">
        <v>1</v>
      </c>
      <c r="N1113" s="10" t="n">
        <v>0</v>
      </c>
      <c r="P1113" s="10" t="n">
        <v>43.9</v>
      </c>
      <c r="Q1113" s="10">
        <f>A1113&amp;"|"&amp;B1113&amp;"|"&amp;C1113&amp;"|"&amp;D1113&amp;"|"&amp;E1113&amp;"|"&amp;F1113&amp;"|"&amp;G1113&amp;"|"&amp;H1113&amp;"|"&amp;I1113&amp;"|"&amp;J1113&amp;"|"&amp;K1113&amp;"|"&amp;L1113&amp;"|"&amp;M1113&amp;"|"&amp;N1113&amp;"|"&amp;O1113&amp;"|"&amp;P1113</f>
        <v/>
      </c>
      <c r="R1113" s="10">
        <f>IF(COUNTIF($Q$2:$Q$1409,Q1113)&gt;1,IF(COUNTIF($Q$2:Q1113,Q1113)=1,"Exact Duplicate - Keep First","Exact Duplicate - Remove"),"Unique")</f>
        <v/>
      </c>
    </row>
    <row r="1114" ht="15" customHeight="1" s="11">
      <c r="A1114" s="10" t="inlineStr">
        <is>
          <t>USR-101113</t>
        </is>
      </c>
      <c r="B1114" s="14" t="n">
        <v>45688</v>
      </c>
      <c r="C1114" s="10" t="inlineStr">
        <is>
          <t>Treatment</t>
        </is>
      </c>
      <c r="D1114" s="10" t="inlineStr">
        <is>
          <t>South</t>
        </is>
      </c>
      <c r="E1114" s="10" t="inlineStr">
        <is>
          <t>Mobile</t>
        </is>
      </c>
      <c r="F1114" s="10" t="inlineStr">
        <is>
          <t>Organic</t>
        </is>
      </c>
      <c r="G1114" s="10" t="inlineStr">
        <is>
          <t>Basic</t>
        </is>
      </c>
      <c r="H1114" s="10" t="n">
        <v>1</v>
      </c>
      <c r="I1114" s="10" t="n">
        <v>1</v>
      </c>
      <c r="J1114" s="10" t="n">
        <v>1</v>
      </c>
      <c r="K1114" s="10" t="n">
        <v>0</v>
      </c>
      <c r="L1114" s="10" t="n">
        <v>0</v>
      </c>
      <c r="M1114" s="10" t="n">
        <v>2</v>
      </c>
      <c r="N1114" s="10" t="n">
        <v>0</v>
      </c>
      <c r="P1114" s="10" t="n">
        <v>59.1</v>
      </c>
      <c r="Q1114" s="10">
        <f>A1114&amp;"|"&amp;B1114&amp;"|"&amp;C1114&amp;"|"&amp;D1114&amp;"|"&amp;E1114&amp;"|"&amp;F1114&amp;"|"&amp;G1114&amp;"|"&amp;H1114&amp;"|"&amp;I1114&amp;"|"&amp;J1114&amp;"|"&amp;K1114&amp;"|"&amp;L1114&amp;"|"&amp;M1114&amp;"|"&amp;N1114&amp;"|"&amp;O1114&amp;"|"&amp;P1114</f>
        <v/>
      </c>
      <c r="R1114" s="10">
        <f>IF(COUNTIF($Q$2:$Q$1409,Q1114)&gt;1,IF(COUNTIF($Q$2:Q1114,Q1114)=1,"Exact Duplicate - Keep First","Exact Duplicate - Remove"),"Unique")</f>
        <v/>
      </c>
    </row>
    <row r="1115" ht="15" customHeight="1" s="11">
      <c r="A1115" s="10" t="inlineStr">
        <is>
          <t>USR-101114</t>
        </is>
      </c>
      <c r="B1115" s="14" t="n">
        <v>45682</v>
      </c>
      <c r="C1115" s="10" t="inlineStr">
        <is>
          <t>Treatment</t>
        </is>
      </c>
      <c r="D1115" s="10" t="inlineStr">
        <is>
          <t>South</t>
        </is>
      </c>
      <c r="E1115" s="10" t="inlineStr">
        <is>
          <t>Mobile</t>
        </is>
      </c>
      <c r="F1115" s="10" t="inlineStr">
        <is>
          <t>Social</t>
        </is>
      </c>
      <c r="G1115" s="10" t="inlineStr">
        <is>
          <t>Free</t>
        </is>
      </c>
      <c r="H1115" s="10" t="n">
        <v>1</v>
      </c>
      <c r="I1115" s="10" t="n">
        <v>1</v>
      </c>
      <c r="J1115" s="10" t="n">
        <v>1</v>
      </c>
      <c r="K1115" s="10" t="n">
        <v>1</v>
      </c>
      <c r="L1115" s="10" t="n">
        <v>416.94</v>
      </c>
      <c r="M1115" s="10" t="n">
        <v>1</v>
      </c>
      <c r="N1115" s="10" t="n">
        <v>0</v>
      </c>
      <c r="O1115" s="10" t="n">
        <v>11</v>
      </c>
      <c r="P1115" s="10" t="n">
        <v>67</v>
      </c>
      <c r="Q1115" s="10">
        <f>A1115&amp;"|"&amp;B1115&amp;"|"&amp;C1115&amp;"|"&amp;D1115&amp;"|"&amp;E1115&amp;"|"&amp;F1115&amp;"|"&amp;G1115&amp;"|"&amp;H1115&amp;"|"&amp;I1115&amp;"|"&amp;J1115&amp;"|"&amp;K1115&amp;"|"&amp;L1115&amp;"|"&amp;M1115&amp;"|"&amp;N1115&amp;"|"&amp;O1115&amp;"|"&amp;P1115</f>
        <v/>
      </c>
      <c r="R1115" s="10">
        <f>IF(COUNTIF($Q$2:$Q$1409,Q1115)&gt;1,IF(COUNTIF($Q$2:Q1115,Q1115)=1,"Exact Duplicate - Keep First","Exact Duplicate - Remove"),"Unique")</f>
        <v/>
      </c>
    </row>
    <row r="1116" ht="15" customHeight="1" s="11">
      <c r="A1116" s="10" t="inlineStr">
        <is>
          <t>USR-101115</t>
        </is>
      </c>
      <c r="B1116" s="14" t="n">
        <v>45694</v>
      </c>
      <c r="C1116" s="10" t="inlineStr">
        <is>
          <t>Treatment</t>
        </is>
      </c>
      <c r="D1116" s="10" t="inlineStr">
        <is>
          <t>West</t>
        </is>
      </c>
      <c r="E1116" s="10" t="inlineStr">
        <is>
          <t>Mobile</t>
        </is>
      </c>
      <c r="F1116" s="10" t="inlineStr">
        <is>
          <t>Referral</t>
        </is>
      </c>
      <c r="G1116" s="10" t="inlineStr">
        <is>
          <t>Basic</t>
        </is>
      </c>
      <c r="H1116" s="10" t="n">
        <v>1</v>
      </c>
      <c r="I1116" s="10" t="n">
        <v>0</v>
      </c>
      <c r="J1116" s="10" t="n">
        <v>0</v>
      </c>
      <c r="K1116" s="10" t="n">
        <v>0</v>
      </c>
      <c r="L1116" s="10" t="n">
        <v>0</v>
      </c>
      <c r="M1116" s="10" t="n">
        <v>0</v>
      </c>
      <c r="N1116" s="10" t="n">
        <v>0</v>
      </c>
      <c r="P1116" s="10" t="n">
        <v>47.9</v>
      </c>
      <c r="Q1116" s="10">
        <f>A1116&amp;"|"&amp;B1116&amp;"|"&amp;C1116&amp;"|"&amp;D1116&amp;"|"&amp;E1116&amp;"|"&amp;F1116&amp;"|"&amp;G1116&amp;"|"&amp;H1116&amp;"|"&amp;I1116&amp;"|"&amp;J1116&amp;"|"&amp;K1116&amp;"|"&amp;L1116&amp;"|"&amp;M1116&amp;"|"&amp;N1116&amp;"|"&amp;O1116&amp;"|"&amp;P1116</f>
        <v/>
      </c>
      <c r="R1116" s="10">
        <f>IF(COUNTIF($Q$2:$Q$1409,Q1116)&gt;1,IF(COUNTIF($Q$2:Q1116,Q1116)=1,"Exact Duplicate - Keep First","Exact Duplicate - Remove"),"Unique")</f>
        <v/>
      </c>
    </row>
    <row r="1117" ht="15" customHeight="1" s="11">
      <c r="A1117" s="10" t="inlineStr">
        <is>
          <t>USR-101116</t>
        </is>
      </c>
      <c r="B1117" s="14" t="n">
        <v>45726</v>
      </c>
      <c r="C1117" s="10" t="inlineStr">
        <is>
          <t>Treatment</t>
        </is>
      </c>
      <c r="D1117" s="10" t="inlineStr">
        <is>
          <t>East</t>
        </is>
      </c>
      <c r="E1117" s="10" t="inlineStr">
        <is>
          <t>Mobile</t>
        </is>
      </c>
      <c r="F1117" s="10" t="inlineStr">
        <is>
          <t>Paid Search</t>
        </is>
      </c>
      <c r="G1117" s="10" t="inlineStr">
        <is>
          <t>Free</t>
        </is>
      </c>
      <c r="H1117" s="10" t="n">
        <v>1</v>
      </c>
      <c r="I1117" s="10" t="n">
        <v>1</v>
      </c>
      <c r="J1117" s="10" t="n">
        <v>0</v>
      </c>
      <c r="K1117" s="10" t="n">
        <v>0</v>
      </c>
      <c r="L1117" s="10" t="n">
        <v>0</v>
      </c>
      <c r="M1117" s="10" t="n">
        <v>0</v>
      </c>
      <c r="N1117" s="10" t="n">
        <v>0</v>
      </c>
      <c r="P1117" s="10" t="n">
        <v>41.5</v>
      </c>
      <c r="Q1117" s="10">
        <f>A1117&amp;"|"&amp;B1117&amp;"|"&amp;C1117&amp;"|"&amp;D1117&amp;"|"&amp;E1117&amp;"|"&amp;F1117&amp;"|"&amp;G1117&amp;"|"&amp;H1117&amp;"|"&amp;I1117&amp;"|"&amp;J1117&amp;"|"&amp;K1117&amp;"|"&amp;L1117&amp;"|"&amp;M1117&amp;"|"&amp;N1117&amp;"|"&amp;O1117&amp;"|"&amp;P1117</f>
        <v/>
      </c>
      <c r="R1117" s="10">
        <f>IF(COUNTIF($Q$2:$Q$1409,Q1117)&gt;1,IF(COUNTIF($Q$2:Q1117,Q1117)=1,"Exact Duplicate - Keep First","Exact Duplicate - Remove"),"Unique")</f>
        <v/>
      </c>
    </row>
    <row r="1118" ht="15" customHeight="1" s="11">
      <c r="A1118" s="10" t="inlineStr">
        <is>
          <t>USR-101117</t>
        </is>
      </c>
      <c r="B1118" s="14" t="n">
        <v>45683</v>
      </c>
      <c r="C1118" s="10" t="inlineStr">
        <is>
          <t>Treatment</t>
        </is>
      </c>
      <c r="D1118" s="10" t="inlineStr">
        <is>
          <t>West</t>
        </is>
      </c>
      <c r="E1118" s="10" t="inlineStr">
        <is>
          <t>Mobile</t>
        </is>
      </c>
      <c r="F1118" s="10" t="inlineStr">
        <is>
          <t>Organic</t>
        </is>
      </c>
      <c r="G1118" s="10" t="inlineStr">
        <is>
          <t>Basic</t>
        </is>
      </c>
      <c r="H1118" s="10" t="n">
        <v>1</v>
      </c>
      <c r="I1118" s="10" t="n">
        <v>1</v>
      </c>
      <c r="J1118" s="10" t="n">
        <v>1</v>
      </c>
      <c r="K1118" s="10" t="n">
        <v>0</v>
      </c>
      <c r="L1118" s="10" t="n">
        <v>0</v>
      </c>
      <c r="M1118" s="10" t="n">
        <v>3</v>
      </c>
      <c r="N1118" s="10" t="n">
        <v>0</v>
      </c>
      <c r="P1118" s="10" t="n">
        <v>30.6</v>
      </c>
      <c r="Q1118" s="10">
        <f>A1118&amp;"|"&amp;B1118&amp;"|"&amp;C1118&amp;"|"&amp;D1118&amp;"|"&amp;E1118&amp;"|"&amp;F1118&amp;"|"&amp;G1118&amp;"|"&amp;H1118&amp;"|"&amp;I1118&amp;"|"&amp;J1118&amp;"|"&amp;K1118&amp;"|"&amp;L1118&amp;"|"&amp;M1118&amp;"|"&amp;N1118&amp;"|"&amp;O1118&amp;"|"&amp;P1118</f>
        <v/>
      </c>
      <c r="R1118" s="10">
        <f>IF(COUNTIF($Q$2:$Q$1409,Q1118)&gt;1,IF(COUNTIF($Q$2:Q1118,Q1118)=1,"Exact Duplicate - Keep First","Exact Duplicate - Remove"),"Unique")</f>
        <v/>
      </c>
    </row>
    <row r="1119" ht="15" customHeight="1" s="11">
      <c r="A1119" s="10" t="inlineStr">
        <is>
          <t>USR-101118</t>
        </is>
      </c>
      <c r="B1119" s="14" t="n">
        <v>45658</v>
      </c>
      <c r="C1119" s="10" t="inlineStr">
        <is>
          <t>Treatment</t>
        </is>
      </c>
      <c r="D1119" s="10" t="inlineStr">
        <is>
          <t>East</t>
        </is>
      </c>
      <c r="E1119" s="10" t="inlineStr">
        <is>
          <t>Mobile</t>
        </is>
      </c>
      <c r="F1119" s="10" t="inlineStr">
        <is>
          <t>Paid Search</t>
        </is>
      </c>
      <c r="G1119" s="10" t="inlineStr">
        <is>
          <t>Free</t>
        </is>
      </c>
      <c r="H1119" s="10" t="n">
        <v>1</v>
      </c>
      <c r="I1119" s="10" t="n">
        <v>1</v>
      </c>
      <c r="J1119" s="10" t="n">
        <v>0</v>
      </c>
      <c r="K1119" s="10" t="n">
        <v>0</v>
      </c>
      <c r="L1119" s="10" t="n">
        <v>0</v>
      </c>
      <c r="M1119" s="10" t="n">
        <v>0</v>
      </c>
      <c r="N1119" s="10" t="n">
        <v>0</v>
      </c>
      <c r="P1119" s="10" t="n">
        <v>91.5</v>
      </c>
      <c r="Q1119" s="10">
        <f>A1119&amp;"|"&amp;B1119&amp;"|"&amp;C1119&amp;"|"&amp;D1119&amp;"|"&amp;E1119&amp;"|"&amp;F1119&amp;"|"&amp;G1119&amp;"|"&amp;H1119&amp;"|"&amp;I1119&amp;"|"&amp;J1119&amp;"|"&amp;K1119&amp;"|"&amp;L1119&amp;"|"&amp;M1119&amp;"|"&amp;N1119&amp;"|"&amp;O1119&amp;"|"&amp;P1119</f>
        <v/>
      </c>
      <c r="R1119" s="10">
        <f>IF(COUNTIF($Q$2:$Q$1409,Q1119)&gt;1,IF(COUNTIF($Q$2:Q1119,Q1119)=1,"Exact Duplicate - Keep First","Exact Duplicate - Remove"),"Unique")</f>
        <v/>
      </c>
    </row>
    <row r="1120" ht="15" customHeight="1" s="11">
      <c r="A1120" s="10" t="inlineStr">
        <is>
          <t>USR-101119</t>
        </is>
      </c>
      <c r="B1120" s="14" t="n">
        <v>45775</v>
      </c>
      <c r="C1120" s="10" t="inlineStr">
        <is>
          <t>Treatment</t>
        </is>
      </c>
      <c r="D1120" s="10" t="inlineStr">
        <is>
          <t>North</t>
        </is>
      </c>
      <c r="E1120" s="10" t="inlineStr">
        <is>
          <t>Desktop</t>
        </is>
      </c>
      <c r="F1120" s="10" t="inlineStr">
        <is>
          <t>Social</t>
        </is>
      </c>
      <c r="G1120" s="10" t="inlineStr">
        <is>
          <t>Basic</t>
        </is>
      </c>
      <c r="H1120" s="10" t="n">
        <v>1</v>
      </c>
      <c r="I1120" s="10" t="n">
        <v>0</v>
      </c>
      <c r="J1120" s="10" t="n">
        <v>0</v>
      </c>
      <c r="K1120" s="10" t="n">
        <v>0</v>
      </c>
      <c r="L1120" s="10" t="n">
        <v>0</v>
      </c>
      <c r="M1120" s="10" t="n">
        <v>0</v>
      </c>
      <c r="N1120" s="10" t="n">
        <v>0</v>
      </c>
      <c r="P1120" s="10" t="n">
        <v>80.8</v>
      </c>
      <c r="Q1120" s="10">
        <f>A1120&amp;"|"&amp;B1120&amp;"|"&amp;C1120&amp;"|"&amp;D1120&amp;"|"&amp;E1120&amp;"|"&amp;F1120&amp;"|"&amp;G1120&amp;"|"&amp;H1120&amp;"|"&amp;I1120&amp;"|"&amp;J1120&amp;"|"&amp;K1120&amp;"|"&amp;L1120&amp;"|"&amp;M1120&amp;"|"&amp;N1120&amp;"|"&amp;O1120&amp;"|"&amp;P1120</f>
        <v/>
      </c>
      <c r="R1120" s="10">
        <f>IF(COUNTIF($Q$2:$Q$1409,Q1120)&gt;1,IF(COUNTIF($Q$2:Q1120,Q1120)=1,"Exact Duplicate - Keep First","Exact Duplicate - Remove"),"Unique")</f>
        <v/>
      </c>
    </row>
    <row r="1121" ht="15" customHeight="1" s="11">
      <c r="A1121" s="10" t="inlineStr">
        <is>
          <t>USR-101120</t>
        </is>
      </c>
      <c r="B1121" s="14" t="n">
        <v>45751</v>
      </c>
      <c r="C1121" s="10" t="inlineStr">
        <is>
          <t>Treatment</t>
        </is>
      </c>
      <c r="D1121" s="10" t="inlineStr">
        <is>
          <t>North</t>
        </is>
      </c>
      <c r="E1121" s="10" t="inlineStr">
        <is>
          <t>Mobile</t>
        </is>
      </c>
      <c r="F1121" s="10" t="inlineStr">
        <is>
          <t>Organic</t>
        </is>
      </c>
      <c r="G1121" s="10" t="inlineStr">
        <is>
          <t>Premium</t>
        </is>
      </c>
      <c r="H1121" s="10" t="n">
        <v>1</v>
      </c>
      <c r="I1121" s="10" t="n">
        <v>0</v>
      </c>
      <c r="J1121" s="10" t="n">
        <v>0</v>
      </c>
      <c r="K1121" s="10" t="n">
        <v>0</v>
      </c>
      <c r="L1121" s="10" t="n">
        <v>0</v>
      </c>
      <c r="M1121" s="10" t="n">
        <v>0</v>
      </c>
      <c r="N1121" s="10" t="n">
        <v>0</v>
      </c>
      <c r="P1121" s="10" t="n">
        <v>68.09999999999999</v>
      </c>
      <c r="Q1121" s="10">
        <f>A1121&amp;"|"&amp;B1121&amp;"|"&amp;C1121&amp;"|"&amp;D1121&amp;"|"&amp;E1121&amp;"|"&amp;F1121&amp;"|"&amp;G1121&amp;"|"&amp;H1121&amp;"|"&amp;I1121&amp;"|"&amp;J1121&amp;"|"&amp;K1121&amp;"|"&amp;L1121&amp;"|"&amp;M1121&amp;"|"&amp;N1121&amp;"|"&amp;O1121&amp;"|"&amp;P1121</f>
        <v/>
      </c>
      <c r="R1121" s="10">
        <f>IF(COUNTIF($Q$2:$Q$1409,Q1121)&gt;1,IF(COUNTIF($Q$2:Q1121,Q1121)=1,"Exact Duplicate - Keep First","Exact Duplicate - Remove"),"Unique")</f>
        <v/>
      </c>
    </row>
    <row r="1122" ht="15" customHeight="1" s="11">
      <c r="A1122" s="10" t="inlineStr">
        <is>
          <t>USR-101121</t>
        </is>
      </c>
      <c r="B1122" s="14" t="n">
        <v>45718</v>
      </c>
      <c r="C1122" s="10" t="inlineStr">
        <is>
          <t>Treatment</t>
        </is>
      </c>
      <c r="D1122" s="10" t="inlineStr">
        <is>
          <t>East</t>
        </is>
      </c>
      <c r="E1122" s="10" t="inlineStr">
        <is>
          <t>Mobile</t>
        </is>
      </c>
      <c r="F1122" s="10" t="inlineStr">
        <is>
          <t>Paid Search</t>
        </is>
      </c>
      <c r="G1122" s="10" t="inlineStr">
        <is>
          <t>Free</t>
        </is>
      </c>
      <c r="H1122" s="10" t="n">
        <v>1</v>
      </c>
      <c r="I1122" s="10" t="n">
        <v>0</v>
      </c>
      <c r="J1122" s="10" t="n">
        <v>0</v>
      </c>
      <c r="K1122" s="10" t="n">
        <v>0</v>
      </c>
      <c r="L1122" s="10" t="n">
        <v>0</v>
      </c>
      <c r="M1122" s="10" t="n">
        <v>0</v>
      </c>
      <c r="N1122" s="10" t="n">
        <v>0</v>
      </c>
      <c r="P1122" s="10" t="n">
        <v>80.3</v>
      </c>
      <c r="Q1122" s="10">
        <f>A1122&amp;"|"&amp;B1122&amp;"|"&amp;C1122&amp;"|"&amp;D1122&amp;"|"&amp;E1122&amp;"|"&amp;F1122&amp;"|"&amp;G1122&amp;"|"&amp;H1122&amp;"|"&amp;I1122&amp;"|"&amp;J1122&amp;"|"&amp;K1122&amp;"|"&amp;L1122&amp;"|"&amp;M1122&amp;"|"&amp;N1122&amp;"|"&amp;O1122&amp;"|"&amp;P1122</f>
        <v/>
      </c>
      <c r="R1122" s="10">
        <f>IF(COUNTIF($Q$2:$Q$1409,Q1122)&gt;1,IF(COUNTIF($Q$2:Q1122,Q1122)=1,"Exact Duplicate - Keep First","Exact Duplicate - Remove"),"Unique")</f>
        <v/>
      </c>
    </row>
    <row r="1123" ht="15" customHeight="1" s="11">
      <c r="A1123" s="10" t="inlineStr">
        <is>
          <t>USR-101122</t>
        </is>
      </c>
      <c r="B1123" s="14" t="n">
        <v>45735</v>
      </c>
      <c r="C1123" s="10" t="inlineStr">
        <is>
          <t>Treatment</t>
        </is>
      </c>
      <c r="D1123" s="10" t="inlineStr">
        <is>
          <t>South</t>
        </is>
      </c>
      <c r="E1123" s="10" t="inlineStr">
        <is>
          <t>Tablet</t>
        </is>
      </c>
      <c r="F1123" s="10" t="inlineStr">
        <is>
          <t>Organic</t>
        </is>
      </c>
      <c r="G1123" s="10" t="inlineStr">
        <is>
          <t>Basic</t>
        </is>
      </c>
      <c r="H1123" s="10" t="n">
        <v>1</v>
      </c>
      <c r="I1123" s="10" t="n">
        <v>0</v>
      </c>
      <c r="J1123" s="10" t="n">
        <v>0</v>
      </c>
      <c r="K1123" s="10" t="n">
        <v>0</v>
      </c>
      <c r="L1123" s="10" t="n">
        <v>0</v>
      </c>
      <c r="M1123" s="10" t="n">
        <v>0</v>
      </c>
      <c r="N1123" s="10" t="n">
        <v>0</v>
      </c>
      <c r="P1123" s="10" t="n">
        <v>44.4</v>
      </c>
      <c r="Q1123" s="10">
        <f>A1123&amp;"|"&amp;B1123&amp;"|"&amp;C1123&amp;"|"&amp;D1123&amp;"|"&amp;E1123&amp;"|"&amp;F1123&amp;"|"&amp;G1123&amp;"|"&amp;H1123&amp;"|"&amp;I1123&amp;"|"&amp;J1123&amp;"|"&amp;K1123&amp;"|"&amp;L1123&amp;"|"&amp;M1123&amp;"|"&amp;N1123&amp;"|"&amp;O1123&amp;"|"&amp;P1123</f>
        <v/>
      </c>
      <c r="R1123" s="10">
        <f>IF(COUNTIF($Q$2:$Q$1409,Q1123)&gt;1,IF(COUNTIF($Q$2:Q1123,Q1123)=1,"Exact Duplicate - Keep First","Exact Duplicate - Remove"),"Unique")</f>
        <v/>
      </c>
    </row>
    <row r="1124" ht="15" customHeight="1" s="11">
      <c r="A1124" s="10" t="inlineStr">
        <is>
          <t>USR-101123</t>
        </is>
      </c>
      <c r="B1124" s="14" t="n">
        <v>45677</v>
      </c>
      <c r="C1124" s="10" t="inlineStr">
        <is>
          <t>Treatment</t>
        </is>
      </c>
      <c r="D1124" s="10" t="inlineStr">
        <is>
          <t>South</t>
        </is>
      </c>
      <c r="E1124" s="10" t="inlineStr">
        <is>
          <t>Desktop</t>
        </is>
      </c>
      <c r="F1124" s="10" t="inlineStr">
        <is>
          <t>Organic</t>
        </is>
      </c>
      <c r="G1124" s="10" t="inlineStr">
        <is>
          <t>Basic</t>
        </is>
      </c>
      <c r="H1124" s="10" t="n">
        <v>0</v>
      </c>
      <c r="I1124" s="10" t="n">
        <v>0</v>
      </c>
      <c r="J1124" s="10" t="n">
        <v>0</v>
      </c>
      <c r="K1124" s="10" t="n">
        <v>0</v>
      </c>
      <c r="L1124" s="10" t="n">
        <v>0</v>
      </c>
      <c r="M1124" s="10" t="n">
        <v>0</v>
      </c>
      <c r="N1124" s="10" t="n">
        <v>0</v>
      </c>
      <c r="P1124" s="10" t="n">
        <v>51.9</v>
      </c>
      <c r="Q1124" s="10">
        <f>A1124&amp;"|"&amp;B1124&amp;"|"&amp;C1124&amp;"|"&amp;D1124&amp;"|"&amp;E1124&amp;"|"&amp;F1124&amp;"|"&amp;G1124&amp;"|"&amp;H1124&amp;"|"&amp;I1124&amp;"|"&amp;J1124&amp;"|"&amp;K1124&amp;"|"&amp;L1124&amp;"|"&amp;M1124&amp;"|"&amp;N1124&amp;"|"&amp;O1124&amp;"|"&amp;P1124</f>
        <v/>
      </c>
      <c r="R1124" s="10">
        <f>IF(COUNTIF($Q$2:$Q$1409,Q1124)&gt;1,IF(COUNTIF($Q$2:Q1124,Q1124)=1,"Exact Duplicate - Keep First","Exact Duplicate - Remove"),"Unique")</f>
        <v/>
      </c>
    </row>
    <row r="1125" ht="15" customHeight="1" s="11">
      <c r="A1125" s="10" t="inlineStr">
        <is>
          <t>USR-101124</t>
        </is>
      </c>
      <c r="B1125" s="14" t="n">
        <v>45750</v>
      </c>
      <c r="C1125" s="10" t="inlineStr">
        <is>
          <t>Treatment</t>
        </is>
      </c>
      <c r="D1125" s="10" t="inlineStr">
        <is>
          <t>East</t>
        </is>
      </c>
      <c r="E1125" s="10" t="inlineStr">
        <is>
          <t>Mobile</t>
        </is>
      </c>
      <c r="F1125" s="10" t="inlineStr">
        <is>
          <t>Paid Search</t>
        </is>
      </c>
      <c r="G1125" s="10" t="inlineStr">
        <is>
          <t>Free</t>
        </is>
      </c>
      <c r="H1125" s="10" t="n">
        <v>1</v>
      </c>
      <c r="I1125" s="10" t="n">
        <v>1</v>
      </c>
      <c r="J1125" s="10" t="n">
        <v>0</v>
      </c>
      <c r="K1125" s="10" t="n">
        <v>0</v>
      </c>
      <c r="L1125" s="10" t="n">
        <v>0</v>
      </c>
      <c r="M1125" s="10" t="n">
        <v>0</v>
      </c>
      <c r="N1125" s="10" t="n">
        <v>0</v>
      </c>
      <c r="P1125" s="10" t="n">
        <v>49.8</v>
      </c>
      <c r="Q1125" s="10">
        <f>A1125&amp;"|"&amp;B1125&amp;"|"&amp;C1125&amp;"|"&amp;D1125&amp;"|"&amp;E1125&amp;"|"&amp;F1125&amp;"|"&amp;G1125&amp;"|"&amp;H1125&amp;"|"&amp;I1125&amp;"|"&amp;J1125&amp;"|"&amp;K1125&amp;"|"&amp;L1125&amp;"|"&amp;M1125&amp;"|"&amp;N1125&amp;"|"&amp;O1125&amp;"|"&amp;P1125</f>
        <v/>
      </c>
      <c r="R1125" s="10">
        <f>IF(COUNTIF($Q$2:$Q$1409,Q1125)&gt;1,IF(COUNTIF($Q$2:Q1125,Q1125)=1,"Exact Duplicate - Keep First","Exact Duplicate - Remove"),"Unique")</f>
        <v/>
      </c>
    </row>
    <row r="1126" ht="15" customHeight="1" s="11">
      <c r="A1126" s="10" t="inlineStr">
        <is>
          <t>USR-101125</t>
        </is>
      </c>
      <c r="B1126" s="14" t="n">
        <v>45668</v>
      </c>
      <c r="C1126" s="10" t="inlineStr">
        <is>
          <t>Treatment</t>
        </is>
      </c>
      <c r="D1126" s="10" t="inlineStr">
        <is>
          <t>East</t>
        </is>
      </c>
      <c r="E1126" s="10" t="inlineStr">
        <is>
          <t>Desktop</t>
        </is>
      </c>
      <c r="F1126" s="10" t="inlineStr">
        <is>
          <t>Social</t>
        </is>
      </c>
      <c r="G1126" s="10" t="inlineStr">
        <is>
          <t>Free</t>
        </is>
      </c>
      <c r="H1126" s="10" t="n">
        <v>1</v>
      </c>
      <c r="I1126" s="10" t="n">
        <v>1</v>
      </c>
      <c r="J1126" s="10" t="n">
        <v>1</v>
      </c>
      <c r="K1126" s="10" t="n">
        <v>0</v>
      </c>
      <c r="L1126" s="10" t="n">
        <v>0</v>
      </c>
      <c r="M1126" s="10" t="n">
        <v>3</v>
      </c>
      <c r="N1126" s="10" t="n">
        <v>0</v>
      </c>
      <c r="P1126" s="10" t="n">
        <v>62.1</v>
      </c>
      <c r="Q1126" s="10">
        <f>A1126&amp;"|"&amp;B1126&amp;"|"&amp;C1126&amp;"|"&amp;D1126&amp;"|"&amp;E1126&amp;"|"&amp;F1126&amp;"|"&amp;G1126&amp;"|"&amp;H1126&amp;"|"&amp;I1126&amp;"|"&amp;J1126&amp;"|"&amp;K1126&amp;"|"&amp;L1126&amp;"|"&amp;M1126&amp;"|"&amp;N1126&amp;"|"&amp;O1126&amp;"|"&amp;P1126</f>
        <v/>
      </c>
      <c r="R1126" s="10">
        <f>IF(COUNTIF($Q$2:$Q$1409,Q1126)&gt;1,IF(COUNTIF($Q$2:Q1126,Q1126)=1,"Exact Duplicate - Keep First","Exact Duplicate - Remove"),"Unique")</f>
        <v/>
      </c>
    </row>
    <row r="1127" ht="15" customHeight="1" s="11">
      <c r="A1127" s="10" t="inlineStr">
        <is>
          <t>USR-101126</t>
        </is>
      </c>
      <c r="B1127" s="14" t="n">
        <v>45690</v>
      </c>
      <c r="C1127" s="10" t="inlineStr">
        <is>
          <t>Treatment</t>
        </is>
      </c>
      <c r="D1127" s="10" t="inlineStr">
        <is>
          <t>West</t>
        </is>
      </c>
      <c r="E1127" s="10" t="inlineStr">
        <is>
          <t>Desktop</t>
        </is>
      </c>
      <c r="F1127" s="10" t="inlineStr">
        <is>
          <t>Social</t>
        </is>
      </c>
      <c r="G1127" s="10" t="inlineStr">
        <is>
          <t>Basic</t>
        </is>
      </c>
      <c r="H1127" s="10" t="n">
        <v>1</v>
      </c>
      <c r="I1127" s="10" t="n">
        <v>0</v>
      </c>
      <c r="J1127" s="10" t="n">
        <v>0</v>
      </c>
      <c r="K1127" s="10" t="n">
        <v>0</v>
      </c>
      <c r="L1127" s="10" t="n">
        <v>0</v>
      </c>
      <c r="M1127" s="10" t="n">
        <v>0</v>
      </c>
      <c r="N1127" s="10" t="n">
        <v>0</v>
      </c>
      <c r="P1127" s="10" t="n">
        <v>91.3</v>
      </c>
      <c r="Q1127" s="10">
        <f>A1127&amp;"|"&amp;B1127&amp;"|"&amp;C1127&amp;"|"&amp;D1127&amp;"|"&amp;E1127&amp;"|"&amp;F1127&amp;"|"&amp;G1127&amp;"|"&amp;H1127&amp;"|"&amp;I1127&amp;"|"&amp;J1127&amp;"|"&amp;K1127&amp;"|"&amp;L1127&amp;"|"&amp;M1127&amp;"|"&amp;N1127&amp;"|"&amp;O1127&amp;"|"&amp;P1127</f>
        <v/>
      </c>
      <c r="R1127" s="10">
        <f>IF(COUNTIF($Q$2:$Q$1409,Q1127)&gt;1,IF(COUNTIF($Q$2:Q1127,Q1127)=1,"Exact Duplicate - Keep First","Exact Duplicate - Remove"),"Unique")</f>
        <v/>
      </c>
    </row>
    <row r="1128" ht="15" customHeight="1" s="11">
      <c r="A1128" s="10" t="inlineStr">
        <is>
          <t>USR-101127</t>
        </is>
      </c>
      <c r="B1128" s="14" t="n">
        <v>45748</v>
      </c>
      <c r="C1128" s="10" t="inlineStr">
        <is>
          <t>Treatment</t>
        </is>
      </c>
      <c r="D1128" s="10" t="inlineStr">
        <is>
          <t>South</t>
        </is>
      </c>
      <c r="E1128" s="10" t="inlineStr">
        <is>
          <t>Mobile</t>
        </is>
      </c>
      <c r="F1128" s="10" t="inlineStr">
        <is>
          <t>Organic</t>
        </is>
      </c>
      <c r="G1128" s="10" t="inlineStr">
        <is>
          <t>Basic</t>
        </is>
      </c>
      <c r="H1128" s="10" t="n">
        <v>1</v>
      </c>
      <c r="I1128" s="10" t="n">
        <v>0</v>
      </c>
      <c r="J1128" s="10" t="n">
        <v>0</v>
      </c>
      <c r="K1128" s="10" t="n">
        <v>0</v>
      </c>
      <c r="L1128" s="10" t="n">
        <v>0</v>
      </c>
      <c r="M1128" s="10" t="n">
        <v>0</v>
      </c>
      <c r="N1128" s="10" t="n">
        <v>0</v>
      </c>
      <c r="P1128" s="10" t="n">
        <v>66.40000000000001</v>
      </c>
      <c r="Q1128" s="10">
        <f>A1128&amp;"|"&amp;B1128&amp;"|"&amp;C1128&amp;"|"&amp;D1128&amp;"|"&amp;E1128&amp;"|"&amp;F1128&amp;"|"&amp;G1128&amp;"|"&amp;H1128&amp;"|"&amp;I1128&amp;"|"&amp;J1128&amp;"|"&amp;K1128&amp;"|"&amp;L1128&amp;"|"&amp;M1128&amp;"|"&amp;N1128&amp;"|"&amp;O1128&amp;"|"&amp;P1128</f>
        <v/>
      </c>
      <c r="R1128" s="10">
        <f>IF(COUNTIF($Q$2:$Q$1409,Q1128)&gt;1,IF(COUNTIF($Q$2:Q1128,Q1128)=1,"Exact Duplicate - Keep First","Exact Duplicate - Remove"),"Unique")</f>
        <v/>
      </c>
    </row>
    <row r="1129" ht="15" customHeight="1" s="11">
      <c r="A1129" s="10" t="inlineStr">
        <is>
          <t>USR-101128</t>
        </is>
      </c>
      <c r="B1129" s="14" t="n">
        <v>45799</v>
      </c>
      <c r="C1129" s="10" t="inlineStr">
        <is>
          <t>Treatment</t>
        </is>
      </c>
      <c r="D1129" s="10" t="inlineStr">
        <is>
          <t>East</t>
        </is>
      </c>
      <c r="E1129" s="10" t="inlineStr">
        <is>
          <t>Mobile</t>
        </is>
      </c>
      <c r="F1129" s="10" t="inlineStr">
        <is>
          <t>Organic</t>
        </is>
      </c>
      <c r="G1129" s="10" t="inlineStr">
        <is>
          <t>Basic</t>
        </is>
      </c>
      <c r="H1129" s="10" t="n">
        <v>1</v>
      </c>
      <c r="I1129" s="10" t="n">
        <v>0</v>
      </c>
      <c r="J1129" s="10" t="n">
        <v>0</v>
      </c>
      <c r="K1129" s="10" t="n">
        <v>0</v>
      </c>
      <c r="L1129" s="10" t="n">
        <v>0</v>
      </c>
      <c r="M1129" s="10" t="n">
        <v>0</v>
      </c>
      <c r="N1129" s="10" t="n">
        <v>0</v>
      </c>
      <c r="P1129" s="10" t="n">
        <v>41.5</v>
      </c>
      <c r="Q1129" s="10">
        <f>A1129&amp;"|"&amp;B1129&amp;"|"&amp;C1129&amp;"|"&amp;D1129&amp;"|"&amp;E1129&amp;"|"&amp;F1129&amp;"|"&amp;G1129&amp;"|"&amp;H1129&amp;"|"&amp;I1129&amp;"|"&amp;J1129&amp;"|"&amp;K1129&amp;"|"&amp;L1129&amp;"|"&amp;M1129&amp;"|"&amp;N1129&amp;"|"&amp;O1129&amp;"|"&amp;P1129</f>
        <v/>
      </c>
      <c r="R1129" s="10">
        <f>IF(COUNTIF($Q$2:$Q$1409,Q1129)&gt;1,IF(COUNTIF($Q$2:Q1129,Q1129)=1,"Exact Duplicate - Keep First","Exact Duplicate - Remove"),"Unique")</f>
        <v/>
      </c>
    </row>
    <row r="1130" ht="15" customHeight="1" s="11">
      <c r="A1130" s="10" t="inlineStr">
        <is>
          <t>USR-101129</t>
        </is>
      </c>
      <c r="B1130" s="14" t="n">
        <v>45708</v>
      </c>
      <c r="C1130" s="10" t="inlineStr">
        <is>
          <t>Treatment</t>
        </is>
      </c>
      <c r="D1130" s="10" t="inlineStr">
        <is>
          <t>West</t>
        </is>
      </c>
      <c r="E1130" s="10" t="inlineStr">
        <is>
          <t>Mobile</t>
        </is>
      </c>
      <c r="F1130" s="10" t="inlineStr">
        <is>
          <t>Organic</t>
        </is>
      </c>
      <c r="G1130" s="10" t="inlineStr">
        <is>
          <t>Basic</t>
        </is>
      </c>
      <c r="H1130" s="10" t="n">
        <v>0</v>
      </c>
      <c r="I1130" s="10" t="n">
        <v>0</v>
      </c>
      <c r="J1130" s="10" t="n">
        <v>0</v>
      </c>
      <c r="K1130" s="10" t="n">
        <v>0</v>
      </c>
      <c r="L1130" s="10" t="n">
        <v>0</v>
      </c>
      <c r="M1130" s="10" t="n">
        <v>0</v>
      </c>
      <c r="N1130" s="10" t="n">
        <v>0</v>
      </c>
      <c r="P1130" s="10" t="n">
        <v>77.09999999999999</v>
      </c>
      <c r="Q1130" s="10">
        <f>A1130&amp;"|"&amp;B1130&amp;"|"&amp;C1130&amp;"|"&amp;D1130&amp;"|"&amp;E1130&amp;"|"&amp;F1130&amp;"|"&amp;G1130&amp;"|"&amp;H1130&amp;"|"&amp;I1130&amp;"|"&amp;J1130&amp;"|"&amp;K1130&amp;"|"&amp;L1130&amp;"|"&amp;M1130&amp;"|"&amp;N1130&amp;"|"&amp;O1130&amp;"|"&amp;P1130</f>
        <v/>
      </c>
      <c r="R1130" s="10">
        <f>IF(COUNTIF($Q$2:$Q$1409,Q1130)&gt;1,IF(COUNTIF($Q$2:Q1130,Q1130)=1,"Exact Duplicate - Keep First","Exact Duplicate - Remove"),"Unique")</f>
        <v/>
      </c>
    </row>
    <row r="1131" ht="15" customHeight="1" s="11">
      <c r="A1131" s="10" t="inlineStr">
        <is>
          <t>USR-101130</t>
        </is>
      </c>
      <c r="B1131" s="14" t="n">
        <v>45737</v>
      </c>
      <c r="C1131" s="10" t="inlineStr">
        <is>
          <t>Treatment</t>
        </is>
      </c>
      <c r="D1131" s="10" t="inlineStr">
        <is>
          <t>West</t>
        </is>
      </c>
      <c r="E1131" s="10" t="inlineStr">
        <is>
          <t>Mobile</t>
        </is>
      </c>
      <c r="F1131" s="10" t="inlineStr">
        <is>
          <t>Organic</t>
        </is>
      </c>
      <c r="G1131" s="10" t="inlineStr">
        <is>
          <t>Free</t>
        </is>
      </c>
      <c r="H1131" s="10" t="n">
        <v>1</v>
      </c>
      <c r="I1131" s="10" t="n">
        <v>0</v>
      </c>
      <c r="J1131" s="10" t="n">
        <v>0</v>
      </c>
      <c r="K1131" s="10" t="n">
        <v>0</v>
      </c>
      <c r="L1131" s="10" t="n">
        <v>0</v>
      </c>
      <c r="M1131" s="10" t="n">
        <v>0</v>
      </c>
      <c r="N1131" s="10" t="n">
        <v>0</v>
      </c>
      <c r="P1131" s="10" t="n">
        <v>63.2</v>
      </c>
      <c r="Q1131" s="10">
        <f>A1131&amp;"|"&amp;B1131&amp;"|"&amp;C1131&amp;"|"&amp;D1131&amp;"|"&amp;E1131&amp;"|"&amp;F1131&amp;"|"&amp;G1131&amp;"|"&amp;H1131&amp;"|"&amp;I1131&amp;"|"&amp;J1131&amp;"|"&amp;K1131&amp;"|"&amp;L1131&amp;"|"&amp;M1131&amp;"|"&amp;N1131&amp;"|"&amp;O1131&amp;"|"&amp;P1131</f>
        <v/>
      </c>
      <c r="R1131" s="10">
        <f>IF(COUNTIF($Q$2:$Q$1409,Q1131)&gt;1,IF(COUNTIF($Q$2:Q1131,Q1131)=1,"Exact Duplicate - Keep First","Exact Duplicate - Remove"),"Unique")</f>
        <v/>
      </c>
    </row>
    <row r="1132" ht="15" customHeight="1" s="11">
      <c r="A1132" s="10" t="inlineStr">
        <is>
          <t>USR-101131</t>
        </is>
      </c>
      <c r="B1132" s="14" t="n">
        <v>45778</v>
      </c>
      <c r="C1132" s="10" t="inlineStr">
        <is>
          <t>Treatment</t>
        </is>
      </c>
      <c r="D1132" s="10" t="inlineStr">
        <is>
          <t>West</t>
        </is>
      </c>
      <c r="E1132" s="10" t="inlineStr">
        <is>
          <t>Desktop</t>
        </is>
      </c>
      <c r="F1132" s="10" t="inlineStr">
        <is>
          <t>Referral</t>
        </is>
      </c>
      <c r="G1132" s="10" t="inlineStr">
        <is>
          <t>Free</t>
        </is>
      </c>
      <c r="H1132" s="10" t="n">
        <v>1</v>
      </c>
      <c r="I1132" s="10" t="n">
        <v>1</v>
      </c>
      <c r="J1132" s="10" t="n">
        <v>1</v>
      </c>
      <c r="K1132" s="10" t="n">
        <v>0</v>
      </c>
      <c r="L1132" s="10" t="n">
        <v>0</v>
      </c>
      <c r="M1132" s="10" t="n">
        <v>3</v>
      </c>
      <c r="N1132" s="10" t="n">
        <v>0</v>
      </c>
      <c r="P1132" s="10" t="n">
        <v>75.7</v>
      </c>
      <c r="Q1132" s="10">
        <f>A1132&amp;"|"&amp;B1132&amp;"|"&amp;C1132&amp;"|"&amp;D1132&amp;"|"&amp;E1132&amp;"|"&amp;F1132&amp;"|"&amp;G1132&amp;"|"&amp;H1132&amp;"|"&amp;I1132&amp;"|"&amp;J1132&amp;"|"&amp;K1132&amp;"|"&amp;L1132&amp;"|"&amp;M1132&amp;"|"&amp;N1132&amp;"|"&amp;O1132&amp;"|"&amp;P1132</f>
        <v/>
      </c>
      <c r="R1132" s="10">
        <f>IF(COUNTIF($Q$2:$Q$1409,Q1132)&gt;1,IF(COUNTIF($Q$2:Q1132,Q1132)=1,"Exact Duplicate - Keep First","Exact Duplicate - Remove"),"Unique")</f>
        <v/>
      </c>
    </row>
    <row r="1133" ht="15" customHeight="1" s="11">
      <c r="A1133" s="10" t="inlineStr">
        <is>
          <t>USR-101132</t>
        </is>
      </c>
      <c r="B1133" s="14" t="n">
        <v>45663</v>
      </c>
      <c r="C1133" s="10" t="inlineStr">
        <is>
          <t>Treatment</t>
        </is>
      </c>
      <c r="D1133" s="10" t="inlineStr">
        <is>
          <t>West</t>
        </is>
      </c>
      <c r="E1133" s="10" t="inlineStr">
        <is>
          <t>Mobile</t>
        </is>
      </c>
      <c r="F1133" s="10" t="inlineStr">
        <is>
          <t>Paid Search</t>
        </is>
      </c>
      <c r="G1133" s="10" t="inlineStr">
        <is>
          <t>Basic</t>
        </is>
      </c>
      <c r="H1133" s="10" t="n">
        <v>0</v>
      </c>
      <c r="I1133" s="10" t="n">
        <v>0</v>
      </c>
      <c r="J1133" s="10" t="n">
        <v>0</v>
      </c>
      <c r="K1133" s="10" t="n">
        <v>0</v>
      </c>
      <c r="L1133" s="10" t="n">
        <v>0</v>
      </c>
      <c r="M1133" s="10" t="n">
        <v>0</v>
      </c>
      <c r="N1133" s="10" t="n">
        <v>0</v>
      </c>
      <c r="P1133" s="10" t="n">
        <v>62.9</v>
      </c>
      <c r="Q1133" s="10">
        <f>A1133&amp;"|"&amp;B1133&amp;"|"&amp;C1133&amp;"|"&amp;D1133&amp;"|"&amp;E1133&amp;"|"&amp;F1133&amp;"|"&amp;G1133&amp;"|"&amp;H1133&amp;"|"&amp;I1133&amp;"|"&amp;J1133&amp;"|"&amp;K1133&amp;"|"&amp;L1133&amp;"|"&amp;M1133&amp;"|"&amp;N1133&amp;"|"&amp;O1133&amp;"|"&amp;P1133</f>
        <v/>
      </c>
      <c r="R1133" s="10">
        <f>IF(COUNTIF($Q$2:$Q$1409,Q1133)&gt;1,IF(COUNTIF($Q$2:Q1133,Q1133)=1,"Exact Duplicate - Keep First","Exact Duplicate - Remove"),"Unique")</f>
        <v/>
      </c>
    </row>
    <row r="1134" ht="15" customHeight="1" s="11">
      <c r="A1134" s="10" t="inlineStr">
        <is>
          <t>USR-101133</t>
        </is>
      </c>
      <c r="B1134" s="14" t="n">
        <v>45759</v>
      </c>
      <c r="C1134" s="10" t="inlineStr">
        <is>
          <t>Treatment</t>
        </is>
      </c>
      <c r="D1134" s="10" t="inlineStr">
        <is>
          <t>North</t>
        </is>
      </c>
      <c r="E1134" s="10" t="inlineStr">
        <is>
          <t>Desktop</t>
        </is>
      </c>
      <c r="F1134" s="10" t="inlineStr">
        <is>
          <t>Paid Search</t>
        </is>
      </c>
      <c r="G1134" s="10" t="inlineStr">
        <is>
          <t>Premium</t>
        </is>
      </c>
      <c r="H1134" s="10" t="n">
        <v>1</v>
      </c>
      <c r="I1134" s="10" t="n">
        <v>0</v>
      </c>
      <c r="J1134" s="10" t="n">
        <v>0</v>
      </c>
      <c r="K1134" s="10" t="n">
        <v>0</v>
      </c>
      <c r="L1134" s="10" t="n">
        <v>0</v>
      </c>
      <c r="M1134" s="10" t="n">
        <v>3</v>
      </c>
      <c r="N1134" s="10" t="n">
        <v>0</v>
      </c>
      <c r="P1134" s="10" t="n">
        <v>64.59999999999999</v>
      </c>
      <c r="Q1134" s="10">
        <f>A1134&amp;"|"&amp;B1134&amp;"|"&amp;C1134&amp;"|"&amp;D1134&amp;"|"&amp;E1134&amp;"|"&amp;F1134&amp;"|"&amp;G1134&amp;"|"&amp;H1134&amp;"|"&amp;I1134&amp;"|"&amp;J1134&amp;"|"&amp;K1134&amp;"|"&amp;L1134&amp;"|"&amp;M1134&amp;"|"&amp;N1134&amp;"|"&amp;O1134&amp;"|"&amp;P1134</f>
        <v/>
      </c>
      <c r="R1134" s="10">
        <f>IF(COUNTIF($Q$2:$Q$1409,Q1134)&gt;1,IF(COUNTIF($Q$2:Q1134,Q1134)=1,"Exact Duplicate - Keep First","Exact Duplicate - Remove"),"Unique")</f>
        <v/>
      </c>
    </row>
    <row r="1135" ht="15" customHeight="1" s="11">
      <c r="A1135" s="10" t="inlineStr">
        <is>
          <t>USR-101134</t>
        </is>
      </c>
      <c r="B1135" s="14" t="n">
        <v>45765</v>
      </c>
      <c r="C1135" s="10" t="inlineStr">
        <is>
          <t>Treatment</t>
        </is>
      </c>
      <c r="D1135" s="10" t="inlineStr">
        <is>
          <t>North</t>
        </is>
      </c>
      <c r="E1135" s="10" t="inlineStr">
        <is>
          <t>Mobile</t>
        </is>
      </c>
      <c r="G1135" s="10" t="inlineStr">
        <is>
          <t>Basic</t>
        </is>
      </c>
      <c r="H1135" s="10" t="n">
        <v>1</v>
      </c>
      <c r="I1135" s="10" t="n">
        <v>0</v>
      </c>
      <c r="J1135" s="10" t="n">
        <v>0</v>
      </c>
      <c r="K1135" s="10" t="n">
        <v>0</v>
      </c>
      <c r="L1135" s="10" t="n">
        <v>0</v>
      </c>
      <c r="M1135" s="10" t="n">
        <v>0</v>
      </c>
      <c r="N1135" s="10" t="n">
        <v>0</v>
      </c>
      <c r="P1135" s="10" t="n">
        <v>76.59999999999999</v>
      </c>
      <c r="Q1135" s="10">
        <f>A1135&amp;"|"&amp;B1135&amp;"|"&amp;C1135&amp;"|"&amp;D1135&amp;"|"&amp;E1135&amp;"|"&amp;F1135&amp;"|"&amp;G1135&amp;"|"&amp;H1135&amp;"|"&amp;I1135&amp;"|"&amp;J1135&amp;"|"&amp;K1135&amp;"|"&amp;L1135&amp;"|"&amp;M1135&amp;"|"&amp;N1135&amp;"|"&amp;O1135&amp;"|"&amp;P1135</f>
        <v/>
      </c>
      <c r="R1135" s="10">
        <f>IF(COUNTIF($Q$2:$Q$1409,Q1135)&gt;1,IF(COUNTIF($Q$2:Q1135,Q1135)=1,"Exact Duplicate - Keep First","Exact Duplicate - Remove"),"Unique")</f>
        <v/>
      </c>
    </row>
    <row r="1136" ht="15" customHeight="1" s="11">
      <c r="A1136" s="10" t="inlineStr">
        <is>
          <t>USR-101135</t>
        </is>
      </c>
      <c r="B1136" s="14" t="n">
        <v>45740</v>
      </c>
      <c r="C1136" s="10" t="inlineStr">
        <is>
          <t>Treatment</t>
        </is>
      </c>
      <c r="D1136" s="10" t="inlineStr">
        <is>
          <t>East</t>
        </is>
      </c>
      <c r="E1136" s="10" t="inlineStr">
        <is>
          <t>Mobile</t>
        </is>
      </c>
      <c r="F1136" s="10" t="inlineStr">
        <is>
          <t>Social</t>
        </is>
      </c>
      <c r="G1136" s="10" t="inlineStr">
        <is>
          <t>Basic</t>
        </is>
      </c>
      <c r="H1136" s="10" t="n">
        <v>1</v>
      </c>
      <c r="I1136" s="10" t="n">
        <v>0</v>
      </c>
      <c r="J1136" s="10" t="n">
        <v>0</v>
      </c>
      <c r="K1136" s="10" t="n">
        <v>0</v>
      </c>
      <c r="L1136" s="10" t="n">
        <v>0</v>
      </c>
      <c r="M1136" s="10" t="n">
        <v>0</v>
      </c>
      <c r="N1136" s="10" t="n">
        <v>0</v>
      </c>
      <c r="P1136" s="10" t="n">
        <v>74.8</v>
      </c>
      <c r="Q1136" s="10">
        <f>A1136&amp;"|"&amp;B1136&amp;"|"&amp;C1136&amp;"|"&amp;D1136&amp;"|"&amp;E1136&amp;"|"&amp;F1136&amp;"|"&amp;G1136&amp;"|"&amp;H1136&amp;"|"&amp;I1136&amp;"|"&amp;J1136&amp;"|"&amp;K1136&amp;"|"&amp;L1136&amp;"|"&amp;M1136&amp;"|"&amp;N1136&amp;"|"&amp;O1136&amp;"|"&amp;P1136</f>
        <v/>
      </c>
      <c r="R1136" s="10">
        <f>IF(COUNTIF($Q$2:$Q$1409,Q1136)&gt;1,IF(COUNTIF($Q$2:Q1136,Q1136)=1,"Exact Duplicate - Keep First","Exact Duplicate - Remove"),"Unique")</f>
        <v/>
      </c>
    </row>
    <row r="1137" ht="15" customHeight="1" s="11">
      <c r="A1137" s="10" t="inlineStr">
        <is>
          <t>USR-101136</t>
        </is>
      </c>
      <c r="B1137" s="14" t="n">
        <v>45734</v>
      </c>
      <c r="C1137" s="10" t="inlineStr">
        <is>
          <t>Treatment</t>
        </is>
      </c>
      <c r="D1137" s="10" t="inlineStr">
        <is>
          <t>East</t>
        </is>
      </c>
      <c r="E1137" s="10" t="inlineStr">
        <is>
          <t>Desktop</t>
        </is>
      </c>
      <c r="F1137" s="10" t="inlineStr">
        <is>
          <t>Email</t>
        </is>
      </c>
      <c r="G1137" s="10" t="inlineStr">
        <is>
          <t>Premium</t>
        </is>
      </c>
      <c r="H1137" s="10" t="n">
        <v>1</v>
      </c>
      <c r="I1137" s="10" t="n">
        <v>0</v>
      </c>
      <c r="J1137" s="10" t="n">
        <v>0</v>
      </c>
      <c r="K1137" s="10" t="n">
        <v>0</v>
      </c>
      <c r="L1137" s="10" t="n">
        <v>0</v>
      </c>
      <c r="M1137" s="10" t="n">
        <v>2</v>
      </c>
      <c r="N1137" s="10" t="n">
        <v>0</v>
      </c>
      <c r="P1137" s="10" t="n">
        <v>38.1</v>
      </c>
      <c r="Q1137" s="10">
        <f>A1137&amp;"|"&amp;B1137&amp;"|"&amp;C1137&amp;"|"&amp;D1137&amp;"|"&amp;E1137&amp;"|"&amp;F1137&amp;"|"&amp;G1137&amp;"|"&amp;H1137&amp;"|"&amp;I1137&amp;"|"&amp;J1137&amp;"|"&amp;K1137&amp;"|"&amp;L1137&amp;"|"&amp;M1137&amp;"|"&amp;N1137&amp;"|"&amp;O1137&amp;"|"&amp;P1137</f>
        <v/>
      </c>
      <c r="R1137" s="10">
        <f>IF(COUNTIF($Q$2:$Q$1409,Q1137)&gt;1,IF(COUNTIF($Q$2:Q1137,Q1137)=1,"Exact Duplicate - Keep First","Exact Duplicate - Remove"),"Unique")</f>
        <v/>
      </c>
    </row>
    <row r="1138" ht="15" customHeight="1" s="11">
      <c r="A1138" s="10" t="inlineStr">
        <is>
          <t>USR-101137</t>
        </is>
      </c>
      <c r="B1138" s="14" t="n">
        <v>45777</v>
      </c>
      <c r="C1138" s="10" t="inlineStr">
        <is>
          <t>Treatment</t>
        </is>
      </c>
      <c r="D1138" s="10" t="inlineStr">
        <is>
          <t>South</t>
        </is>
      </c>
      <c r="E1138" s="10" t="inlineStr">
        <is>
          <t>Tablet</t>
        </is>
      </c>
      <c r="F1138" s="10" t="inlineStr">
        <is>
          <t>Paid Search</t>
        </is>
      </c>
      <c r="G1138" s="10" t="inlineStr">
        <is>
          <t>Basic</t>
        </is>
      </c>
      <c r="H1138" s="10" t="n">
        <v>1</v>
      </c>
      <c r="I1138" s="10" t="n">
        <v>1</v>
      </c>
      <c r="J1138" s="10" t="n">
        <v>0</v>
      </c>
      <c r="K1138" s="10" t="n">
        <v>0</v>
      </c>
      <c r="L1138" s="10" t="n">
        <v>0</v>
      </c>
      <c r="M1138" s="10" t="n">
        <v>0</v>
      </c>
      <c r="N1138" s="10" t="n">
        <v>0</v>
      </c>
      <c r="P1138" s="10" t="n">
        <v>60.2</v>
      </c>
      <c r="Q1138" s="10">
        <f>A1138&amp;"|"&amp;B1138&amp;"|"&amp;C1138&amp;"|"&amp;D1138&amp;"|"&amp;E1138&amp;"|"&amp;F1138&amp;"|"&amp;G1138&amp;"|"&amp;H1138&amp;"|"&amp;I1138&amp;"|"&amp;J1138&amp;"|"&amp;K1138&amp;"|"&amp;L1138&amp;"|"&amp;M1138&amp;"|"&amp;N1138&amp;"|"&amp;O1138&amp;"|"&amp;P1138</f>
        <v/>
      </c>
      <c r="R1138" s="10">
        <f>IF(COUNTIF($Q$2:$Q$1409,Q1138)&gt;1,IF(COUNTIF($Q$2:Q1138,Q1138)=1,"Exact Duplicate - Keep First","Exact Duplicate - Remove"),"Unique")</f>
        <v/>
      </c>
    </row>
    <row r="1139" ht="15" customHeight="1" s="11">
      <c r="A1139" s="10" t="inlineStr">
        <is>
          <t>USR-101138</t>
        </is>
      </c>
      <c r="B1139" s="14" t="n">
        <v>45682</v>
      </c>
      <c r="C1139" s="10" t="inlineStr">
        <is>
          <t>Treatment</t>
        </is>
      </c>
      <c r="D1139" s="10" t="inlineStr">
        <is>
          <t>West</t>
        </is>
      </c>
      <c r="E1139" s="10" t="inlineStr">
        <is>
          <t>Mobile</t>
        </is>
      </c>
      <c r="F1139" s="10" t="inlineStr">
        <is>
          <t>Email</t>
        </is>
      </c>
      <c r="G1139" s="10" t="inlineStr">
        <is>
          <t>Free</t>
        </is>
      </c>
      <c r="H1139" s="10" t="n">
        <v>1</v>
      </c>
      <c r="I1139" s="10" t="n">
        <v>1</v>
      </c>
      <c r="J1139" s="10" t="n">
        <v>0</v>
      </c>
      <c r="K1139" s="10" t="n">
        <v>0</v>
      </c>
      <c r="L1139" s="10" t="n">
        <v>0</v>
      </c>
      <c r="M1139" s="10" t="n">
        <v>0</v>
      </c>
      <c r="N1139" s="10" t="n">
        <v>0</v>
      </c>
      <c r="P1139" s="10" t="n">
        <v>73.5</v>
      </c>
      <c r="Q1139" s="10">
        <f>A1139&amp;"|"&amp;B1139&amp;"|"&amp;C1139&amp;"|"&amp;D1139&amp;"|"&amp;E1139&amp;"|"&amp;F1139&amp;"|"&amp;G1139&amp;"|"&amp;H1139&amp;"|"&amp;I1139&amp;"|"&amp;J1139&amp;"|"&amp;K1139&amp;"|"&amp;L1139&amp;"|"&amp;M1139&amp;"|"&amp;N1139&amp;"|"&amp;O1139&amp;"|"&amp;P1139</f>
        <v/>
      </c>
      <c r="R1139" s="10">
        <f>IF(COUNTIF($Q$2:$Q$1409,Q1139)&gt;1,IF(COUNTIF($Q$2:Q1139,Q1139)=1,"Exact Duplicate - Keep First","Exact Duplicate - Remove"),"Unique")</f>
        <v/>
      </c>
    </row>
    <row r="1140" ht="15" customHeight="1" s="11">
      <c r="A1140" s="10" t="inlineStr">
        <is>
          <t>USR-101139</t>
        </is>
      </c>
      <c r="B1140" s="14" t="n">
        <v>45757</v>
      </c>
      <c r="C1140" s="10" t="inlineStr">
        <is>
          <t>Treatment</t>
        </is>
      </c>
      <c r="D1140" s="10" t="inlineStr">
        <is>
          <t>South</t>
        </is>
      </c>
      <c r="E1140" s="10" t="inlineStr">
        <is>
          <t>Mobile</t>
        </is>
      </c>
      <c r="F1140" s="10" t="inlineStr">
        <is>
          <t>Organic</t>
        </is>
      </c>
      <c r="G1140" s="10" t="inlineStr">
        <is>
          <t>Free</t>
        </is>
      </c>
      <c r="H1140" s="10" t="n">
        <v>1</v>
      </c>
      <c r="I1140" s="10" t="n">
        <v>0</v>
      </c>
      <c r="J1140" s="10" t="n">
        <v>0</v>
      </c>
      <c r="K1140" s="10" t="n">
        <v>0</v>
      </c>
      <c r="L1140" s="10" t="n">
        <v>0</v>
      </c>
      <c r="M1140" s="10" t="n">
        <v>0</v>
      </c>
      <c r="N1140" s="10" t="n">
        <v>0</v>
      </c>
      <c r="P1140" s="10" t="n">
        <v>70.90000000000001</v>
      </c>
      <c r="Q1140" s="10">
        <f>A1140&amp;"|"&amp;B1140&amp;"|"&amp;C1140&amp;"|"&amp;D1140&amp;"|"&amp;E1140&amp;"|"&amp;F1140&amp;"|"&amp;G1140&amp;"|"&amp;H1140&amp;"|"&amp;I1140&amp;"|"&amp;J1140&amp;"|"&amp;K1140&amp;"|"&amp;L1140&amp;"|"&amp;M1140&amp;"|"&amp;N1140&amp;"|"&amp;O1140&amp;"|"&amp;P1140</f>
        <v/>
      </c>
      <c r="R1140" s="10">
        <f>IF(COUNTIF($Q$2:$Q$1409,Q1140)&gt;1,IF(COUNTIF($Q$2:Q1140,Q1140)=1,"Exact Duplicate - Keep First","Exact Duplicate - Remove"),"Unique")</f>
        <v/>
      </c>
    </row>
    <row r="1141" ht="15" customHeight="1" s="11">
      <c r="A1141" s="10" t="inlineStr">
        <is>
          <t>USR-101140</t>
        </is>
      </c>
      <c r="B1141" s="14" t="n">
        <v>45667</v>
      </c>
      <c r="C1141" s="10" t="inlineStr">
        <is>
          <t>Treatment</t>
        </is>
      </c>
      <c r="D1141" s="10" t="inlineStr">
        <is>
          <t>West</t>
        </is>
      </c>
      <c r="E1141" s="10" t="inlineStr">
        <is>
          <t>Mobile</t>
        </is>
      </c>
      <c r="F1141" s="10" t="inlineStr">
        <is>
          <t>Social</t>
        </is>
      </c>
      <c r="G1141" s="10" t="inlineStr">
        <is>
          <t>Free</t>
        </is>
      </c>
      <c r="H1141" s="10" t="n">
        <v>1</v>
      </c>
      <c r="I1141" s="10" t="n">
        <v>0</v>
      </c>
      <c r="J1141" s="10" t="n">
        <v>0</v>
      </c>
      <c r="K1141" s="10" t="n">
        <v>0</v>
      </c>
      <c r="L1141" s="10" t="n">
        <v>0</v>
      </c>
      <c r="M1141" s="10" t="n">
        <v>0</v>
      </c>
      <c r="N1141" s="10" t="n">
        <v>0</v>
      </c>
      <c r="P1141" s="10" t="n">
        <v>63.7</v>
      </c>
      <c r="Q1141" s="10">
        <f>A1141&amp;"|"&amp;B1141&amp;"|"&amp;C1141&amp;"|"&amp;D1141&amp;"|"&amp;E1141&amp;"|"&amp;F1141&amp;"|"&amp;G1141&amp;"|"&amp;H1141&amp;"|"&amp;I1141&amp;"|"&amp;J1141&amp;"|"&amp;K1141&amp;"|"&amp;L1141&amp;"|"&amp;M1141&amp;"|"&amp;N1141&amp;"|"&amp;O1141&amp;"|"&amp;P1141</f>
        <v/>
      </c>
      <c r="R1141" s="10">
        <f>IF(COUNTIF($Q$2:$Q$1409,Q1141)&gt;1,IF(COUNTIF($Q$2:Q1141,Q1141)=1,"Exact Duplicate - Keep First","Exact Duplicate - Remove"),"Unique")</f>
        <v/>
      </c>
    </row>
    <row r="1142" ht="15" customHeight="1" s="11">
      <c r="A1142" s="10" t="inlineStr">
        <is>
          <t>USR-101141</t>
        </is>
      </c>
      <c r="B1142" s="14" t="n">
        <v>45699</v>
      </c>
      <c r="C1142" s="10" t="inlineStr">
        <is>
          <t>Treatment</t>
        </is>
      </c>
      <c r="D1142" s="10" t="inlineStr">
        <is>
          <t>South</t>
        </is>
      </c>
      <c r="E1142" s="10" t="inlineStr">
        <is>
          <t>Mobile</t>
        </is>
      </c>
      <c r="F1142" s="10" t="inlineStr">
        <is>
          <t>Paid Search</t>
        </is>
      </c>
      <c r="G1142" s="10" t="inlineStr">
        <is>
          <t>Free</t>
        </is>
      </c>
      <c r="H1142" s="10" t="n">
        <v>1</v>
      </c>
      <c r="I1142" s="10" t="n">
        <v>0</v>
      </c>
      <c r="J1142" s="10" t="n">
        <v>0</v>
      </c>
      <c r="K1142" s="10" t="n">
        <v>0</v>
      </c>
      <c r="L1142" s="10" t="n">
        <v>0</v>
      </c>
      <c r="M1142" s="10" t="n">
        <v>0</v>
      </c>
      <c r="N1142" s="10" t="n">
        <v>0</v>
      </c>
      <c r="P1142" s="10" t="n">
        <v>86.5</v>
      </c>
      <c r="Q1142" s="10">
        <f>A1142&amp;"|"&amp;B1142&amp;"|"&amp;C1142&amp;"|"&amp;D1142&amp;"|"&amp;E1142&amp;"|"&amp;F1142&amp;"|"&amp;G1142&amp;"|"&amp;H1142&amp;"|"&amp;I1142&amp;"|"&amp;J1142&amp;"|"&amp;K1142&amp;"|"&amp;L1142&amp;"|"&amp;M1142&amp;"|"&amp;N1142&amp;"|"&amp;O1142&amp;"|"&amp;P1142</f>
        <v/>
      </c>
      <c r="R1142" s="10">
        <f>IF(COUNTIF($Q$2:$Q$1409,Q1142)&gt;1,IF(COUNTIF($Q$2:Q1142,Q1142)=1,"Exact Duplicate - Keep First","Exact Duplicate - Remove"),"Unique")</f>
        <v/>
      </c>
    </row>
    <row r="1143" ht="15" customHeight="1" s="11">
      <c r="A1143" s="10" t="inlineStr">
        <is>
          <t>USR-101142</t>
        </is>
      </c>
      <c r="B1143" s="14" t="n">
        <v>45778</v>
      </c>
      <c r="C1143" s="10" t="inlineStr">
        <is>
          <t>Treatment</t>
        </is>
      </c>
      <c r="D1143" s="10" t="inlineStr">
        <is>
          <t>East</t>
        </is>
      </c>
      <c r="E1143" s="10" t="inlineStr">
        <is>
          <t>Mobile</t>
        </is>
      </c>
      <c r="F1143" s="10" t="inlineStr">
        <is>
          <t>Social</t>
        </is>
      </c>
      <c r="G1143" s="10" t="inlineStr">
        <is>
          <t>Basic</t>
        </is>
      </c>
      <c r="H1143" s="10" t="n">
        <v>1</v>
      </c>
      <c r="I1143" s="10" t="n">
        <v>1</v>
      </c>
      <c r="J1143" s="10" t="n">
        <v>1</v>
      </c>
      <c r="K1143" s="10" t="n">
        <v>1</v>
      </c>
      <c r="L1143" s="10" t="n">
        <v>921.72</v>
      </c>
      <c r="M1143" s="10" t="n">
        <v>3</v>
      </c>
      <c r="N1143" s="10" t="n">
        <v>0</v>
      </c>
      <c r="O1143" s="10" t="n">
        <v>7</v>
      </c>
      <c r="P1143" s="10" t="n">
        <v>74.59999999999999</v>
      </c>
      <c r="Q1143" s="10">
        <f>A1143&amp;"|"&amp;B1143&amp;"|"&amp;C1143&amp;"|"&amp;D1143&amp;"|"&amp;E1143&amp;"|"&amp;F1143&amp;"|"&amp;G1143&amp;"|"&amp;H1143&amp;"|"&amp;I1143&amp;"|"&amp;J1143&amp;"|"&amp;K1143&amp;"|"&amp;L1143&amp;"|"&amp;M1143&amp;"|"&amp;N1143&amp;"|"&amp;O1143&amp;"|"&amp;P1143</f>
        <v/>
      </c>
      <c r="R1143" s="10">
        <f>IF(COUNTIF($Q$2:$Q$1409,Q1143)&gt;1,IF(COUNTIF($Q$2:Q1143,Q1143)=1,"Exact Duplicate - Keep First","Exact Duplicate - Remove"),"Unique")</f>
        <v/>
      </c>
    </row>
    <row r="1144" ht="15" customHeight="1" s="11">
      <c r="A1144" s="10" t="inlineStr">
        <is>
          <t>USR-101143</t>
        </is>
      </c>
      <c r="B1144" s="14" t="n">
        <v>45675</v>
      </c>
      <c r="C1144" s="10" t="inlineStr">
        <is>
          <t>Treatment</t>
        </is>
      </c>
      <c r="D1144" s="10" t="inlineStr">
        <is>
          <t>East</t>
        </is>
      </c>
      <c r="E1144" s="10" t="inlineStr">
        <is>
          <t>Mobile</t>
        </is>
      </c>
      <c r="F1144" s="10" t="inlineStr">
        <is>
          <t>Organic</t>
        </is>
      </c>
      <c r="G1144" s="10" t="inlineStr">
        <is>
          <t>Free</t>
        </is>
      </c>
      <c r="H1144" s="10" t="n">
        <v>1</v>
      </c>
      <c r="I1144" s="10" t="n">
        <v>0</v>
      </c>
      <c r="J1144" s="10" t="n">
        <v>0</v>
      </c>
      <c r="K1144" s="10" t="n">
        <v>0</v>
      </c>
      <c r="L1144" s="10" t="n">
        <v>0</v>
      </c>
      <c r="M1144" s="10" t="n">
        <v>0</v>
      </c>
      <c r="N1144" s="10" t="n">
        <v>0</v>
      </c>
      <c r="P1144" s="10" t="n">
        <v>46.6</v>
      </c>
      <c r="Q1144" s="10">
        <f>A1144&amp;"|"&amp;B1144&amp;"|"&amp;C1144&amp;"|"&amp;D1144&amp;"|"&amp;E1144&amp;"|"&amp;F1144&amp;"|"&amp;G1144&amp;"|"&amp;H1144&amp;"|"&amp;I1144&amp;"|"&amp;J1144&amp;"|"&amp;K1144&amp;"|"&amp;L1144&amp;"|"&amp;M1144&amp;"|"&amp;N1144&amp;"|"&amp;O1144&amp;"|"&amp;P1144</f>
        <v/>
      </c>
      <c r="R1144" s="10">
        <f>IF(COUNTIF($Q$2:$Q$1409,Q1144)&gt;1,IF(COUNTIF($Q$2:Q1144,Q1144)=1,"Exact Duplicate - Keep First","Exact Duplicate - Remove"),"Unique")</f>
        <v/>
      </c>
    </row>
    <row r="1145" ht="15" customHeight="1" s="11">
      <c r="A1145" s="10" t="inlineStr">
        <is>
          <t>USR-101144</t>
        </is>
      </c>
      <c r="B1145" s="14" t="n">
        <v>45659</v>
      </c>
      <c r="C1145" s="10" t="inlineStr">
        <is>
          <t>Treatment</t>
        </is>
      </c>
      <c r="D1145" s="10" t="inlineStr">
        <is>
          <t>North</t>
        </is>
      </c>
      <c r="E1145" s="10" t="inlineStr">
        <is>
          <t>Mobile</t>
        </is>
      </c>
      <c r="F1145" s="10" t="inlineStr">
        <is>
          <t>Paid Search</t>
        </is>
      </c>
      <c r="G1145" s="10" t="inlineStr">
        <is>
          <t>Free</t>
        </is>
      </c>
      <c r="H1145" s="10" t="n">
        <v>0</v>
      </c>
      <c r="I1145" s="10" t="n">
        <v>0</v>
      </c>
      <c r="J1145" s="10" t="n">
        <v>0</v>
      </c>
      <c r="K1145" s="10" t="n">
        <v>0</v>
      </c>
      <c r="L1145" s="10" t="n">
        <v>0</v>
      </c>
      <c r="M1145" s="10" t="n">
        <v>0</v>
      </c>
      <c r="N1145" s="10" t="n">
        <v>0</v>
      </c>
      <c r="P1145" s="10" t="n">
        <v>61.2</v>
      </c>
      <c r="Q1145" s="10">
        <f>A1145&amp;"|"&amp;B1145&amp;"|"&amp;C1145&amp;"|"&amp;D1145&amp;"|"&amp;E1145&amp;"|"&amp;F1145&amp;"|"&amp;G1145&amp;"|"&amp;H1145&amp;"|"&amp;I1145&amp;"|"&amp;J1145&amp;"|"&amp;K1145&amp;"|"&amp;L1145&amp;"|"&amp;M1145&amp;"|"&amp;N1145&amp;"|"&amp;O1145&amp;"|"&amp;P1145</f>
        <v/>
      </c>
      <c r="R1145" s="10">
        <f>IF(COUNTIF($Q$2:$Q$1409,Q1145)&gt;1,IF(COUNTIF($Q$2:Q1145,Q1145)=1,"Exact Duplicate - Keep First","Exact Duplicate - Remove"),"Unique")</f>
        <v/>
      </c>
    </row>
    <row r="1146" ht="15" customHeight="1" s="11">
      <c r="A1146" s="10" t="inlineStr">
        <is>
          <t>USR-101145</t>
        </is>
      </c>
      <c r="B1146" s="14" t="n">
        <v>45788</v>
      </c>
      <c r="C1146" s="10" t="inlineStr">
        <is>
          <t>Treatment</t>
        </is>
      </c>
      <c r="D1146" s="10" t="inlineStr">
        <is>
          <t>West</t>
        </is>
      </c>
      <c r="E1146" s="10" t="inlineStr">
        <is>
          <t>Mobile</t>
        </is>
      </c>
      <c r="F1146" s="10" t="inlineStr">
        <is>
          <t>Organic</t>
        </is>
      </c>
      <c r="G1146" s="10" t="inlineStr">
        <is>
          <t>Free</t>
        </is>
      </c>
      <c r="H1146" s="10" t="n">
        <v>1</v>
      </c>
      <c r="I1146" s="10" t="n">
        <v>1</v>
      </c>
      <c r="J1146" s="10" t="n">
        <v>1</v>
      </c>
      <c r="K1146" s="10" t="n">
        <v>1</v>
      </c>
      <c r="L1146" s="10" t="n">
        <v>290.39</v>
      </c>
      <c r="M1146" s="10" t="n">
        <v>0</v>
      </c>
      <c r="N1146" s="10" t="n">
        <v>0</v>
      </c>
      <c r="O1146" s="10" t="n">
        <v>4</v>
      </c>
      <c r="P1146" s="10" t="n">
        <v>54.4</v>
      </c>
      <c r="Q1146" s="10">
        <f>A1146&amp;"|"&amp;B1146&amp;"|"&amp;C1146&amp;"|"&amp;D1146&amp;"|"&amp;E1146&amp;"|"&amp;F1146&amp;"|"&amp;G1146&amp;"|"&amp;H1146&amp;"|"&amp;I1146&amp;"|"&amp;J1146&amp;"|"&amp;K1146&amp;"|"&amp;L1146&amp;"|"&amp;M1146&amp;"|"&amp;N1146&amp;"|"&amp;O1146&amp;"|"&amp;P1146</f>
        <v/>
      </c>
      <c r="R1146" s="10">
        <f>IF(COUNTIF($Q$2:$Q$1409,Q1146)&gt;1,IF(COUNTIF($Q$2:Q1146,Q1146)=1,"Exact Duplicate - Keep First","Exact Duplicate - Remove"),"Unique")</f>
        <v/>
      </c>
    </row>
    <row r="1147" ht="15" customHeight="1" s="11">
      <c r="A1147" s="10" t="inlineStr">
        <is>
          <t>USR-101146</t>
        </is>
      </c>
      <c r="B1147" s="14" t="n">
        <v>45738</v>
      </c>
      <c r="C1147" s="10" t="inlineStr">
        <is>
          <t>Treatment</t>
        </is>
      </c>
      <c r="D1147" s="10" t="inlineStr">
        <is>
          <t>North</t>
        </is>
      </c>
      <c r="E1147" s="10" t="inlineStr">
        <is>
          <t>Mobile</t>
        </is>
      </c>
      <c r="F1147" s="10" t="inlineStr">
        <is>
          <t>Referral</t>
        </is>
      </c>
      <c r="G1147" s="10" t="inlineStr">
        <is>
          <t>Free</t>
        </is>
      </c>
      <c r="H1147" s="10" t="n">
        <v>1</v>
      </c>
      <c r="I1147" s="10" t="n">
        <v>1</v>
      </c>
      <c r="J1147" s="10" t="n">
        <v>1</v>
      </c>
      <c r="K1147" s="10" t="n">
        <v>0</v>
      </c>
      <c r="L1147" s="10" t="n">
        <v>0</v>
      </c>
      <c r="M1147" s="10" t="n">
        <v>0</v>
      </c>
      <c r="N1147" s="10" t="n">
        <v>0</v>
      </c>
      <c r="P1147" s="10" t="n">
        <v>72</v>
      </c>
      <c r="Q1147" s="10">
        <f>A1147&amp;"|"&amp;B1147&amp;"|"&amp;C1147&amp;"|"&amp;D1147&amp;"|"&amp;E1147&amp;"|"&amp;F1147&amp;"|"&amp;G1147&amp;"|"&amp;H1147&amp;"|"&amp;I1147&amp;"|"&amp;J1147&amp;"|"&amp;K1147&amp;"|"&amp;L1147&amp;"|"&amp;M1147&amp;"|"&amp;N1147&amp;"|"&amp;O1147&amp;"|"&amp;P1147</f>
        <v/>
      </c>
      <c r="R1147" s="10">
        <f>IF(COUNTIF($Q$2:$Q$1409,Q1147)&gt;1,IF(COUNTIF($Q$2:Q1147,Q1147)=1,"Exact Duplicate - Keep First","Exact Duplicate - Remove"),"Unique")</f>
        <v/>
      </c>
    </row>
    <row r="1148" ht="15" customHeight="1" s="11">
      <c r="A1148" s="10" t="inlineStr">
        <is>
          <t>USR-101147</t>
        </is>
      </c>
      <c r="B1148" s="14" t="n">
        <v>45779</v>
      </c>
      <c r="C1148" s="10" t="inlineStr">
        <is>
          <t>Treatment</t>
        </is>
      </c>
      <c r="D1148" s="10" t="inlineStr">
        <is>
          <t>South</t>
        </is>
      </c>
      <c r="E1148" s="10" t="inlineStr">
        <is>
          <t>Mobile</t>
        </is>
      </c>
      <c r="F1148" s="10" t="inlineStr">
        <is>
          <t>Social</t>
        </is>
      </c>
      <c r="G1148" s="10" t="inlineStr">
        <is>
          <t>Premium</t>
        </is>
      </c>
      <c r="H1148" s="10" t="n">
        <v>1</v>
      </c>
      <c r="I1148" s="10" t="n">
        <v>1</v>
      </c>
      <c r="J1148" s="10" t="n">
        <v>1</v>
      </c>
      <c r="K1148" s="10" t="n">
        <v>1</v>
      </c>
      <c r="L1148" s="10" t="n">
        <v>1858.85</v>
      </c>
      <c r="M1148" s="10" t="n">
        <v>0</v>
      </c>
      <c r="N1148" s="10" t="n">
        <v>0</v>
      </c>
      <c r="O1148" s="10" t="n">
        <v>8</v>
      </c>
      <c r="P1148" s="10" t="n">
        <v>88.59999999999999</v>
      </c>
      <c r="Q1148" s="10">
        <f>A1148&amp;"|"&amp;B1148&amp;"|"&amp;C1148&amp;"|"&amp;D1148&amp;"|"&amp;E1148&amp;"|"&amp;F1148&amp;"|"&amp;G1148&amp;"|"&amp;H1148&amp;"|"&amp;I1148&amp;"|"&amp;J1148&amp;"|"&amp;K1148&amp;"|"&amp;L1148&amp;"|"&amp;M1148&amp;"|"&amp;N1148&amp;"|"&amp;O1148&amp;"|"&amp;P1148</f>
        <v/>
      </c>
      <c r="R1148" s="10">
        <f>IF(COUNTIF($Q$2:$Q$1409,Q1148)&gt;1,IF(COUNTIF($Q$2:Q1148,Q1148)=1,"Exact Duplicate - Keep First","Exact Duplicate - Remove"),"Unique")</f>
        <v/>
      </c>
    </row>
    <row r="1149" ht="15" customHeight="1" s="11">
      <c r="A1149" s="10" t="inlineStr">
        <is>
          <t>USR-101148</t>
        </is>
      </c>
      <c r="B1149" s="14" t="n">
        <v>45803</v>
      </c>
      <c r="C1149" s="10" t="inlineStr">
        <is>
          <t>Treatment</t>
        </is>
      </c>
      <c r="D1149" s="10" t="inlineStr">
        <is>
          <t>East</t>
        </is>
      </c>
      <c r="E1149" s="10" t="inlineStr">
        <is>
          <t>Desktop</t>
        </is>
      </c>
      <c r="G1149" s="10" t="inlineStr">
        <is>
          <t>Basic</t>
        </is>
      </c>
      <c r="H1149" s="10" t="n">
        <v>1</v>
      </c>
      <c r="I1149" s="10" t="n">
        <v>0</v>
      </c>
      <c r="J1149" s="10" t="n">
        <v>0</v>
      </c>
      <c r="K1149" s="10" t="n">
        <v>0</v>
      </c>
      <c r="L1149" s="10" t="n">
        <v>0</v>
      </c>
      <c r="M1149" s="10" t="n">
        <v>0</v>
      </c>
      <c r="N1149" s="10" t="n">
        <v>0</v>
      </c>
      <c r="P1149" s="10" t="n">
        <v>77.59999999999999</v>
      </c>
      <c r="Q1149" s="10">
        <f>A1149&amp;"|"&amp;B1149&amp;"|"&amp;C1149&amp;"|"&amp;D1149&amp;"|"&amp;E1149&amp;"|"&amp;F1149&amp;"|"&amp;G1149&amp;"|"&amp;H1149&amp;"|"&amp;I1149&amp;"|"&amp;J1149&amp;"|"&amp;K1149&amp;"|"&amp;L1149&amp;"|"&amp;M1149&amp;"|"&amp;N1149&amp;"|"&amp;O1149&amp;"|"&amp;P1149</f>
        <v/>
      </c>
      <c r="R1149" s="10">
        <f>IF(COUNTIF($Q$2:$Q$1409,Q1149)&gt;1,IF(COUNTIF($Q$2:Q1149,Q1149)=1,"Exact Duplicate - Keep First","Exact Duplicate - Remove"),"Unique")</f>
        <v/>
      </c>
    </row>
    <row r="1150" ht="15" customHeight="1" s="11">
      <c r="A1150" s="10" t="inlineStr">
        <is>
          <t>USR-101149</t>
        </is>
      </c>
      <c r="B1150" s="14" t="n">
        <v>45729</v>
      </c>
      <c r="C1150" s="10" t="inlineStr">
        <is>
          <t>Treatment</t>
        </is>
      </c>
      <c r="D1150" s="10" t="inlineStr">
        <is>
          <t>South</t>
        </is>
      </c>
      <c r="E1150" s="10" t="inlineStr">
        <is>
          <t>Mobile</t>
        </is>
      </c>
      <c r="F1150" s="10" t="inlineStr">
        <is>
          <t>Organic</t>
        </is>
      </c>
      <c r="G1150" s="10" t="inlineStr">
        <is>
          <t>Basic</t>
        </is>
      </c>
      <c r="H1150" s="10" t="n">
        <v>1</v>
      </c>
      <c r="I1150" s="10" t="n">
        <v>0</v>
      </c>
      <c r="J1150" s="10" t="n">
        <v>0</v>
      </c>
      <c r="K1150" s="10" t="n">
        <v>0</v>
      </c>
      <c r="L1150" s="10" t="n">
        <v>0</v>
      </c>
      <c r="M1150" s="10" t="n">
        <v>1</v>
      </c>
      <c r="N1150" s="10" t="n">
        <v>0</v>
      </c>
      <c r="P1150" s="10" t="n">
        <v>44.3</v>
      </c>
      <c r="Q1150" s="10">
        <f>A1150&amp;"|"&amp;B1150&amp;"|"&amp;C1150&amp;"|"&amp;D1150&amp;"|"&amp;E1150&amp;"|"&amp;F1150&amp;"|"&amp;G1150&amp;"|"&amp;H1150&amp;"|"&amp;I1150&amp;"|"&amp;J1150&amp;"|"&amp;K1150&amp;"|"&amp;L1150&amp;"|"&amp;M1150&amp;"|"&amp;N1150&amp;"|"&amp;O1150&amp;"|"&amp;P1150</f>
        <v/>
      </c>
      <c r="R1150" s="10">
        <f>IF(COUNTIF($Q$2:$Q$1409,Q1150)&gt;1,IF(COUNTIF($Q$2:Q1150,Q1150)=1,"Exact Duplicate - Keep First","Exact Duplicate - Remove"),"Unique")</f>
        <v/>
      </c>
    </row>
    <row r="1151" ht="15" customHeight="1" s="11">
      <c r="A1151" s="10" t="inlineStr">
        <is>
          <t>USR-101150</t>
        </is>
      </c>
      <c r="B1151" s="14" t="n">
        <v>45794</v>
      </c>
      <c r="C1151" s="10" t="inlineStr">
        <is>
          <t>Treatment</t>
        </is>
      </c>
      <c r="D1151" s="10" t="inlineStr">
        <is>
          <t>South</t>
        </is>
      </c>
      <c r="E1151" s="10" t="inlineStr">
        <is>
          <t>Desktop</t>
        </is>
      </c>
      <c r="F1151" s="10" t="inlineStr">
        <is>
          <t>Paid Search</t>
        </is>
      </c>
      <c r="G1151" s="10" t="inlineStr">
        <is>
          <t>Free</t>
        </is>
      </c>
      <c r="H1151" s="10" t="n">
        <v>1</v>
      </c>
      <c r="I1151" s="10" t="n">
        <v>1</v>
      </c>
      <c r="J1151" s="10" t="n">
        <v>0</v>
      </c>
      <c r="K1151" s="10" t="n">
        <v>0</v>
      </c>
      <c r="L1151" s="10" t="n">
        <v>0</v>
      </c>
      <c r="M1151" s="10" t="n">
        <v>0</v>
      </c>
      <c r="N1151" s="10" t="n">
        <v>0</v>
      </c>
      <c r="P1151" s="10" t="n">
        <v>49</v>
      </c>
      <c r="Q1151" s="10">
        <f>A1151&amp;"|"&amp;B1151&amp;"|"&amp;C1151&amp;"|"&amp;D1151&amp;"|"&amp;E1151&amp;"|"&amp;F1151&amp;"|"&amp;G1151&amp;"|"&amp;H1151&amp;"|"&amp;I1151&amp;"|"&amp;J1151&amp;"|"&amp;K1151&amp;"|"&amp;L1151&amp;"|"&amp;M1151&amp;"|"&amp;N1151&amp;"|"&amp;O1151&amp;"|"&amp;P1151</f>
        <v/>
      </c>
      <c r="R1151" s="10">
        <f>IF(COUNTIF($Q$2:$Q$1409,Q1151)&gt;1,IF(COUNTIF($Q$2:Q1151,Q1151)=1,"Exact Duplicate - Keep First","Exact Duplicate - Remove"),"Unique")</f>
        <v/>
      </c>
    </row>
    <row r="1152" ht="15" customHeight="1" s="11">
      <c r="A1152" s="10" t="inlineStr">
        <is>
          <t>USR-101151</t>
        </is>
      </c>
      <c r="B1152" s="14" t="n">
        <v>45729</v>
      </c>
      <c r="C1152" s="10" t="inlineStr">
        <is>
          <t>Treatment</t>
        </is>
      </c>
      <c r="D1152" s="10" t="inlineStr">
        <is>
          <t>North</t>
        </is>
      </c>
      <c r="E1152" s="10" t="inlineStr">
        <is>
          <t>Desktop</t>
        </is>
      </c>
      <c r="F1152" s="10" t="inlineStr">
        <is>
          <t>Referral</t>
        </is>
      </c>
      <c r="G1152" s="10" t="inlineStr">
        <is>
          <t>Premium</t>
        </is>
      </c>
      <c r="H1152" s="10" t="n">
        <v>1</v>
      </c>
      <c r="I1152" s="10" t="n">
        <v>0</v>
      </c>
      <c r="J1152" s="10" t="n">
        <v>0</v>
      </c>
      <c r="K1152" s="10" t="n">
        <v>0</v>
      </c>
      <c r="L1152" s="10" t="n">
        <v>0</v>
      </c>
      <c r="M1152" s="10" t="n">
        <v>0</v>
      </c>
      <c r="N1152" s="10" t="n">
        <v>0</v>
      </c>
      <c r="P1152" s="10" t="n">
        <v>53.9</v>
      </c>
      <c r="Q1152" s="10">
        <f>A1152&amp;"|"&amp;B1152&amp;"|"&amp;C1152&amp;"|"&amp;D1152&amp;"|"&amp;E1152&amp;"|"&amp;F1152&amp;"|"&amp;G1152&amp;"|"&amp;H1152&amp;"|"&amp;I1152&amp;"|"&amp;J1152&amp;"|"&amp;K1152&amp;"|"&amp;L1152&amp;"|"&amp;M1152&amp;"|"&amp;N1152&amp;"|"&amp;O1152&amp;"|"&amp;P1152</f>
        <v/>
      </c>
      <c r="R1152" s="10">
        <f>IF(COUNTIF($Q$2:$Q$1409,Q1152)&gt;1,IF(COUNTIF($Q$2:Q1152,Q1152)=1,"Exact Duplicate - Keep First","Exact Duplicate - Remove"),"Unique")</f>
        <v/>
      </c>
    </row>
    <row r="1153" ht="15" customHeight="1" s="11">
      <c r="A1153" s="10" t="inlineStr">
        <is>
          <t>USR-101152</t>
        </is>
      </c>
      <c r="B1153" s="14" t="n">
        <v>45699</v>
      </c>
      <c r="C1153" s="10" t="inlineStr">
        <is>
          <t>Treatment</t>
        </is>
      </c>
      <c r="D1153" s="10" t="inlineStr">
        <is>
          <t>East</t>
        </is>
      </c>
      <c r="E1153" s="10" t="inlineStr">
        <is>
          <t>Desktop</t>
        </is>
      </c>
      <c r="F1153" s="10" t="inlineStr">
        <is>
          <t>Organic</t>
        </is>
      </c>
      <c r="G1153" s="10" t="inlineStr">
        <is>
          <t>Basic</t>
        </is>
      </c>
      <c r="H1153" s="10" t="n">
        <v>1</v>
      </c>
      <c r="I1153" s="10" t="n">
        <v>0</v>
      </c>
      <c r="J1153" s="10" t="n">
        <v>0</v>
      </c>
      <c r="K1153" s="10" t="n">
        <v>0</v>
      </c>
      <c r="L1153" s="10" t="n">
        <v>0</v>
      </c>
      <c r="M1153" s="10" t="n">
        <v>1</v>
      </c>
      <c r="N1153" s="10" t="n">
        <v>0</v>
      </c>
      <c r="P1153" s="10" t="n">
        <v>69</v>
      </c>
      <c r="Q1153" s="10">
        <f>A1153&amp;"|"&amp;B1153&amp;"|"&amp;C1153&amp;"|"&amp;D1153&amp;"|"&amp;E1153&amp;"|"&amp;F1153&amp;"|"&amp;G1153&amp;"|"&amp;H1153&amp;"|"&amp;I1153&amp;"|"&amp;J1153&amp;"|"&amp;K1153&amp;"|"&amp;L1153&amp;"|"&amp;M1153&amp;"|"&amp;N1153&amp;"|"&amp;O1153&amp;"|"&amp;P1153</f>
        <v/>
      </c>
      <c r="R1153" s="10">
        <f>IF(COUNTIF($Q$2:$Q$1409,Q1153)&gt;1,IF(COUNTIF($Q$2:Q1153,Q1153)=1,"Exact Duplicate - Keep First","Exact Duplicate - Remove"),"Unique")</f>
        <v/>
      </c>
    </row>
    <row r="1154" ht="15" customHeight="1" s="11">
      <c r="A1154" s="10" t="inlineStr">
        <is>
          <t>USR-101153</t>
        </is>
      </c>
      <c r="B1154" s="14" t="n">
        <v>45717</v>
      </c>
      <c r="C1154" s="10" t="inlineStr">
        <is>
          <t>Treatment</t>
        </is>
      </c>
      <c r="D1154" s="10" t="inlineStr">
        <is>
          <t>West</t>
        </is>
      </c>
      <c r="E1154" s="10" t="inlineStr">
        <is>
          <t>Mobile</t>
        </is>
      </c>
      <c r="F1154" s="10" t="inlineStr">
        <is>
          <t>Social</t>
        </is>
      </c>
      <c r="G1154" s="10" t="inlineStr">
        <is>
          <t>Free</t>
        </is>
      </c>
      <c r="H1154" s="10" t="n">
        <v>0</v>
      </c>
      <c r="I1154" s="10" t="n">
        <v>0</v>
      </c>
      <c r="J1154" s="10" t="n">
        <v>0</v>
      </c>
      <c r="K1154" s="10" t="n">
        <v>0</v>
      </c>
      <c r="L1154" s="10" t="n">
        <v>0</v>
      </c>
      <c r="M1154" s="10" t="n">
        <v>0</v>
      </c>
      <c r="N1154" s="10" t="n">
        <v>0</v>
      </c>
      <c r="P1154" s="10" t="n">
        <v>37.4</v>
      </c>
      <c r="Q1154" s="10">
        <f>A1154&amp;"|"&amp;B1154&amp;"|"&amp;C1154&amp;"|"&amp;D1154&amp;"|"&amp;E1154&amp;"|"&amp;F1154&amp;"|"&amp;G1154&amp;"|"&amp;H1154&amp;"|"&amp;I1154&amp;"|"&amp;J1154&amp;"|"&amp;K1154&amp;"|"&amp;L1154&amp;"|"&amp;M1154&amp;"|"&amp;N1154&amp;"|"&amp;O1154&amp;"|"&amp;P1154</f>
        <v/>
      </c>
      <c r="R1154" s="10">
        <f>IF(COUNTIF($Q$2:$Q$1409,Q1154)&gt;1,IF(COUNTIF($Q$2:Q1154,Q1154)=1,"Exact Duplicate - Keep First","Exact Duplicate - Remove"),"Unique")</f>
        <v/>
      </c>
    </row>
    <row r="1155" ht="15" customHeight="1" s="11">
      <c r="A1155" s="10" t="inlineStr">
        <is>
          <t>USR-101154</t>
        </is>
      </c>
      <c r="B1155" s="14" t="n">
        <v>45762</v>
      </c>
      <c r="C1155" s="10" t="inlineStr">
        <is>
          <t>Treatment</t>
        </is>
      </c>
      <c r="D1155" s="10" t="inlineStr">
        <is>
          <t>West</t>
        </is>
      </c>
      <c r="E1155" s="10" t="inlineStr">
        <is>
          <t>Mobile</t>
        </is>
      </c>
      <c r="F1155" s="10" t="inlineStr">
        <is>
          <t>Organic</t>
        </is>
      </c>
      <c r="G1155" s="10" t="inlineStr">
        <is>
          <t>Basic</t>
        </is>
      </c>
      <c r="H1155" s="10" t="n">
        <v>0</v>
      </c>
      <c r="I1155" s="10" t="n">
        <v>0</v>
      </c>
      <c r="J1155" s="10" t="n">
        <v>0</v>
      </c>
      <c r="K1155" s="10" t="n">
        <v>0</v>
      </c>
      <c r="L1155" s="10" t="n">
        <v>0</v>
      </c>
      <c r="M1155" s="10" t="n">
        <v>0</v>
      </c>
      <c r="N1155" s="10" t="n">
        <v>0</v>
      </c>
      <c r="P1155" s="10" t="n">
        <v>59</v>
      </c>
      <c r="Q1155" s="10">
        <f>A1155&amp;"|"&amp;B1155&amp;"|"&amp;C1155&amp;"|"&amp;D1155&amp;"|"&amp;E1155&amp;"|"&amp;F1155&amp;"|"&amp;G1155&amp;"|"&amp;H1155&amp;"|"&amp;I1155&amp;"|"&amp;J1155&amp;"|"&amp;K1155&amp;"|"&amp;L1155&amp;"|"&amp;M1155&amp;"|"&amp;N1155&amp;"|"&amp;O1155&amp;"|"&amp;P1155</f>
        <v/>
      </c>
      <c r="R1155" s="10">
        <f>IF(COUNTIF($Q$2:$Q$1409,Q1155)&gt;1,IF(COUNTIF($Q$2:Q1155,Q1155)=1,"Exact Duplicate - Keep First","Exact Duplicate - Remove"),"Unique")</f>
        <v/>
      </c>
    </row>
    <row r="1156" ht="15" customHeight="1" s="11">
      <c r="A1156" s="10" t="inlineStr">
        <is>
          <t>USR-101155</t>
        </is>
      </c>
      <c r="B1156" s="14" t="n">
        <v>45690</v>
      </c>
      <c r="C1156" s="10" t="inlineStr">
        <is>
          <t>Treatment</t>
        </is>
      </c>
      <c r="D1156" s="10" t="inlineStr">
        <is>
          <t>East</t>
        </is>
      </c>
      <c r="E1156" s="10" t="inlineStr">
        <is>
          <t>Mobile</t>
        </is>
      </c>
      <c r="F1156" s="10" t="inlineStr">
        <is>
          <t>Organic</t>
        </is>
      </c>
      <c r="G1156" s="10" t="inlineStr">
        <is>
          <t>Premium</t>
        </is>
      </c>
      <c r="H1156" s="10" t="n">
        <v>1</v>
      </c>
      <c r="I1156" s="10" t="n">
        <v>0</v>
      </c>
      <c r="J1156" s="10" t="n">
        <v>0</v>
      </c>
      <c r="K1156" s="10" t="n">
        <v>0</v>
      </c>
      <c r="L1156" s="10" t="n">
        <v>0</v>
      </c>
      <c r="M1156" s="10" t="n">
        <v>0</v>
      </c>
      <c r="N1156" s="10" t="n">
        <v>0</v>
      </c>
      <c r="P1156" s="10" t="n">
        <v>60.8</v>
      </c>
      <c r="Q1156" s="10">
        <f>A1156&amp;"|"&amp;B1156&amp;"|"&amp;C1156&amp;"|"&amp;D1156&amp;"|"&amp;E1156&amp;"|"&amp;F1156&amp;"|"&amp;G1156&amp;"|"&amp;H1156&amp;"|"&amp;I1156&amp;"|"&amp;J1156&amp;"|"&amp;K1156&amp;"|"&amp;L1156&amp;"|"&amp;M1156&amp;"|"&amp;N1156&amp;"|"&amp;O1156&amp;"|"&amp;P1156</f>
        <v/>
      </c>
      <c r="R1156" s="10">
        <f>IF(COUNTIF($Q$2:$Q$1409,Q1156)&gt;1,IF(COUNTIF($Q$2:Q1156,Q1156)=1,"Exact Duplicate - Keep First","Exact Duplicate - Remove"),"Unique")</f>
        <v/>
      </c>
    </row>
    <row r="1157" ht="15" customHeight="1" s="11">
      <c r="A1157" s="10" t="inlineStr">
        <is>
          <t>USR-101156</t>
        </is>
      </c>
      <c r="B1157" s="14" t="n">
        <v>45796</v>
      </c>
      <c r="C1157" s="10" t="inlineStr">
        <is>
          <t>Treatment</t>
        </is>
      </c>
      <c r="D1157" s="10" t="inlineStr">
        <is>
          <t>South</t>
        </is>
      </c>
      <c r="E1157" s="10" t="inlineStr">
        <is>
          <t>Mobile</t>
        </is>
      </c>
      <c r="F1157" s="10" t="inlineStr">
        <is>
          <t>Email</t>
        </is>
      </c>
      <c r="G1157" s="10" t="inlineStr">
        <is>
          <t>Free</t>
        </is>
      </c>
      <c r="H1157" s="10" t="n">
        <v>1</v>
      </c>
      <c r="I1157" s="10" t="n">
        <v>0</v>
      </c>
      <c r="J1157" s="10" t="n">
        <v>0</v>
      </c>
      <c r="K1157" s="10" t="n">
        <v>0</v>
      </c>
      <c r="L1157" s="10" t="n">
        <v>0</v>
      </c>
      <c r="M1157" s="10" t="n">
        <v>0</v>
      </c>
      <c r="N1157" s="10" t="n">
        <v>0</v>
      </c>
      <c r="P1157" s="10" t="n">
        <v>57.5</v>
      </c>
      <c r="Q1157" s="10">
        <f>A1157&amp;"|"&amp;B1157&amp;"|"&amp;C1157&amp;"|"&amp;D1157&amp;"|"&amp;E1157&amp;"|"&amp;F1157&amp;"|"&amp;G1157&amp;"|"&amp;H1157&amp;"|"&amp;I1157&amp;"|"&amp;J1157&amp;"|"&amp;K1157&amp;"|"&amp;L1157&amp;"|"&amp;M1157&amp;"|"&amp;N1157&amp;"|"&amp;O1157&amp;"|"&amp;P1157</f>
        <v/>
      </c>
      <c r="R1157" s="10">
        <f>IF(COUNTIF($Q$2:$Q$1409,Q1157)&gt;1,IF(COUNTIF($Q$2:Q1157,Q1157)=1,"Exact Duplicate - Keep First","Exact Duplicate - Remove"),"Unique")</f>
        <v/>
      </c>
    </row>
    <row r="1158" ht="15" customHeight="1" s="11">
      <c r="A1158" s="10" t="inlineStr">
        <is>
          <t>USR-101157</t>
        </is>
      </c>
      <c r="B1158" s="14" t="n">
        <v>45662</v>
      </c>
      <c r="C1158" s="10" t="inlineStr">
        <is>
          <t>Treatment</t>
        </is>
      </c>
      <c r="D1158" s="10" t="inlineStr">
        <is>
          <t>West</t>
        </is>
      </c>
      <c r="E1158" s="10" t="inlineStr">
        <is>
          <t>Mobile</t>
        </is>
      </c>
      <c r="F1158" s="10" t="inlineStr">
        <is>
          <t>Referral</t>
        </is>
      </c>
      <c r="G1158" s="10" t="inlineStr">
        <is>
          <t>Free</t>
        </is>
      </c>
      <c r="H1158" s="10" t="n">
        <v>0</v>
      </c>
      <c r="I1158" s="10" t="n">
        <v>0</v>
      </c>
      <c r="J1158" s="10" t="n">
        <v>0</v>
      </c>
      <c r="K1158" s="10" t="n">
        <v>0</v>
      </c>
      <c r="L1158" s="10" t="n">
        <v>0</v>
      </c>
      <c r="M1158" s="10" t="n">
        <v>0</v>
      </c>
      <c r="N1158" s="10" t="n">
        <v>0</v>
      </c>
      <c r="P1158" s="10" t="n">
        <v>84.2</v>
      </c>
      <c r="Q1158" s="10">
        <f>A1158&amp;"|"&amp;B1158&amp;"|"&amp;C1158&amp;"|"&amp;D1158&amp;"|"&amp;E1158&amp;"|"&amp;F1158&amp;"|"&amp;G1158&amp;"|"&amp;H1158&amp;"|"&amp;I1158&amp;"|"&amp;J1158&amp;"|"&amp;K1158&amp;"|"&amp;L1158&amp;"|"&amp;M1158&amp;"|"&amp;N1158&amp;"|"&amp;O1158&amp;"|"&amp;P1158</f>
        <v/>
      </c>
      <c r="R1158" s="10">
        <f>IF(COUNTIF($Q$2:$Q$1409,Q1158)&gt;1,IF(COUNTIF($Q$2:Q1158,Q1158)=1,"Exact Duplicate - Keep First","Exact Duplicate - Remove"),"Unique")</f>
        <v/>
      </c>
    </row>
    <row r="1159" ht="15" customHeight="1" s="11">
      <c r="A1159" s="10" t="inlineStr">
        <is>
          <t>USR-101158</t>
        </is>
      </c>
      <c r="B1159" s="14" t="n">
        <v>45724</v>
      </c>
      <c r="C1159" s="10" t="inlineStr">
        <is>
          <t>Treatment</t>
        </is>
      </c>
      <c r="D1159" s="10" t="inlineStr">
        <is>
          <t>South</t>
        </is>
      </c>
      <c r="E1159" s="10" t="inlineStr">
        <is>
          <t>Mobile</t>
        </is>
      </c>
      <c r="F1159" s="10" t="inlineStr">
        <is>
          <t>Paid Search</t>
        </is>
      </c>
      <c r="G1159" s="10" t="inlineStr">
        <is>
          <t>Free</t>
        </is>
      </c>
      <c r="H1159" s="10" t="n">
        <v>1</v>
      </c>
      <c r="I1159" s="10" t="n">
        <v>1</v>
      </c>
      <c r="J1159" s="10" t="n">
        <v>0</v>
      </c>
      <c r="K1159" s="10" t="n">
        <v>0</v>
      </c>
      <c r="L1159" s="10" t="n">
        <v>0</v>
      </c>
      <c r="M1159" s="10" t="n">
        <v>0</v>
      </c>
      <c r="N1159" s="10" t="n">
        <v>0</v>
      </c>
      <c r="P1159" s="10" t="n">
        <v>27.4</v>
      </c>
      <c r="Q1159" s="10">
        <f>A1159&amp;"|"&amp;B1159&amp;"|"&amp;C1159&amp;"|"&amp;D1159&amp;"|"&amp;E1159&amp;"|"&amp;F1159&amp;"|"&amp;G1159&amp;"|"&amp;H1159&amp;"|"&amp;I1159&amp;"|"&amp;J1159&amp;"|"&amp;K1159&amp;"|"&amp;L1159&amp;"|"&amp;M1159&amp;"|"&amp;N1159&amp;"|"&amp;O1159&amp;"|"&amp;P1159</f>
        <v/>
      </c>
      <c r="R1159" s="10">
        <f>IF(COUNTIF($Q$2:$Q$1409,Q1159)&gt;1,IF(COUNTIF($Q$2:Q1159,Q1159)=1,"Exact Duplicate - Keep First","Exact Duplicate - Remove"),"Unique")</f>
        <v/>
      </c>
    </row>
    <row r="1160" ht="15" customHeight="1" s="11">
      <c r="A1160" s="10" t="inlineStr">
        <is>
          <t>USR-101159</t>
        </is>
      </c>
      <c r="B1160" s="14" t="n">
        <v>45728</v>
      </c>
      <c r="C1160" s="10" t="inlineStr">
        <is>
          <t>Treatment</t>
        </is>
      </c>
      <c r="D1160" s="10" t="inlineStr">
        <is>
          <t>West</t>
        </is>
      </c>
      <c r="E1160" s="10" t="inlineStr">
        <is>
          <t>Mobile</t>
        </is>
      </c>
      <c r="F1160" s="10" t="inlineStr">
        <is>
          <t>Email</t>
        </is>
      </c>
      <c r="G1160" s="10" t="inlineStr">
        <is>
          <t>Basic</t>
        </is>
      </c>
      <c r="H1160" s="10" t="n">
        <v>1</v>
      </c>
      <c r="I1160" s="10" t="n">
        <v>0</v>
      </c>
      <c r="J1160" s="10" t="n">
        <v>0</v>
      </c>
      <c r="K1160" s="10" t="n">
        <v>0</v>
      </c>
      <c r="L1160" s="10" t="n">
        <v>0</v>
      </c>
      <c r="M1160" s="10" t="n">
        <v>1</v>
      </c>
      <c r="N1160" s="10" t="n">
        <v>0</v>
      </c>
      <c r="P1160" s="10" t="n">
        <v>67.59999999999999</v>
      </c>
      <c r="Q1160" s="10">
        <f>A1160&amp;"|"&amp;B1160&amp;"|"&amp;C1160&amp;"|"&amp;D1160&amp;"|"&amp;E1160&amp;"|"&amp;F1160&amp;"|"&amp;G1160&amp;"|"&amp;H1160&amp;"|"&amp;I1160&amp;"|"&amp;J1160&amp;"|"&amp;K1160&amp;"|"&amp;L1160&amp;"|"&amp;M1160&amp;"|"&amp;N1160&amp;"|"&amp;O1160&amp;"|"&amp;P1160</f>
        <v/>
      </c>
      <c r="R1160" s="10">
        <f>IF(COUNTIF($Q$2:$Q$1409,Q1160)&gt;1,IF(COUNTIF($Q$2:Q1160,Q1160)=1,"Exact Duplicate - Keep First","Exact Duplicate - Remove"),"Unique")</f>
        <v/>
      </c>
    </row>
    <row r="1161" ht="15" customHeight="1" s="11">
      <c r="A1161" s="10" t="inlineStr">
        <is>
          <t>USR-101160</t>
        </is>
      </c>
      <c r="B1161" s="14" t="n">
        <v>45681</v>
      </c>
      <c r="C1161" s="10" t="inlineStr">
        <is>
          <t>Treatment</t>
        </is>
      </c>
      <c r="D1161" s="10" t="inlineStr">
        <is>
          <t>West</t>
        </is>
      </c>
      <c r="E1161" s="10" t="inlineStr">
        <is>
          <t>Mobile</t>
        </is>
      </c>
      <c r="F1161" s="10" t="inlineStr">
        <is>
          <t>Organic</t>
        </is>
      </c>
      <c r="G1161" s="10" t="inlineStr">
        <is>
          <t>Free</t>
        </is>
      </c>
      <c r="H1161" s="10" t="n">
        <v>0</v>
      </c>
      <c r="I1161" s="10" t="n">
        <v>0</v>
      </c>
      <c r="J1161" s="10" t="n">
        <v>0</v>
      </c>
      <c r="K1161" s="10" t="n">
        <v>0</v>
      </c>
      <c r="L1161" s="10" t="n">
        <v>0</v>
      </c>
      <c r="M1161" s="10" t="n">
        <v>0</v>
      </c>
      <c r="N1161" s="10" t="n">
        <v>0</v>
      </c>
      <c r="P1161" s="10" t="n">
        <v>68.40000000000001</v>
      </c>
      <c r="Q1161" s="10">
        <f>A1161&amp;"|"&amp;B1161&amp;"|"&amp;C1161&amp;"|"&amp;D1161&amp;"|"&amp;E1161&amp;"|"&amp;F1161&amp;"|"&amp;G1161&amp;"|"&amp;H1161&amp;"|"&amp;I1161&amp;"|"&amp;J1161&amp;"|"&amp;K1161&amp;"|"&amp;L1161&amp;"|"&amp;M1161&amp;"|"&amp;N1161&amp;"|"&amp;O1161&amp;"|"&amp;P1161</f>
        <v/>
      </c>
      <c r="R1161" s="10">
        <f>IF(COUNTIF($Q$2:$Q$1409,Q1161)&gt;1,IF(COUNTIF($Q$2:Q1161,Q1161)=1,"Exact Duplicate - Keep First","Exact Duplicate - Remove"),"Unique")</f>
        <v/>
      </c>
    </row>
    <row r="1162" ht="15" customHeight="1" s="11">
      <c r="A1162" s="10" t="inlineStr">
        <is>
          <t>USR-101161</t>
        </is>
      </c>
      <c r="B1162" s="14" t="n">
        <v>45799</v>
      </c>
      <c r="C1162" s="10" t="inlineStr">
        <is>
          <t>Treatment</t>
        </is>
      </c>
      <c r="D1162" s="10" t="inlineStr">
        <is>
          <t>South</t>
        </is>
      </c>
      <c r="E1162" s="10" t="inlineStr">
        <is>
          <t>Mobile</t>
        </is>
      </c>
      <c r="F1162" s="10" t="inlineStr">
        <is>
          <t>Paid Search</t>
        </is>
      </c>
      <c r="G1162" s="10" t="inlineStr">
        <is>
          <t>Basic</t>
        </is>
      </c>
      <c r="H1162" s="10" t="n">
        <v>1</v>
      </c>
      <c r="I1162" s="10" t="n">
        <v>1</v>
      </c>
      <c r="J1162" s="10" t="n">
        <v>1</v>
      </c>
      <c r="K1162" s="10" t="n">
        <v>0</v>
      </c>
      <c r="L1162" s="10" t="n">
        <v>0</v>
      </c>
      <c r="M1162" s="10" t="n">
        <v>0</v>
      </c>
      <c r="N1162" s="10" t="n">
        <v>0</v>
      </c>
      <c r="P1162" s="10" t="n">
        <v>66.5</v>
      </c>
      <c r="Q1162" s="10">
        <f>A1162&amp;"|"&amp;B1162&amp;"|"&amp;C1162&amp;"|"&amp;D1162&amp;"|"&amp;E1162&amp;"|"&amp;F1162&amp;"|"&amp;G1162&amp;"|"&amp;H1162&amp;"|"&amp;I1162&amp;"|"&amp;J1162&amp;"|"&amp;K1162&amp;"|"&amp;L1162&amp;"|"&amp;M1162&amp;"|"&amp;N1162&amp;"|"&amp;O1162&amp;"|"&amp;P1162</f>
        <v/>
      </c>
      <c r="R1162" s="10">
        <f>IF(COUNTIF($Q$2:$Q$1409,Q1162)&gt;1,IF(COUNTIF($Q$2:Q1162,Q1162)=1,"Exact Duplicate - Keep First","Exact Duplicate - Remove"),"Unique")</f>
        <v/>
      </c>
    </row>
    <row r="1163" ht="15" customHeight="1" s="11">
      <c r="A1163" s="10" t="inlineStr">
        <is>
          <t>USR-101162</t>
        </is>
      </c>
      <c r="B1163" s="14" t="n">
        <v>45743</v>
      </c>
      <c r="C1163" s="10" t="inlineStr">
        <is>
          <t>Treatment</t>
        </is>
      </c>
      <c r="D1163" s="10" t="inlineStr">
        <is>
          <t>South</t>
        </is>
      </c>
      <c r="E1163" s="10" t="inlineStr">
        <is>
          <t>Mobile</t>
        </is>
      </c>
      <c r="F1163" s="10" t="inlineStr">
        <is>
          <t>Paid Search</t>
        </is>
      </c>
      <c r="G1163" s="10" t="inlineStr">
        <is>
          <t>Free</t>
        </is>
      </c>
      <c r="H1163" s="10" t="n">
        <v>1</v>
      </c>
      <c r="I1163" s="10" t="n">
        <v>0</v>
      </c>
      <c r="J1163" s="10" t="n">
        <v>0</v>
      </c>
      <c r="K1163" s="10" t="n">
        <v>0</v>
      </c>
      <c r="L1163" s="10" t="n">
        <v>0</v>
      </c>
      <c r="M1163" s="10" t="n">
        <v>0</v>
      </c>
      <c r="N1163" s="10" t="n">
        <v>0</v>
      </c>
      <c r="P1163" s="10" t="n">
        <v>38.2</v>
      </c>
      <c r="Q1163" s="10">
        <f>A1163&amp;"|"&amp;B1163&amp;"|"&amp;C1163&amp;"|"&amp;D1163&amp;"|"&amp;E1163&amp;"|"&amp;F1163&amp;"|"&amp;G1163&amp;"|"&amp;H1163&amp;"|"&amp;I1163&amp;"|"&amp;J1163&amp;"|"&amp;K1163&amp;"|"&amp;L1163&amp;"|"&amp;M1163&amp;"|"&amp;N1163&amp;"|"&amp;O1163&amp;"|"&amp;P1163</f>
        <v/>
      </c>
      <c r="R1163" s="10">
        <f>IF(COUNTIF($Q$2:$Q$1409,Q1163)&gt;1,IF(COUNTIF($Q$2:Q1163,Q1163)=1,"Exact Duplicate - Keep First","Exact Duplicate - Remove"),"Unique")</f>
        <v/>
      </c>
    </row>
    <row r="1164" ht="15" customHeight="1" s="11">
      <c r="A1164" s="10" t="inlineStr">
        <is>
          <t>USR-101163</t>
        </is>
      </c>
      <c r="B1164" s="14" t="n">
        <v>45659</v>
      </c>
      <c r="C1164" s="10" t="inlineStr">
        <is>
          <t>Treatment</t>
        </is>
      </c>
      <c r="D1164" s="10" t="inlineStr">
        <is>
          <t>West</t>
        </is>
      </c>
      <c r="E1164" s="10" t="inlineStr">
        <is>
          <t>Mobile</t>
        </is>
      </c>
      <c r="F1164" s="10" t="inlineStr">
        <is>
          <t>Social</t>
        </is>
      </c>
      <c r="G1164" s="10" t="inlineStr">
        <is>
          <t>Free</t>
        </is>
      </c>
      <c r="H1164" s="10" t="n">
        <v>0</v>
      </c>
      <c r="I1164" s="10" t="n">
        <v>0</v>
      </c>
      <c r="J1164" s="10" t="n">
        <v>0</v>
      </c>
      <c r="K1164" s="10" t="n">
        <v>0</v>
      </c>
      <c r="L1164" s="10" t="n">
        <v>0</v>
      </c>
      <c r="M1164" s="10" t="n">
        <v>1</v>
      </c>
      <c r="N1164" s="10" t="n">
        <v>0</v>
      </c>
      <c r="P1164" s="10" t="n">
        <v>66.7</v>
      </c>
      <c r="Q1164" s="10">
        <f>A1164&amp;"|"&amp;B1164&amp;"|"&amp;C1164&amp;"|"&amp;D1164&amp;"|"&amp;E1164&amp;"|"&amp;F1164&amp;"|"&amp;G1164&amp;"|"&amp;H1164&amp;"|"&amp;I1164&amp;"|"&amp;J1164&amp;"|"&amp;K1164&amp;"|"&amp;L1164&amp;"|"&amp;M1164&amp;"|"&amp;N1164&amp;"|"&amp;O1164&amp;"|"&amp;P1164</f>
        <v/>
      </c>
      <c r="R1164" s="10">
        <f>IF(COUNTIF($Q$2:$Q$1409,Q1164)&gt;1,IF(COUNTIF($Q$2:Q1164,Q1164)=1,"Exact Duplicate - Keep First","Exact Duplicate - Remove"),"Unique")</f>
        <v/>
      </c>
    </row>
    <row r="1165" ht="15" customHeight="1" s="11">
      <c r="A1165" s="10" t="inlineStr">
        <is>
          <t>USR-101164</t>
        </is>
      </c>
      <c r="B1165" s="14" t="n">
        <v>45712</v>
      </c>
      <c r="C1165" s="10" t="inlineStr">
        <is>
          <t>Treatment</t>
        </is>
      </c>
      <c r="D1165" s="10" t="inlineStr">
        <is>
          <t>North</t>
        </is>
      </c>
      <c r="E1165" s="10" t="inlineStr">
        <is>
          <t>Mobile</t>
        </is>
      </c>
      <c r="F1165" s="10" t="inlineStr">
        <is>
          <t>Paid Search</t>
        </is>
      </c>
      <c r="G1165" s="10" t="inlineStr">
        <is>
          <t>Free</t>
        </is>
      </c>
      <c r="H1165" s="10" t="n">
        <v>0</v>
      </c>
      <c r="I1165" s="10" t="n">
        <v>0</v>
      </c>
      <c r="J1165" s="10" t="n">
        <v>0</v>
      </c>
      <c r="K1165" s="10" t="n">
        <v>0</v>
      </c>
      <c r="L1165" s="10" t="n">
        <v>0</v>
      </c>
      <c r="M1165" s="10" t="n">
        <v>1</v>
      </c>
      <c r="N1165" s="10" t="n">
        <v>0</v>
      </c>
      <c r="P1165" s="10" t="n">
        <v>73.7</v>
      </c>
      <c r="Q1165" s="10">
        <f>A1165&amp;"|"&amp;B1165&amp;"|"&amp;C1165&amp;"|"&amp;D1165&amp;"|"&amp;E1165&amp;"|"&amp;F1165&amp;"|"&amp;G1165&amp;"|"&amp;H1165&amp;"|"&amp;I1165&amp;"|"&amp;J1165&amp;"|"&amp;K1165&amp;"|"&amp;L1165&amp;"|"&amp;M1165&amp;"|"&amp;N1165&amp;"|"&amp;O1165&amp;"|"&amp;P1165</f>
        <v/>
      </c>
      <c r="R1165" s="10">
        <f>IF(COUNTIF($Q$2:$Q$1409,Q1165)&gt;1,IF(COUNTIF($Q$2:Q1165,Q1165)=1,"Exact Duplicate - Keep First","Exact Duplicate - Remove"),"Unique")</f>
        <v/>
      </c>
    </row>
    <row r="1166" ht="15" customHeight="1" s="11">
      <c r="A1166" s="10" t="inlineStr">
        <is>
          <t>USR-101165</t>
        </is>
      </c>
      <c r="B1166" s="14" t="n">
        <v>45717</v>
      </c>
      <c r="C1166" s="10" t="inlineStr">
        <is>
          <t>Treatment</t>
        </is>
      </c>
      <c r="D1166" s="10" t="inlineStr">
        <is>
          <t>West</t>
        </is>
      </c>
      <c r="E1166" s="10" t="inlineStr">
        <is>
          <t>Desktop</t>
        </is>
      </c>
      <c r="F1166" s="10" t="inlineStr">
        <is>
          <t>Organic</t>
        </is>
      </c>
      <c r="G1166" s="10" t="inlineStr">
        <is>
          <t>Basic</t>
        </is>
      </c>
      <c r="H1166" s="10" t="n">
        <v>1</v>
      </c>
      <c r="I1166" s="10" t="n">
        <v>1</v>
      </c>
      <c r="J1166" s="10" t="n">
        <v>1</v>
      </c>
      <c r="K1166" s="10" t="n">
        <v>0</v>
      </c>
      <c r="L1166" s="10" t="n">
        <v>0</v>
      </c>
      <c r="M1166" s="10" t="n">
        <v>0</v>
      </c>
      <c r="N1166" s="10" t="n">
        <v>0</v>
      </c>
      <c r="P1166" s="10" t="n">
        <v>63.9</v>
      </c>
      <c r="Q1166" s="10">
        <f>A1166&amp;"|"&amp;B1166&amp;"|"&amp;C1166&amp;"|"&amp;D1166&amp;"|"&amp;E1166&amp;"|"&amp;F1166&amp;"|"&amp;G1166&amp;"|"&amp;H1166&amp;"|"&amp;I1166&amp;"|"&amp;J1166&amp;"|"&amp;K1166&amp;"|"&amp;L1166&amp;"|"&amp;M1166&amp;"|"&amp;N1166&amp;"|"&amp;O1166&amp;"|"&amp;P1166</f>
        <v/>
      </c>
      <c r="R1166" s="10">
        <f>IF(COUNTIF($Q$2:$Q$1409,Q1166)&gt;1,IF(COUNTIF($Q$2:Q1166,Q1166)=1,"Exact Duplicate - Keep First","Exact Duplicate - Remove"),"Unique")</f>
        <v/>
      </c>
    </row>
    <row r="1167" ht="15" customHeight="1" s="11">
      <c r="A1167" s="10" t="inlineStr">
        <is>
          <t>USR-101166</t>
        </is>
      </c>
      <c r="B1167" s="14" t="n">
        <v>45742</v>
      </c>
      <c r="C1167" s="10" t="inlineStr">
        <is>
          <t>Treatment</t>
        </is>
      </c>
      <c r="D1167" s="10" t="inlineStr">
        <is>
          <t>South</t>
        </is>
      </c>
      <c r="E1167" s="10" t="inlineStr">
        <is>
          <t>Tablet</t>
        </is>
      </c>
      <c r="F1167" s="10" t="inlineStr">
        <is>
          <t>Organic</t>
        </is>
      </c>
      <c r="G1167" s="10" t="inlineStr">
        <is>
          <t>Basic</t>
        </is>
      </c>
      <c r="H1167" s="10" t="n">
        <v>1</v>
      </c>
      <c r="I1167" s="10" t="n">
        <v>0</v>
      </c>
      <c r="J1167" s="10" t="n">
        <v>0</v>
      </c>
      <c r="K1167" s="10" t="n">
        <v>0</v>
      </c>
      <c r="L1167" s="10" t="n">
        <v>0</v>
      </c>
      <c r="M1167" s="10" t="n">
        <v>1</v>
      </c>
      <c r="N1167" s="10" t="n">
        <v>0</v>
      </c>
      <c r="P1167" s="10" t="n">
        <v>82.59999999999999</v>
      </c>
      <c r="Q1167" s="10">
        <f>A1167&amp;"|"&amp;B1167&amp;"|"&amp;C1167&amp;"|"&amp;D1167&amp;"|"&amp;E1167&amp;"|"&amp;F1167&amp;"|"&amp;G1167&amp;"|"&amp;H1167&amp;"|"&amp;I1167&amp;"|"&amp;J1167&amp;"|"&amp;K1167&amp;"|"&amp;L1167&amp;"|"&amp;M1167&amp;"|"&amp;N1167&amp;"|"&amp;O1167&amp;"|"&amp;P1167</f>
        <v/>
      </c>
      <c r="R1167" s="10">
        <f>IF(COUNTIF($Q$2:$Q$1409,Q1167)&gt;1,IF(COUNTIF($Q$2:Q1167,Q1167)=1,"Exact Duplicate - Keep First","Exact Duplicate - Remove"),"Unique")</f>
        <v/>
      </c>
    </row>
    <row r="1168" ht="15" customHeight="1" s="11">
      <c r="A1168" s="10" t="inlineStr">
        <is>
          <t>USR-101167</t>
        </is>
      </c>
      <c r="B1168" s="14" t="n">
        <v>45802</v>
      </c>
      <c r="C1168" s="10" t="inlineStr">
        <is>
          <t>Treatment</t>
        </is>
      </c>
      <c r="D1168" s="10" t="inlineStr">
        <is>
          <t>East</t>
        </is>
      </c>
      <c r="E1168" s="10" t="inlineStr">
        <is>
          <t>Mobile</t>
        </is>
      </c>
      <c r="F1168" s="10" t="inlineStr">
        <is>
          <t>Paid Search</t>
        </is>
      </c>
      <c r="G1168" s="10" t="inlineStr">
        <is>
          <t>Free</t>
        </is>
      </c>
      <c r="H1168" s="10" t="n">
        <v>0</v>
      </c>
      <c r="I1168" s="10" t="n">
        <v>0</v>
      </c>
      <c r="J1168" s="10" t="n">
        <v>0</v>
      </c>
      <c r="K1168" s="10" t="n">
        <v>0</v>
      </c>
      <c r="L1168" s="10" t="n">
        <v>0</v>
      </c>
      <c r="M1168" s="10" t="n">
        <v>1</v>
      </c>
      <c r="N1168" s="10" t="n">
        <v>0</v>
      </c>
      <c r="P1168" s="10" t="n">
        <v>58.3</v>
      </c>
      <c r="Q1168" s="10">
        <f>A1168&amp;"|"&amp;B1168&amp;"|"&amp;C1168&amp;"|"&amp;D1168&amp;"|"&amp;E1168&amp;"|"&amp;F1168&amp;"|"&amp;G1168&amp;"|"&amp;H1168&amp;"|"&amp;I1168&amp;"|"&amp;J1168&amp;"|"&amp;K1168&amp;"|"&amp;L1168&amp;"|"&amp;M1168&amp;"|"&amp;N1168&amp;"|"&amp;O1168&amp;"|"&amp;P1168</f>
        <v/>
      </c>
      <c r="R1168" s="10">
        <f>IF(COUNTIF($Q$2:$Q$1409,Q1168)&gt;1,IF(COUNTIF($Q$2:Q1168,Q1168)=1,"Exact Duplicate - Keep First","Exact Duplicate - Remove"),"Unique")</f>
        <v/>
      </c>
    </row>
    <row r="1169" ht="15" customHeight="1" s="11">
      <c r="A1169" s="10" t="inlineStr">
        <is>
          <t>USR-101168</t>
        </is>
      </c>
      <c r="B1169" s="14" t="n">
        <v>45713</v>
      </c>
      <c r="C1169" s="10" t="inlineStr">
        <is>
          <t>Treatment</t>
        </is>
      </c>
      <c r="D1169" s="10" t="inlineStr">
        <is>
          <t>West</t>
        </is>
      </c>
      <c r="E1169" s="10" t="inlineStr">
        <is>
          <t>Mobile</t>
        </is>
      </c>
      <c r="F1169" s="10" t="inlineStr">
        <is>
          <t>Referral</t>
        </is>
      </c>
      <c r="G1169" s="10" t="inlineStr">
        <is>
          <t>Premium</t>
        </is>
      </c>
      <c r="H1169" s="10" t="n">
        <v>1</v>
      </c>
      <c r="I1169" s="10" t="n">
        <v>1</v>
      </c>
      <c r="J1169" s="10" t="n">
        <v>1</v>
      </c>
      <c r="K1169" s="10" t="n">
        <v>1</v>
      </c>
      <c r="L1169" s="10" t="n">
        <v>1547.06</v>
      </c>
      <c r="M1169" s="10" t="n">
        <v>0</v>
      </c>
      <c r="N1169" s="10" t="n">
        <v>1</v>
      </c>
      <c r="O1169" s="10" t="n">
        <v>2</v>
      </c>
      <c r="P1169" s="10" t="n">
        <v>72.90000000000001</v>
      </c>
      <c r="Q1169" s="10">
        <f>A1169&amp;"|"&amp;B1169&amp;"|"&amp;C1169&amp;"|"&amp;D1169&amp;"|"&amp;E1169&amp;"|"&amp;F1169&amp;"|"&amp;G1169&amp;"|"&amp;H1169&amp;"|"&amp;I1169&amp;"|"&amp;J1169&amp;"|"&amp;K1169&amp;"|"&amp;L1169&amp;"|"&amp;M1169&amp;"|"&amp;N1169&amp;"|"&amp;O1169&amp;"|"&amp;P1169</f>
        <v/>
      </c>
      <c r="R1169" s="10">
        <f>IF(COUNTIF($Q$2:$Q$1409,Q1169)&gt;1,IF(COUNTIF($Q$2:Q1169,Q1169)=1,"Exact Duplicate - Keep First","Exact Duplicate - Remove"),"Unique")</f>
        <v/>
      </c>
    </row>
    <row r="1170" ht="15" customHeight="1" s="11">
      <c r="A1170" s="10" t="inlineStr">
        <is>
          <t>USR-101169</t>
        </is>
      </c>
      <c r="B1170" s="14" t="n">
        <v>45739</v>
      </c>
      <c r="C1170" s="10" t="inlineStr">
        <is>
          <t>Treatment</t>
        </is>
      </c>
      <c r="D1170" s="10" t="inlineStr">
        <is>
          <t>South</t>
        </is>
      </c>
      <c r="E1170" s="10" t="inlineStr">
        <is>
          <t>Mobile</t>
        </is>
      </c>
      <c r="F1170" s="10" t="inlineStr">
        <is>
          <t>Social</t>
        </is>
      </c>
      <c r="G1170" s="10" t="inlineStr">
        <is>
          <t>Free</t>
        </is>
      </c>
      <c r="H1170" s="10" t="n">
        <v>1</v>
      </c>
      <c r="I1170" s="10" t="n">
        <v>1</v>
      </c>
      <c r="J1170" s="10" t="n">
        <v>1</v>
      </c>
      <c r="K1170" s="10" t="n">
        <v>0</v>
      </c>
      <c r="L1170" s="10" t="n">
        <v>0</v>
      </c>
      <c r="M1170" s="10" t="n">
        <v>2</v>
      </c>
      <c r="N1170" s="10" t="n">
        <v>0</v>
      </c>
      <c r="P1170" s="10" t="n">
        <v>53.5</v>
      </c>
      <c r="Q1170" s="10">
        <f>A1170&amp;"|"&amp;B1170&amp;"|"&amp;C1170&amp;"|"&amp;D1170&amp;"|"&amp;E1170&amp;"|"&amp;F1170&amp;"|"&amp;G1170&amp;"|"&amp;H1170&amp;"|"&amp;I1170&amp;"|"&amp;J1170&amp;"|"&amp;K1170&amp;"|"&amp;L1170&amp;"|"&amp;M1170&amp;"|"&amp;N1170&amp;"|"&amp;O1170&amp;"|"&amp;P1170</f>
        <v/>
      </c>
      <c r="R1170" s="10">
        <f>IF(COUNTIF($Q$2:$Q$1409,Q1170)&gt;1,IF(COUNTIF($Q$2:Q1170,Q1170)=1,"Exact Duplicate - Keep First","Exact Duplicate - Remove"),"Unique")</f>
        <v/>
      </c>
    </row>
    <row r="1171" ht="15" customHeight="1" s="11">
      <c r="A1171" s="10" t="inlineStr">
        <is>
          <t>USR-101170</t>
        </is>
      </c>
      <c r="B1171" s="14" t="n">
        <v>45768</v>
      </c>
      <c r="C1171" s="10" t="inlineStr">
        <is>
          <t>Treatment</t>
        </is>
      </c>
      <c r="D1171" s="10" t="inlineStr">
        <is>
          <t>West</t>
        </is>
      </c>
      <c r="E1171" s="10" t="inlineStr">
        <is>
          <t>Mobile</t>
        </is>
      </c>
      <c r="F1171" s="10" t="inlineStr">
        <is>
          <t>Referral</t>
        </is>
      </c>
      <c r="G1171" s="10" t="inlineStr">
        <is>
          <t>Free</t>
        </is>
      </c>
      <c r="H1171" s="10" t="n">
        <v>1</v>
      </c>
      <c r="I1171" s="10" t="n">
        <v>0</v>
      </c>
      <c r="J1171" s="10" t="n">
        <v>0</v>
      </c>
      <c r="K1171" s="10" t="n">
        <v>0</v>
      </c>
      <c r="L1171" s="10" t="n">
        <v>0</v>
      </c>
      <c r="M1171" s="10" t="n">
        <v>0</v>
      </c>
      <c r="N1171" s="10" t="n">
        <v>0</v>
      </c>
      <c r="P1171" s="10" t="n">
        <v>54.8</v>
      </c>
      <c r="Q1171" s="10">
        <f>A1171&amp;"|"&amp;B1171&amp;"|"&amp;C1171&amp;"|"&amp;D1171&amp;"|"&amp;E1171&amp;"|"&amp;F1171&amp;"|"&amp;G1171&amp;"|"&amp;H1171&amp;"|"&amp;I1171&amp;"|"&amp;J1171&amp;"|"&amp;K1171&amp;"|"&amp;L1171&amp;"|"&amp;M1171&amp;"|"&amp;N1171&amp;"|"&amp;O1171&amp;"|"&amp;P1171</f>
        <v/>
      </c>
      <c r="R1171" s="10">
        <f>IF(COUNTIF($Q$2:$Q$1409,Q1171)&gt;1,IF(COUNTIF($Q$2:Q1171,Q1171)=1,"Exact Duplicate - Keep First","Exact Duplicate - Remove"),"Unique")</f>
        <v/>
      </c>
    </row>
    <row r="1172" ht="15" customHeight="1" s="11">
      <c r="A1172" s="10" t="inlineStr">
        <is>
          <t>USR-101171</t>
        </is>
      </c>
      <c r="B1172" s="14" t="n">
        <v>45798</v>
      </c>
      <c r="C1172" s="10" t="inlineStr">
        <is>
          <t>Treatment</t>
        </is>
      </c>
      <c r="D1172" s="10" t="inlineStr">
        <is>
          <t>North</t>
        </is>
      </c>
      <c r="E1172" s="10" t="inlineStr">
        <is>
          <t>Mobile</t>
        </is>
      </c>
      <c r="F1172" s="10" t="inlineStr">
        <is>
          <t>Organic</t>
        </is>
      </c>
      <c r="G1172" s="10" t="inlineStr">
        <is>
          <t>Premium</t>
        </is>
      </c>
      <c r="H1172" s="10" t="n">
        <v>1</v>
      </c>
      <c r="I1172" s="10" t="n">
        <v>0</v>
      </c>
      <c r="J1172" s="10" t="n">
        <v>0</v>
      </c>
      <c r="K1172" s="10" t="n">
        <v>0</v>
      </c>
      <c r="L1172" s="10" t="n">
        <v>0</v>
      </c>
      <c r="M1172" s="10" t="n">
        <v>0</v>
      </c>
      <c r="N1172" s="10" t="n">
        <v>0</v>
      </c>
      <c r="P1172" s="10" t="n">
        <v>69.5</v>
      </c>
      <c r="Q1172" s="10">
        <f>A1172&amp;"|"&amp;B1172&amp;"|"&amp;C1172&amp;"|"&amp;D1172&amp;"|"&amp;E1172&amp;"|"&amp;F1172&amp;"|"&amp;G1172&amp;"|"&amp;H1172&amp;"|"&amp;I1172&amp;"|"&amp;J1172&amp;"|"&amp;K1172&amp;"|"&amp;L1172&amp;"|"&amp;M1172&amp;"|"&amp;N1172&amp;"|"&amp;O1172&amp;"|"&amp;P1172</f>
        <v/>
      </c>
      <c r="R1172" s="10">
        <f>IF(COUNTIF($Q$2:$Q$1409,Q1172)&gt;1,IF(COUNTIF($Q$2:Q1172,Q1172)=1,"Exact Duplicate - Keep First","Exact Duplicate - Remove"),"Unique")</f>
        <v/>
      </c>
    </row>
    <row r="1173" ht="15" customHeight="1" s="11">
      <c r="A1173" s="10" t="inlineStr">
        <is>
          <t>USR-101172</t>
        </is>
      </c>
      <c r="B1173" s="14" t="n">
        <v>45772</v>
      </c>
      <c r="C1173" s="10" t="inlineStr">
        <is>
          <t>Treatment</t>
        </is>
      </c>
      <c r="D1173" s="10" t="inlineStr">
        <is>
          <t>North</t>
        </is>
      </c>
      <c r="E1173" s="10" t="inlineStr">
        <is>
          <t>Desktop</t>
        </is>
      </c>
      <c r="F1173" s="10" t="inlineStr">
        <is>
          <t>Social</t>
        </is>
      </c>
      <c r="G1173" s="10" t="inlineStr">
        <is>
          <t>Free</t>
        </is>
      </c>
      <c r="H1173" s="10" t="n">
        <v>1</v>
      </c>
      <c r="I1173" s="10" t="n">
        <v>0</v>
      </c>
      <c r="J1173" s="10" t="n">
        <v>0</v>
      </c>
      <c r="K1173" s="10" t="n">
        <v>0</v>
      </c>
      <c r="L1173" s="10" t="n">
        <v>0</v>
      </c>
      <c r="M1173" s="10" t="n">
        <v>1</v>
      </c>
      <c r="N1173" s="10" t="n">
        <v>0</v>
      </c>
      <c r="P1173" s="10" t="n">
        <v>71.3</v>
      </c>
      <c r="Q1173" s="10">
        <f>A1173&amp;"|"&amp;B1173&amp;"|"&amp;C1173&amp;"|"&amp;D1173&amp;"|"&amp;E1173&amp;"|"&amp;F1173&amp;"|"&amp;G1173&amp;"|"&amp;H1173&amp;"|"&amp;I1173&amp;"|"&amp;J1173&amp;"|"&amp;K1173&amp;"|"&amp;L1173&amp;"|"&amp;M1173&amp;"|"&amp;N1173&amp;"|"&amp;O1173&amp;"|"&amp;P1173</f>
        <v/>
      </c>
      <c r="R1173" s="10">
        <f>IF(COUNTIF($Q$2:$Q$1409,Q1173)&gt;1,IF(COUNTIF($Q$2:Q1173,Q1173)=1,"Exact Duplicate - Keep First","Exact Duplicate - Remove"),"Unique")</f>
        <v/>
      </c>
    </row>
    <row r="1174" ht="15" customHeight="1" s="11">
      <c r="A1174" s="10" t="inlineStr">
        <is>
          <t>USR-101173</t>
        </is>
      </c>
      <c r="B1174" s="14" t="n">
        <v>45800</v>
      </c>
      <c r="C1174" s="10" t="inlineStr">
        <is>
          <t>Treatment</t>
        </is>
      </c>
      <c r="D1174" s="10" t="inlineStr">
        <is>
          <t>West</t>
        </is>
      </c>
      <c r="E1174" s="10" t="inlineStr">
        <is>
          <t>Mobile</t>
        </is>
      </c>
      <c r="F1174" s="10" t="inlineStr">
        <is>
          <t>Referral</t>
        </is>
      </c>
      <c r="G1174" s="10" t="inlineStr">
        <is>
          <t>Basic</t>
        </is>
      </c>
      <c r="H1174" s="10" t="n">
        <v>1</v>
      </c>
      <c r="I1174" s="10" t="n">
        <v>0</v>
      </c>
      <c r="J1174" s="10" t="n">
        <v>0</v>
      </c>
      <c r="K1174" s="10" t="n">
        <v>0</v>
      </c>
      <c r="L1174" s="10" t="n">
        <v>0</v>
      </c>
      <c r="M1174" s="10" t="n">
        <v>1</v>
      </c>
      <c r="N1174" s="10" t="n">
        <v>0</v>
      </c>
      <c r="P1174" s="10" t="n">
        <v>57.5</v>
      </c>
      <c r="Q1174" s="10">
        <f>A1174&amp;"|"&amp;B1174&amp;"|"&amp;C1174&amp;"|"&amp;D1174&amp;"|"&amp;E1174&amp;"|"&amp;F1174&amp;"|"&amp;G1174&amp;"|"&amp;H1174&amp;"|"&amp;I1174&amp;"|"&amp;J1174&amp;"|"&amp;K1174&amp;"|"&amp;L1174&amp;"|"&amp;M1174&amp;"|"&amp;N1174&amp;"|"&amp;O1174&amp;"|"&amp;P1174</f>
        <v/>
      </c>
      <c r="R1174" s="10">
        <f>IF(COUNTIF($Q$2:$Q$1409,Q1174)&gt;1,IF(COUNTIF($Q$2:Q1174,Q1174)=1,"Exact Duplicate - Keep First","Exact Duplicate - Remove"),"Unique")</f>
        <v/>
      </c>
    </row>
    <row r="1175" ht="15" customHeight="1" s="11">
      <c r="A1175" s="10" t="inlineStr">
        <is>
          <t>USR-101174</t>
        </is>
      </c>
      <c r="B1175" s="14" t="n">
        <v>45734</v>
      </c>
      <c r="C1175" s="10" t="inlineStr">
        <is>
          <t>Treatment</t>
        </is>
      </c>
      <c r="D1175" s="10" t="inlineStr">
        <is>
          <t>South</t>
        </is>
      </c>
      <c r="E1175" s="10" t="inlineStr">
        <is>
          <t>Mobile</t>
        </is>
      </c>
      <c r="F1175" s="10" t="inlineStr">
        <is>
          <t>Email</t>
        </is>
      </c>
      <c r="G1175" s="10" t="inlineStr">
        <is>
          <t>Free</t>
        </is>
      </c>
      <c r="H1175" s="10" t="n">
        <v>1</v>
      </c>
      <c r="I1175" s="10" t="n">
        <v>0</v>
      </c>
      <c r="J1175" s="10" t="n">
        <v>0</v>
      </c>
      <c r="K1175" s="10" t="n">
        <v>0</v>
      </c>
      <c r="L1175" s="10" t="n">
        <v>0</v>
      </c>
      <c r="M1175" s="10" t="n">
        <v>4</v>
      </c>
      <c r="N1175" s="10" t="n">
        <v>0</v>
      </c>
      <c r="P1175" s="10" t="n">
        <v>50.9</v>
      </c>
      <c r="Q1175" s="10">
        <f>A1175&amp;"|"&amp;B1175&amp;"|"&amp;C1175&amp;"|"&amp;D1175&amp;"|"&amp;E1175&amp;"|"&amp;F1175&amp;"|"&amp;G1175&amp;"|"&amp;H1175&amp;"|"&amp;I1175&amp;"|"&amp;J1175&amp;"|"&amp;K1175&amp;"|"&amp;L1175&amp;"|"&amp;M1175&amp;"|"&amp;N1175&amp;"|"&amp;O1175&amp;"|"&amp;P1175</f>
        <v/>
      </c>
      <c r="R1175" s="10">
        <f>IF(COUNTIF($Q$2:$Q$1409,Q1175)&gt;1,IF(COUNTIF($Q$2:Q1175,Q1175)=1,"Exact Duplicate - Keep First","Exact Duplicate - Remove"),"Unique")</f>
        <v/>
      </c>
    </row>
    <row r="1176" ht="15" customHeight="1" s="11">
      <c r="A1176" s="10" t="inlineStr">
        <is>
          <t>USR-101175</t>
        </is>
      </c>
      <c r="B1176" s="14" t="n">
        <v>45660</v>
      </c>
      <c r="C1176" s="10" t="inlineStr">
        <is>
          <t>Treatment</t>
        </is>
      </c>
      <c r="D1176" s="10" t="inlineStr">
        <is>
          <t>South</t>
        </is>
      </c>
      <c r="E1176" s="10" t="inlineStr">
        <is>
          <t>Tablet</t>
        </is>
      </c>
      <c r="F1176" s="10" t="inlineStr">
        <is>
          <t>Organic</t>
        </is>
      </c>
      <c r="G1176" s="10" t="inlineStr">
        <is>
          <t>Free</t>
        </is>
      </c>
      <c r="H1176" s="10" t="n">
        <v>1</v>
      </c>
      <c r="I1176" s="10" t="n">
        <v>1</v>
      </c>
      <c r="J1176" s="10" t="n">
        <v>1</v>
      </c>
      <c r="K1176" s="10" t="n">
        <v>0</v>
      </c>
      <c r="L1176" s="10" t="n">
        <v>0</v>
      </c>
      <c r="M1176" s="10" t="n">
        <v>0</v>
      </c>
      <c r="N1176" s="10" t="n">
        <v>0</v>
      </c>
      <c r="P1176" s="10" t="n">
        <v>69.3</v>
      </c>
      <c r="Q1176" s="10">
        <f>A1176&amp;"|"&amp;B1176&amp;"|"&amp;C1176&amp;"|"&amp;D1176&amp;"|"&amp;E1176&amp;"|"&amp;F1176&amp;"|"&amp;G1176&amp;"|"&amp;H1176&amp;"|"&amp;I1176&amp;"|"&amp;J1176&amp;"|"&amp;K1176&amp;"|"&amp;L1176&amp;"|"&amp;M1176&amp;"|"&amp;N1176&amp;"|"&amp;O1176&amp;"|"&amp;P1176</f>
        <v/>
      </c>
      <c r="R1176" s="10">
        <f>IF(COUNTIF($Q$2:$Q$1409,Q1176)&gt;1,IF(COUNTIF($Q$2:Q1176,Q1176)=1,"Exact Duplicate - Keep First","Exact Duplicate - Remove"),"Unique")</f>
        <v/>
      </c>
    </row>
    <row r="1177" ht="15" customHeight="1" s="11">
      <c r="A1177" s="10" t="inlineStr">
        <is>
          <t>USR-101176</t>
        </is>
      </c>
      <c r="B1177" s="14" t="n">
        <v>45696</v>
      </c>
      <c r="C1177" s="10" t="inlineStr">
        <is>
          <t>Treatment</t>
        </is>
      </c>
      <c r="D1177" s="10" t="inlineStr">
        <is>
          <t>West</t>
        </is>
      </c>
      <c r="E1177" s="10" t="inlineStr">
        <is>
          <t>Desktop</t>
        </is>
      </c>
      <c r="F1177" s="10" t="inlineStr">
        <is>
          <t>Organic</t>
        </is>
      </c>
      <c r="G1177" s="10" t="inlineStr">
        <is>
          <t>Free</t>
        </is>
      </c>
      <c r="H1177" s="10" t="n">
        <v>1</v>
      </c>
      <c r="I1177" s="10" t="n">
        <v>0</v>
      </c>
      <c r="J1177" s="10" t="n">
        <v>0</v>
      </c>
      <c r="K1177" s="10" t="n">
        <v>0</v>
      </c>
      <c r="L1177" s="10" t="n">
        <v>0</v>
      </c>
      <c r="M1177" s="10" t="n">
        <v>0</v>
      </c>
      <c r="N1177" s="10" t="n">
        <v>0</v>
      </c>
      <c r="P1177" s="10" t="n">
        <v>50.1</v>
      </c>
      <c r="Q1177" s="10">
        <f>A1177&amp;"|"&amp;B1177&amp;"|"&amp;C1177&amp;"|"&amp;D1177&amp;"|"&amp;E1177&amp;"|"&amp;F1177&amp;"|"&amp;G1177&amp;"|"&amp;H1177&amp;"|"&amp;I1177&amp;"|"&amp;J1177&amp;"|"&amp;K1177&amp;"|"&amp;L1177&amp;"|"&amp;M1177&amp;"|"&amp;N1177&amp;"|"&amp;O1177&amp;"|"&amp;P1177</f>
        <v/>
      </c>
      <c r="R1177" s="10">
        <f>IF(COUNTIF($Q$2:$Q$1409,Q1177)&gt;1,IF(COUNTIF($Q$2:Q1177,Q1177)=1,"Exact Duplicate - Keep First","Exact Duplicate - Remove"),"Unique")</f>
        <v/>
      </c>
    </row>
    <row r="1178" ht="15" customHeight="1" s="11">
      <c r="A1178" s="10" t="inlineStr">
        <is>
          <t>USR-101177</t>
        </is>
      </c>
      <c r="B1178" s="14" t="n">
        <v>45692</v>
      </c>
      <c r="C1178" s="10" t="inlineStr">
        <is>
          <t>Treatment</t>
        </is>
      </c>
      <c r="D1178" s="10" t="inlineStr">
        <is>
          <t>East</t>
        </is>
      </c>
      <c r="F1178" s="10" t="inlineStr">
        <is>
          <t>Paid Search</t>
        </is>
      </c>
      <c r="G1178" s="10" t="inlineStr">
        <is>
          <t>Basic</t>
        </is>
      </c>
      <c r="H1178" s="10" t="n">
        <v>0</v>
      </c>
      <c r="I1178" s="10" t="n">
        <v>0</v>
      </c>
      <c r="J1178" s="10" t="n">
        <v>0</v>
      </c>
      <c r="K1178" s="10" t="n">
        <v>0</v>
      </c>
      <c r="L1178" s="10" t="n">
        <v>0</v>
      </c>
      <c r="M1178" s="10" t="n">
        <v>0</v>
      </c>
      <c r="N1178" s="10" t="n">
        <v>0</v>
      </c>
      <c r="P1178" s="10" t="n">
        <v>69.7</v>
      </c>
      <c r="Q1178" s="10">
        <f>A1178&amp;"|"&amp;B1178&amp;"|"&amp;C1178&amp;"|"&amp;D1178&amp;"|"&amp;E1178&amp;"|"&amp;F1178&amp;"|"&amp;G1178&amp;"|"&amp;H1178&amp;"|"&amp;I1178&amp;"|"&amp;J1178&amp;"|"&amp;K1178&amp;"|"&amp;L1178&amp;"|"&amp;M1178&amp;"|"&amp;N1178&amp;"|"&amp;O1178&amp;"|"&amp;P1178</f>
        <v/>
      </c>
      <c r="R1178" s="10">
        <f>IF(COUNTIF($Q$2:$Q$1409,Q1178)&gt;1,IF(COUNTIF($Q$2:Q1178,Q1178)=1,"Exact Duplicate - Keep First","Exact Duplicate - Remove"),"Unique")</f>
        <v/>
      </c>
    </row>
    <row r="1179" ht="15" customHeight="1" s="11">
      <c r="A1179" s="10" t="inlineStr">
        <is>
          <t>USR-101178</t>
        </is>
      </c>
      <c r="B1179" s="14" t="n">
        <v>45673</v>
      </c>
      <c r="C1179" s="10" t="inlineStr">
        <is>
          <t>Treatment</t>
        </is>
      </c>
      <c r="D1179" s="10" t="inlineStr">
        <is>
          <t>North</t>
        </is>
      </c>
      <c r="E1179" s="10" t="inlineStr">
        <is>
          <t>Mobile</t>
        </is>
      </c>
      <c r="F1179" s="10" t="inlineStr">
        <is>
          <t>Paid Search</t>
        </is>
      </c>
      <c r="G1179" s="10" t="inlineStr">
        <is>
          <t>Free</t>
        </is>
      </c>
      <c r="H1179" s="10" t="n">
        <v>0</v>
      </c>
      <c r="I1179" s="10" t="n">
        <v>0</v>
      </c>
      <c r="J1179" s="10" t="n">
        <v>0</v>
      </c>
      <c r="K1179" s="10" t="n">
        <v>0</v>
      </c>
      <c r="L1179" s="10" t="n">
        <v>0</v>
      </c>
      <c r="M1179" s="10" t="n">
        <v>0</v>
      </c>
      <c r="N1179" s="10" t="n">
        <v>0</v>
      </c>
      <c r="P1179" s="10" t="n">
        <v>63.5</v>
      </c>
      <c r="Q1179" s="10">
        <f>A1179&amp;"|"&amp;B1179&amp;"|"&amp;C1179&amp;"|"&amp;D1179&amp;"|"&amp;E1179&amp;"|"&amp;F1179&amp;"|"&amp;G1179&amp;"|"&amp;H1179&amp;"|"&amp;I1179&amp;"|"&amp;J1179&amp;"|"&amp;K1179&amp;"|"&amp;L1179&amp;"|"&amp;M1179&amp;"|"&amp;N1179&amp;"|"&amp;O1179&amp;"|"&amp;P1179</f>
        <v/>
      </c>
      <c r="R1179" s="10">
        <f>IF(COUNTIF($Q$2:$Q$1409,Q1179)&gt;1,IF(COUNTIF($Q$2:Q1179,Q1179)=1,"Exact Duplicate - Keep First","Exact Duplicate - Remove"),"Unique")</f>
        <v/>
      </c>
    </row>
    <row r="1180" ht="15" customHeight="1" s="11">
      <c r="A1180" s="10" t="inlineStr">
        <is>
          <t>USR-101179</t>
        </is>
      </c>
      <c r="B1180" s="14" t="n">
        <v>45751</v>
      </c>
      <c r="C1180" s="10" t="inlineStr">
        <is>
          <t>Treatment</t>
        </is>
      </c>
      <c r="D1180" s="10" t="inlineStr">
        <is>
          <t>West</t>
        </is>
      </c>
      <c r="E1180" s="10" t="inlineStr">
        <is>
          <t>Desktop</t>
        </is>
      </c>
      <c r="F1180" s="10" t="inlineStr">
        <is>
          <t>Paid Search</t>
        </is>
      </c>
      <c r="G1180" s="10" t="inlineStr">
        <is>
          <t>Free</t>
        </is>
      </c>
      <c r="H1180" s="10" t="n">
        <v>1</v>
      </c>
      <c r="I1180" s="10" t="n">
        <v>1</v>
      </c>
      <c r="J1180" s="10" t="n">
        <v>1</v>
      </c>
      <c r="K1180" s="10" t="n">
        <v>1</v>
      </c>
      <c r="L1180" s="10" t="n">
        <v>265.59</v>
      </c>
      <c r="M1180" s="10" t="n">
        <v>1</v>
      </c>
      <c r="N1180" s="10" t="n">
        <v>0</v>
      </c>
      <c r="O1180" s="10" t="n">
        <v>8</v>
      </c>
      <c r="P1180" s="10" t="n">
        <v>80.40000000000001</v>
      </c>
      <c r="Q1180" s="10">
        <f>A1180&amp;"|"&amp;B1180&amp;"|"&amp;C1180&amp;"|"&amp;D1180&amp;"|"&amp;E1180&amp;"|"&amp;F1180&amp;"|"&amp;G1180&amp;"|"&amp;H1180&amp;"|"&amp;I1180&amp;"|"&amp;J1180&amp;"|"&amp;K1180&amp;"|"&amp;L1180&amp;"|"&amp;M1180&amp;"|"&amp;N1180&amp;"|"&amp;O1180&amp;"|"&amp;P1180</f>
        <v/>
      </c>
      <c r="R1180" s="10">
        <f>IF(COUNTIF($Q$2:$Q$1409,Q1180)&gt;1,IF(COUNTIF($Q$2:Q1180,Q1180)=1,"Exact Duplicate - Keep First","Exact Duplicate - Remove"),"Unique")</f>
        <v/>
      </c>
    </row>
    <row r="1181" ht="15" customHeight="1" s="11">
      <c r="A1181" s="10" t="inlineStr">
        <is>
          <t>USR-101180</t>
        </is>
      </c>
      <c r="B1181" s="14" t="n">
        <v>45680</v>
      </c>
      <c r="C1181" s="10" t="inlineStr">
        <is>
          <t>Treatment</t>
        </is>
      </c>
      <c r="D1181" s="10" t="inlineStr">
        <is>
          <t>North</t>
        </is>
      </c>
      <c r="E1181" s="10" t="inlineStr">
        <is>
          <t>Desktop</t>
        </is>
      </c>
      <c r="F1181" s="10" t="inlineStr">
        <is>
          <t>Paid Search</t>
        </is>
      </c>
      <c r="G1181" s="10" t="inlineStr">
        <is>
          <t>Free</t>
        </is>
      </c>
      <c r="H1181" s="10" t="n">
        <v>0</v>
      </c>
      <c r="I1181" s="10" t="n">
        <v>0</v>
      </c>
      <c r="J1181" s="10" t="n">
        <v>0</v>
      </c>
      <c r="K1181" s="10" t="n">
        <v>0</v>
      </c>
      <c r="L1181" s="10" t="n">
        <v>0</v>
      </c>
      <c r="M1181" s="10" t="n">
        <v>0</v>
      </c>
      <c r="N1181" s="10" t="n">
        <v>0</v>
      </c>
      <c r="P1181" s="10" t="n">
        <v>58.9</v>
      </c>
      <c r="Q1181" s="10">
        <f>A1181&amp;"|"&amp;B1181&amp;"|"&amp;C1181&amp;"|"&amp;D1181&amp;"|"&amp;E1181&amp;"|"&amp;F1181&amp;"|"&amp;G1181&amp;"|"&amp;H1181&amp;"|"&amp;I1181&amp;"|"&amp;J1181&amp;"|"&amp;K1181&amp;"|"&amp;L1181&amp;"|"&amp;M1181&amp;"|"&amp;N1181&amp;"|"&amp;O1181&amp;"|"&amp;P1181</f>
        <v/>
      </c>
      <c r="R1181" s="10">
        <f>IF(COUNTIF($Q$2:$Q$1409,Q1181)&gt;1,IF(COUNTIF($Q$2:Q1181,Q1181)=1,"Exact Duplicate - Keep First","Exact Duplicate - Remove"),"Unique")</f>
        <v/>
      </c>
    </row>
    <row r="1182" ht="15" customHeight="1" s="11">
      <c r="A1182" s="10" t="inlineStr">
        <is>
          <t>USR-101181</t>
        </is>
      </c>
      <c r="B1182" s="14" t="n">
        <v>45738</v>
      </c>
      <c r="C1182" s="10" t="inlineStr">
        <is>
          <t>Treatment</t>
        </is>
      </c>
      <c r="D1182" s="10" t="inlineStr">
        <is>
          <t>South</t>
        </is>
      </c>
      <c r="E1182" s="10" t="inlineStr">
        <is>
          <t>Desktop</t>
        </is>
      </c>
      <c r="F1182" s="10" t="inlineStr">
        <is>
          <t>Paid Search</t>
        </is>
      </c>
      <c r="G1182" s="10" t="inlineStr">
        <is>
          <t>Free</t>
        </is>
      </c>
      <c r="H1182" s="10" t="n">
        <v>1</v>
      </c>
      <c r="I1182" s="10" t="n">
        <v>0</v>
      </c>
      <c r="J1182" s="10" t="n">
        <v>0</v>
      </c>
      <c r="K1182" s="10" t="n">
        <v>0</v>
      </c>
      <c r="L1182" s="10" t="n">
        <v>0</v>
      </c>
      <c r="M1182" s="10" t="n">
        <v>0</v>
      </c>
      <c r="N1182" s="10" t="n">
        <v>0</v>
      </c>
      <c r="P1182" s="10" t="n">
        <v>56.8</v>
      </c>
      <c r="Q1182" s="10">
        <f>A1182&amp;"|"&amp;B1182&amp;"|"&amp;C1182&amp;"|"&amp;D1182&amp;"|"&amp;E1182&amp;"|"&amp;F1182&amp;"|"&amp;G1182&amp;"|"&amp;H1182&amp;"|"&amp;I1182&amp;"|"&amp;J1182&amp;"|"&amp;K1182&amp;"|"&amp;L1182&amp;"|"&amp;M1182&amp;"|"&amp;N1182&amp;"|"&amp;O1182&amp;"|"&amp;P1182</f>
        <v/>
      </c>
      <c r="R1182" s="10">
        <f>IF(COUNTIF($Q$2:$Q$1409,Q1182)&gt;1,IF(COUNTIF($Q$2:Q1182,Q1182)=1,"Exact Duplicate - Keep First","Exact Duplicate - Remove"),"Unique")</f>
        <v/>
      </c>
    </row>
    <row r="1183" ht="15" customHeight="1" s="11">
      <c r="A1183" s="10" t="inlineStr">
        <is>
          <t>USR-101182</t>
        </is>
      </c>
      <c r="B1183" s="14" t="n">
        <v>45690</v>
      </c>
      <c r="C1183" s="10" t="inlineStr">
        <is>
          <t>Treatment</t>
        </is>
      </c>
      <c r="D1183" s="10" t="inlineStr">
        <is>
          <t>East</t>
        </is>
      </c>
      <c r="E1183" s="10" t="inlineStr">
        <is>
          <t>Tablet</t>
        </is>
      </c>
      <c r="F1183" s="10" t="inlineStr">
        <is>
          <t>Social</t>
        </is>
      </c>
      <c r="G1183" s="10" t="inlineStr">
        <is>
          <t>Premium</t>
        </is>
      </c>
      <c r="H1183" s="10" t="n">
        <v>0</v>
      </c>
      <c r="I1183" s="10" t="n">
        <v>0</v>
      </c>
      <c r="J1183" s="10" t="n">
        <v>0</v>
      </c>
      <c r="K1183" s="10" t="n">
        <v>0</v>
      </c>
      <c r="L1183" s="10" t="n">
        <v>0</v>
      </c>
      <c r="M1183" s="10" t="n">
        <v>0</v>
      </c>
      <c r="N1183" s="10" t="n">
        <v>0</v>
      </c>
      <c r="P1183" s="10" t="n">
        <v>73.90000000000001</v>
      </c>
      <c r="Q1183" s="10">
        <f>A1183&amp;"|"&amp;B1183&amp;"|"&amp;C1183&amp;"|"&amp;D1183&amp;"|"&amp;E1183&amp;"|"&amp;F1183&amp;"|"&amp;G1183&amp;"|"&amp;H1183&amp;"|"&amp;I1183&amp;"|"&amp;J1183&amp;"|"&amp;K1183&amp;"|"&amp;L1183&amp;"|"&amp;M1183&amp;"|"&amp;N1183&amp;"|"&amp;O1183&amp;"|"&amp;P1183</f>
        <v/>
      </c>
      <c r="R1183" s="10">
        <f>IF(COUNTIF($Q$2:$Q$1409,Q1183)&gt;1,IF(COUNTIF($Q$2:Q1183,Q1183)=1,"Exact Duplicate - Keep First","Exact Duplicate - Remove"),"Unique")</f>
        <v/>
      </c>
    </row>
    <row r="1184" ht="15" customHeight="1" s="11">
      <c r="A1184" s="10" t="inlineStr">
        <is>
          <t>USR-101183</t>
        </is>
      </c>
      <c r="B1184" s="14" t="n">
        <v>45688</v>
      </c>
      <c r="C1184" s="10" t="inlineStr">
        <is>
          <t>Treatment</t>
        </is>
      </c>
      <c r="D1184" s="10" t="inlineStr">
        <is>
          <t>North</t>
        </is>
      </c>
      <c r="E1184" s="10" t="inlineStr">
        <is>
          <t>Desktop</t>
        </is>
      </c>
      <c r="F1184" s="10" t="inlineStr">
        <is>
          <t>Paid Search</t>
        </is>
      </c>
      <c r="G1184" s="10" t="inlineStr">
        <is>
          <t>Free</t>
        </is>
      </c>
      <c r="H1184" s="10" t="n">
        <v>0</v>
      </c>
      <c r="I1184" s="10" t="n">
        <v>0</v>
      </c>
      <c r="J1184" s="10" t="n">
        <v>0</v>
      </c>
      <c r="K1184" s="10" t="n">
        <v>0</v>
      </c>
      <c r="L1184" s="10" t="n">
        <v>0</v>
      </c>
      <c r="M1184" s="10" t="n">
        <v>0</v>
      </c>
      <c r="N1184" s="10" t="n">
        <v>0</v>
      </c>
      <c r="P1184" s="10" t="n">
        <v>76.3</v>
      </c>
      <c r="Q1184" s="10">
        <f>A1184&amp;"|"&amp;B1184&amp;"|"&amp;C1184&amp;"|"&amp;D1184&amp;"|"&amp;E1184&amp;"|"&amp;F1184&amp;"|"&amp;G1184&amp;"|"&amp;H1184&amp;"|"&amp;I1184&amp;"|"&amp;J1184&amp;"|"&amp;K1184&amp;"|"&amp;L1184&amp;"|"&amp;M1184&amp;"|"&amp;N1184&amp;"|"&amp;O1184&amp;"|"&amp;P1184</f>
        <v/>
      </c>
      <c r="R1184" s="10">
        <f>IF(COUNTIF($Q$2:$Q$1409,Q1184)&gt;1,IF(COUNTIF($Q$2:Q1184,Q1184)=1,"Exact Duplicate - Keep First","Exact Duplicate - Remove"),"Unique")</f>
        <v/>
      </c>
    </row>
    <row r="1185" ht="15" customHeight="1" s="11">
      <c r="A1185" s="10" t="inlineStr">
        <is>
          <t>USR-101184</t>
        </is>
      </c>
      <c r="B1185" s="14" t="n">
        <v>45804</v>
      </c>
      <c r="C1185" s="10" t="inlineStr">
        <is>
          <t>Treatment</t>
        </is>
      </c>
      <c r="D1185" s="10" t="inlineStr">
        <is>
          <t>West</t>
        </is>
      </c>
      <c r="E1185" s="10" t="inlineStr">
        <is>
          <t>Mobile</t>
        </is>
      </c>
      <c r="F1185" s="10" t="inlineStr">
        <is>
          <t>Organic</t>
        </is>
      </c>
      <c r="G1185" s="10" t="inlineStr">
        <is>
          <t>Basic</t>
        </is>
      </c>
      <c r="H1185" s="10" t="n">
        <v>1</v>
      </c>
      <c r="I1185" s="10" t="n">
        <v>0</v>
      </c>
      <c r="J1185" s="10" t="n">
        <v>0</v>
      </c>
      <c r="K1185" s="10" t="n">
        <v>0</v>
      </c>
      <c r="L1185" s="10" t="n">
        <v>0</v>
      </c>
      <c r="M1185" s="10" t="n">
        <v>0</v>
      </c>
      <c r="N1185" s="10" t="n">
        <v>0</v>
      </c>
      <c r="P1185" s="10" t="n">
        <v>56.9</v>
      </c>
      <c r="Q1185" s="10">
        <f>A1185&amp;"|"&amp;B1185&amp;"|"&amp;C1185&amp;"|"&amp;D1185&amp;"|"&amp;E1185&amp;"|"&amp;F1185&amp;"|"&amp;G1185&amp;"|"&amp;H1185&amp;"|"&amp;I1185&amp;"|"&amp;J1185&amp;"|"&amp;K1185&amp;"|"&amp;L1185&amp;"|"&amp;M1185&amp;"|"&amp;N1185&amp;"|"&amp;O1185&amp;"|"&amp;P1185</f>
        <v/>
      </c>
      <c r="R1185" s="10">
        <f>IF(COUNTIF($Q$2:$Q$1409,Q1185)&gt;1,IF(COUNTIF($Q$2:Q1185,Q1185)=1,"Exact Duplicate - Keep First","Exact Duplicate - Remove"),"Unique")</f>
        <v/>
      </c>
    </row>
    <row r="1186" ht="15" customHeight="1" s="11">
      <c r="A1186" s="10" t="inlineStr">
        <is>
          <t>USR-101185</t>
        </is>
      </c>
      <c r="B1186" s="14" t="n">
        <v>45784</v>
      </c>
      <c r="C1186" s="10" t="inlineStr">
        <is>
          <t>Treatment</t>
        </is>
      </c>
      <c r="D1186" s="10" t="inlineStr">
        <is>
          <t>North</t>
        </is>
      </c>
      <c r="E1186" s="10" t="inlineStr">
        <is>
          <t>Mobile</t>
        </is>
      </c>
      <c r="F1186" s="10" t="inlineStr">
        <is>
          <t>Organic</t>
        </is>
      </c>
      <c r="G1186" s="10" t="inlineStr">
        <is>
          <t>Premium</t>
        </is>
      </c>
      <c r="H1186" s="10" t="n">
        <v>1</v>
      </c>
      <c r="I1186" s="10" t="n">
        <v>0</v>
      </c>
      <c r="J1186" s="10" t="n">
        <v>0</v>
      </c>
      <c r="K1186" s="10" t="n">
        <v>0</v>
      </c>
      <c r="L1186" s="10" t="n">
        <v>0</v>
      </c>
      <c r="M1186" s="10" t="n">
        <v>2</v>
      </c>
      <c r="N1186" s="10" t="n">
        <v>0</v>
      </c>
      <c r="P1186" s="10" t="n">
        <v>49.4</v>
      </c>
      <c r="Q1186" s="10">
        <f>A1186&amp;"|"&amp;B1186&amp;"|"&amp;C1186&amp;"|"&amp;D1186&amp;"|"&amp;E1186&amp;"|"&amp;F1186&amp;"|"&amp;G1186&amp;"|"&amp;H1186&amp;"|"&amp;I1186&amp;"|"&amp;J1186&amp;"|"&amp;K1186&amp;"|"&amp;L1186&amp;"|"&amp;M1186&amp;"|"&amp;N1186&amp;"|"&amp;O1186&amp;"|"&amp;P1186</f>
        <v/>
      </c>
      <c r="R1186" s="10">
        <f>IF(COUNTIF($Q$2:$Q$1409,Q1186)&gt;1,IF(COUNTIF($Q$2:Q1186,Q1186)=1,"Exact Duplicate - Keep First","Exact Duplicate - Remove"),"Unique")</f>
        <v/>
      </c>
    </row>
    <row r="1187" ht="15" customHeight="1" s="11">
      <c r="A1187" s="10" t="inlineStr">
        <is>
          <t>USR-101186</t>
        </is>
      </c>
      <c r="B1187" s="14" t="n">
        <v>45785</v>
      </c>
      <c r="C1187" s="10" t="inlineStr">
        <is>
          <t>Treatment</t>
        </is>
      </c>
      <c r="D1187" s="10" t="inlineStr">
        <is>
          <t>North</t>
        </is>
      </c>
      <c r="E1187" s="10" t="inlineStr">
        <is>
          <t>Desktop</t>
        </is>
      </c>
      <c r="F1187" s="10" t="inlineStr">
        <is>
          <t>Paid Search</t>
        </is>
      </c>
      <c r="G1187" s="10" t="inlineStr">
        <is>
          <t>Basic</t>
        </is>
      </c>
      <c r="H1187" s="10" t="n">
        <v>1</v>
      </c>
      <c r="I1187" s="10" t="n">
        <v>0</v>
      </c>
      <c r="J1187" s="10" t="n">
        <v>0</v>
      </c>
      <c r="K1187" s="10" t="n">
        <v>0</v>
      </c>
      <c r="L1187" s="10" t="n">
        <v>0</v>
      </c>
      <c r="M1187" s="10" t="n">
        <v>0</v>
      </c>
      <c r="N1187" s="10" t="n">
        <v>0</v>
      </c>
      <c r="P1187" s="10" t="n">
        <v>86.7</v>
      </c>
      <c r="Q1187" s="10">
        <f>A1187&amp;"|"&amp;B1187&amp;"|"&amp;C1187&amp;"|"&amp;D1187&amp;"|"&amp;E1187&amp;"|"&amp;F1187&amp;"|"&amp;G1187&amp;"|"&amp;H1187&amp;"|"&amp;I1187&amp;"|"&amp;J1187&amp;"|"&amp;K1187&amp;"|"&amp;L1187&amp;"|"&amp;M1187&amp;"|"&amp;N1187&amp;"|"&amp;O1187&amp;"|"&amp;P1187</f>
        <v/>
      </c>
      <c r="R1187" s="10">
        <f>IF(COUNTIF($Q$2:$Q$1409,Q1187)&gt;1,IF(COUNTIF($Q$2:Q1187,Q1187)=1,"Exact Duplicate - Keep First","Exact Duplicate - Remove"),"Unique")</f>
        <v/>
      </c>
    </row>
    <row r="1188" ht="15" customHeight="1" s="11">
      <c r="A1188" s="10" t="inlineStr">
        <is>
          <t>USR-101187</t>
        </is>
      </c>
      <c r="B1188" s="14" t="n">
        <v>45672</v>
      </c>
      <c r="C1188" s="10" t="inlineStr">
        <is>
          <t>Treatment</t>
        </is>
      </c>
      <c r="D1188" s="10" t="inlineStr">
        <is>
          <t>West</t>
        </is>
      </c>
      <c r="E1188" s="10" t="inlineStr">
        <is>
          <t>Desktop</t>
        </is>
      </c>
      <c r="F1188" s="10" t="inlineStr">
        <is>
          <t>Email</t>
        </is>
      </c>
      <c r="G1188" s="10" t="inlineStr">
        <is>
          <t>Free</t>
        </is>
      </c>
      <c r="H1188" s="10" t="n">
        <v>1</v>
      </c>
      <c r="I1188" s="10" t="n">
        <v>0</v>
      </c>
      <c r="J1188" s="10" t="n">
        <v>0</v>
      </c>
      <c r="K1188" s="10" t="n">
        <v>0</v>
      </c>
      <c r="L1188" s="10" t="n">
        <v>0</v>
      </c>
      <c r="M1188" s="10" t="n">
        <v>3</v>
      </c>
      <c r="N1188" s="10" t="n">
        <v>0</v>
      </c>
      <c r="P1188" s="10" t="n">
        <v>69</v>
      </c>
      <c r="Q1188" s="10">
        <f>A1188&amp;"|"&amp;B1188&amp;"|"&amp;C1188&amp;"|"&amp;D1188&amp;"|"&amp;E1188&amp;"|"&amp;F1188&amp;"|"&amp;G1188&amp;"|"&amp;H1188&amp;"|"&amp;I1188&amp;"|"&amp;J1188&amp;"|"&amp;K1188&amp;"|"&amp;L1188&amp;"|"&amp;M1188&amp;"|"&amp;N1188&amp;"|"&amp;O1188&amp;"|"&amp;P1188</f>
        <v/>
      </c>
      <c r="R1188" s="10">
        <f>IF(COUNTIF($Q$2:$Q$1409,Q1188)&gt;1,IF(COUNTIF($Q$2:Q1188,Q1188)=1,"Exact Duplicate - Keep First","Exact Duplicate - Remove"),"Unique")</f>
        <v/>
      </c>
    </row>
    <row r="1189" ht="15" customHeight="1" s="11">
      <c r="A1189" s="10" t="inlineStr">
        <is>
          <t>USR-101188</t>
        </is>
      </c>
      <c r="B1189" s="14" t="n">
        <v>45675</v>
      </c>
      <c r="C1189" s="10" t="inlineStr">
        <is>
          <t>Treatment</t>
        </is>
      </c>
      <c r="D1189" s="10" t="inlineStr">
        <is>
          <t>North</t>
        </is>
      </c>
      <c r="E1189" s="10" t="inlineStr">
        <is>
          <t>Mobile</t>
        </is>
      </c>
      <c r="F1189" s="10" t="inlineStr">
        <is>
          <t>Paid Search</t>
        </is>
      </c>
      <c r="G1189" s="10" t="inlineStr">
        <is>
          <t>Free</t>
        </is>
      </c>
      <c r="H1189" s="10" t="n">
        <v>0</v>
      </c>
      <c r="I1189" s="10" t="n">
        <v>0</v>
      </c>
      <c r="J1189" s="10" t="n">
        <v>0</v>
      </c>
      <c r="K1189" s="10" t="n">
        <v>0</v>
      </c>
      <c r="L1189" s="10" t="n">
        <v>0</v>
      </c>
      <c r="M1189" s="10" t="n">
        <v>0</v>
      </c>
      <c r="N1189" s="10" t="n">
        <v>0</v>
      </c>
      <c r="P1189" s="10" t="n">
        <v>84.5</v>
      </c>
      <c r="Q1189" s="10">
        <f>A1189&amp;"|"&amp;B1189&amp;"|"&amp;C1189&amp;"|"&amp;D1189&amp;"|"&amp;E1189&amp;"|"&amp;F1189&amp;"|"&amp;G1189&amp;"|"&amp;H1189&amp;"|"&amp;I1189&amp;"|"&amp;J1189&amp;"|"&amp;K1189&amp;"|"&amp;L1189&amp;"|"&amp;M1189&amp;"|"&amp;N1189&amp;"|"&amp;O1189&amp;"|"&amp;P1189</f>
        <v/>
      </c>
      <c r="R1189" s="10">
        <f>IF(COUNTIF($Q$2:$Q$1409,Q1189)&gt;1,IF(COUNTIF($Q$2:Q1189,Q1189)=1,"Exact Duplicate - Keep First","Exact Duplicate - Remove"),"Unique")</f>
        <v/>
      </c>
    </row>
    <row r="1190" ht="15" customHeight="1" s="11">
      <c r="A1190" s="10" t="inlineStr">
        <is>
          <t>USR-101189</t>
        </is>
      </c>
      <c r="B1190" s="14" t="n">
        <v>45763</v>
      </c>
      <c r="C1190" s="10" t="inlineStr">
        <is>
          <t>Treatment</t>
        </is>
      </c>
      <c r="D1190" s="10" t="inlineStr">
        <is>
          <t>East</t>
        </is>
      </c>
      <c r="F1190" s="10" t="inlineStr">
        <is>
          <t>Referral</t>
        </is>
      </c>
      <c r="G1190" s="10" t="inlineStr">
        <is>
          <t>Free</t>
        </is>
      </c>
      <c r="H1190" s="10" t="n">
        <v>1</v>
      </c>
      <c r="I1190" s="10" t="n">
        <v>0</v>
      </c>
      <c r="J1190" s="10" t="n">
        <v>0</v>
      </c>
      <c r="K1190" s="10" t="n">
        <v>0</v>
      </c>
      <c r="L1190" s="10" t="n">
        <v>0</v>
      </c>
      <c r="M1190" s="10" t="n">
        <v>0</v>
      </c>
      <c r="N1190" s="10" t="n">
        <v>0</v>
      </c>
      <c r="P1190" s="10" t="n">
        <v>66.3</v>
      </c>
      <c r="Q1190" s="10">
        <f>A1190&amp;"|"&amp;B1190&amp;"|"&amp;C1190&amp;"|"&amp;D1190&amp;"|"&amp;E1190&amp;"|"&amp;F1190&amp;"|"&amp;G1190&amp;"|"&amp;H1190&amp;"|"&amp;I1190&amp;"|"&amp;J1190&amp;"|"&amp;K1190&amp;"|"&amp;L1190&amp;"|"&amp;M1190&amp;"|"&amp;N1190&amp;"|"&amp;O1190&amp;"|"&amp;P1190</f>
        <v/>
      </c>
      <c r="R1190" s="10">
        <f>IF(COUNTIF($Q$2:$Q$1409,Q1190)&gt;1,IF(COUNTIF($Q$2:Q1190,Q1190)=1,"Exact Duplicate - Keep First","Exact Duplicate - Remove"),"Unique")</f>
        <v/>
      </c>
    </row>
    <row r="1191" ht="15" customHeight="1" s="11">
      <c r="A1191" s="10" t="inlineStr">
        <is>
          <t>USR-101190</t>
        </is>
      </c>
      <c r="B1191" s="14" t="n">
        <v>45704</v>
      </c>
      <c r="C1191" s="10" t="inlineStr">
        <is>
          <t>Treatment</t>
        </is>
      </c>
      <c r="D1191" s="10" t="inlineStr">
        <is>
          <t>East</t>
        </is>
      </c>
      <c r="E1191" s="10" t="inlineStr">
        <is>
          <t>Desktop</t>
        </is>
      </c>
      <c r="F1191" s="10" t="inlineStr">
        <is>
          <t>Paid Search</t>
        </is>
      </c>
      <c r="G1191" s="10" t="inlineStr">
        <is>
          <t>Free</t>
        </is>
      </c>
      <c r="H1191" s="10" t="n">
        <v>0</v>
      </c>
      <c r="I1191" s="10" t="n">
        <v>0</v>
      </c>
      <c r="J1191" s="10" t="n">
        <v>0</v>
      </c>
      <c r="K1191" s="10" t="n">
        <v>0</v>
      </c>
      <c r="L1191" s="10" t="n">
        <v>0</v>
      </c>
      <c r="M1191" s="10" t="n">
        <v>0</v>
      </c>
      <c r="N1191" s="10" t="n">
        <v>0</v>
      </c>
      <c r="P1191" s="10" t="n">
        <v>52.2</v>
      </c>
      <c r="Q1191" s="10">
        <f>A1191&amp;"|"&amp;B1191&amp;"|"&amp;C1191&amp;"|"&amp;D1191&amp;"|"&amp;E1191&amp;"|"&amp;F1191&amp;"|"&amp;G1191&amp;"|"&amp;H1191&amp;"|"&amp;I1191&amp;"|"&amp;J1191&amp;"|"&amp;K1191&amp;"|"&amp;L1191&amp;"|"&amp;M1191&amp;"|"&amp;N1191&amp;"|"&amp;O1191&amp;"|"&amp;P1191</f>
        <v/>
      </c>
      <c r="R1191" s="10">
        <f>IF(COUNTIF($Q$2:$Q$1409,Q1191)&gt;1,IF(COUNTIF($Q$2:Q1191,Q1191)=1,"Exact Duplicate - Keep First","Exact Duplicate - Remove"),"Unique")</f>
        <v/>
      </c>
    </row>
    <row r="1192" ht="15" customHeight="1" s="11">
      <c r="A1192" s="10" t="inlineStr">
        <is>
          <t>USR-101191</t>
        </is>
      </c>
      <c r="B1192" s="14" t="n">
        <v>45764</v>
      </c>
      <c r="C1192" s="10" t="inlineStr">
        <is>
          <t>Treatment</t>
        </is>
      </c>
      <c r="D1192" s="10" t="inlineStr">
        <is>
          <t>South</t>
        </is>
      </c>
      <c r="E1192" s="10" t="inlineStr">
        <is>
          <t>Desktop</t>
        </is>
      </c>
      <c r="F1192" s="10" t="inlineStr">
        <is>
          <t>Referral</t>
        </is>
      </c>
      <c r="G1192" s="10" t="inlineStr">
        <is>
          <t>Premium</t>
        </is>
      </c>
      <c r="H1192" s="10" t="n">
        <v>1</v>
      </c>
      <c r="I1192" s="10" t="n">
        <v>1</v>
      </c>
      <c r="J1192" s="10" t="n">
        <v>1</v>
      </c>
      <c r="K1192" s="10" t="n">
        <v>0</v>
      </c>
      <c r="L1192" s="10" t="n">
        <v>0</v>
      </c>
      <c r="M1192" s="10" t="n">
        <v>0</v>
      </c>
      <c r="N1192" s="10" t="n">
        <v>0</v>
      </c>
      <c r="P1192" s="10" t="n">
        <v>81.2</v>
      </c>
      <c r="Q1192" s="10">
        <f>A1192&amp;"|"&amp;B1192&amp;"|"&amp;C1192&amp;"|"&amp;D1192&amp;"|"&amp;E1192&amp;"|"&amp;F1192&amp;"|"&amp;G1192&amp;"|"&amp;H1192&amp;"|"&amp;I1192&amp;"|"&amp;J1192&amp;"|"&amp;K1192&amp;"|"&amp;L1192&amp;"|"&amp;M1192&amp;"|"&amp;N1192&amp;"|"&amp;O1192&amp;"|"&amp;P1192</f>
        <v/>
      </c>
      <c r="R1192" s="10">
        <f>IF(COUNTIF($Q$2:$Q$1409,Q1192)&gt;1,IF(COUNTIF($Q$2:Q1192,Q1192)=1,"Exact Duplicate - Keep First","Exact Duplicate - Remove"),"Unique")</f>
        <v/>
      </c>
    </row>
    <row r="1193" ht="15" customHeight="1" s="11">
      <c r="A1193" s="10" t="inlineStr">
        <is>
          <t>USR-101192</t>
        </is>
      </c>
      <c r="B1193" s="14" t="n">
        <v>45777</v>
      </c>
      <c r="C1193" s="10" t="inlineStr">
        <is>
          <t>Treatment</t>
        </is>
      </c>
      <c r="D1193" s="10" t="inlineStr">
        <is>
          <t>South</t>
        </is>
      </c>
      <c r="E1193" s="10" t="inlineStr">
        <is>
          <t>Mobile</t>
        </is>
      </c>
      <c r="F1193" s="10" t="inlineStr">
        <is>
          <t>Organic</t>
        </is>
      </c>
      <c r="G1193" s="10" t="inlineStr">
        <is>
          <t>Basic</t>
        </is>
      </c>
      <c r="H1193" s="10" t="n">
        <v>0</v>
      </c>
      <c r="I1193" s="10" t="n">
        <v>0</v>
      </c>
      <c r="J1193" s="10" t="n">
        <v>0</v>
      </c>
      <c r="K1193" s="10" t="n">
        <v>0</v>
      </c>
      <c r="L1193" s="10" t="n">
        <v>0</v>
      </c>
      <c r="M1193" s="10" t="n">
        <v>0</v>
      </c>
      <c r="N1193" s="10" t="n">
        <v>0</v>
      </c>
      <c r="P1193" s="10" t="n">
        <v>53.9</v>
      </c>
      <c r="Q1193" s="10">
        <f>A1193&amp;"|"&amp;B1193&amp;"|"&amp;C1193&amp;"|"&amp;D1193&amp;"|"&amp;E1193&amp;"|"&amp;F1193&amp;"|"&amp;G1193&amp;"|"&amp;H1193&amp;"|"&amp;I1193&amp;"|"&amp;J1193&amp;"|"&amp;K1193&amp;"|"&amp;L1193&amp;"|"&amp;M1193&amp;"|"&amp;N1193&amp;"|"&amp;O1193&amp;"|"&amp;P1193</f>
        <v/>
      </c>
      <c r="R1193" s="10">
        <f>IF(COUNTIF($Q$2:$Q$1409,Q1193)&gt;1,IF(COUNTIF($Q$2:Q1193,Q1193)=1,"Exact Duplicate - Keep First","Exact Duplicate - Remove"),"Unique")</f>
        <v/>
      </c>
    </row>
    <row r="1194" ht="15" customHeight="1" s="11">
      <c r="A1194" s="10" t="inlineStr">
        <is>
          <t>USR-101193</t>
        </is>
      </c>
      <c r="B1194" s="14" t="n">
        <v>45686</v>
      </c>
      <c r="C1194" s="10" t="inlineStr">
        <is>
          <t>Treatment</t>
        </is>
      </c>
      <c r="D1194" s="10" t="inlineStr">
        <is>
          <t>West</t>
        </is>
      </c>
      <c r="E1194" s="10" t="inlineStr">
        <is>
          <t>Mobile</t>
        </is>
      </c>
      <c r="F1194" s="10" t="inlineStr">
        <is>
          <t>Social</t>
        </is>
      </c>
      <c r="G1194" s="10" t="inlineStr">
        <is>
          <t>Premium</t>
        </is>
      </c>
      <c r="H1194" s="10" t="n">
        <v>0</v>
      </c>
      <c r="I1194" s="10" t="n">
        <v>0</v>
      </c>
      <c r="J1194" s="10" t="n">
        <v>0</v>
      </c>
      <c r="K1194" s="10" t="n">
        <v>0</v>
      </c>
      <c r="L1194" s="10" t="n">
        <v>0</v>
      </c>
      <c r="M1194" s="10" t="n">
        <v>0</v>
      </c>
      <c r="N1194" s="10" t="n">
        <v>0</v>
      </c>
      <c r="P1194" s="10" t="n">
        <v>39.1</v>
      </c>
      <c r="Q1194" s="10">
        <f>A1194&amp;"|"&amp;B1194&amp;"|"&amp;C1194&amp;"|"&amp;D1194&amp;"|"&amp;E1194&amp;"|"&amp;F1194&amp;"|"&amp;G1194&amp;"|"&amp;H1194&amp;"|"&amp;I1194&amp;"|"&amp;J1194&amp;"|"&amp;K1194&amp;"|"&amp;L1194&amp;"|"&amp;M1194&amp;"|"&amp;N1194&amp;"|"&amp;O1194&amp;"|"&amp;P1194</f>
        <v/>
      </c>
      <c r="R1194" s="10">
        <f>IF(COUNTIF($Q$2:$Q$1409,Q1194)&gt;1,IF(COUNTIF($Q$2:Q1194,Q1194)=1,"Exact Duplicate - Keep First","Exact Duplicate - Remove"),"Unique")</f>
        <v/>
      </c>
    </row>
    <row r="1195" ht="15" customHeight="1" s="11">
      <c r="A1195" s="10" t="inlineStr">
        <is>
          <t>USR-101194</t>
        </is>
      </c>
      <c r="B1195" s="14" t="n">
        <v>45668</v>
      </c>
      <c r="C1195" s="10" t="inlineStr">
        <is>
          <t>Treatment</t>
        </is>
      </c>
      <c r="D1195" s="10" t="inlineStr">
        <is>
          <t>North</t>
        </is>
      </c>
      <c r="E1195" s="10" t="inlineStr">
        <is>
          <t>Mobile</t>
        </is>
      </c>
      <c r="F1195" s="10" t="inlineStr">
        <is>
          <t>Social</t>
        </is>
      </c>
      <c r="G1195" s="10" t="inlineStr">
        <is>
          <t>Basic</t>
        </is>
      </c>
      <c r="H1195" s="10" t="n">
        <v>0</v>
      </c>
      <c r="I1195" s="10" t="n">
        <v>0</v>
      </c>
      <c r="J1195" s="10" t="n">
        <v>0</v>
      </c>
      <c r="K1195" s="10" t="n">
        <v>0</v>
      </c>
      <c r="L1195" s="10" t="n">
        <v>0</v>
      </c>
      <c r="M1195" s="10" t="n">
        <v>0</v>
      </c>
      <c r="N1195" s="10" t="n">
        <v>0</v>
      </c>
      <c r="P1195" s="10" t="n">
        <v>57.3</v>
      </c>
      <c r="Q1195" s="10">
        <f>A1195&amp;"|"&amp;B1195&amp;"|"&amp;C1195&amp;"|"&amp;D1195&amp;"|"&amp;E1195&amp;"|"&amp;F1195&amp;"|"&amp;G1195&amp;"|"&amp;H1195&amp;"|"&amp;I1195&amp;"|"&amp;J1195&amp;"|"&amp;K1195&amp;"|"&amp;L1195&amp;"|"&amp;M1195&amp;"|"&amp;N1195&amp;"|"&amp;O1195&amp;"|"&amp;P1195</f>
        <v/>
      </c>
      <c r="R1195" s="10">
        <f>IF(COUNTIF($Q$2:$Q$1409,Q1195)&gt;1,IF(COUNTIF($Q$2:Q1195,Q1195)=1,"Exact Duplicate - Keep First","Exact Duplicate - Remove"),"Unique")</f>
        <v/>
      </c>
    </row>
    <row r="1196" ht="15" customHeight="1" s="11">
      <c r="A1196" s="10" t="inlineStr">
        <is>
          <t>USR-101195</t>
        </is>
      </c>
      <c r="B1196" s="14" t="n">
        <v>45755</v>
      </c>
      <c r="C1196" s="10" t="inlineStr">
        <is>
          <t>Treatment</t>
        </is>
      </c>
      <c r="D1196" s="10" t="inlineStr">
        <is>
          <t>East</t>
        </is>
      </c>
      <c r="E1196" s="10" t="inlineStr">
        <is>
          <t>Desktop</t>
        </is>
      </c>
      <c r="F1196" s="10" t="inlineStr">
        <is>
          <t>Paid Search</t>
        </is>
      </c>
      <c r="G1196" s="10" t="inlineStr">
        <is>
          <t>Premium</t>
        </is>
      </c>
      <c r="H1196" s="10" t="n">
        <v>1</v>
      </c>
      <c r="I1196" s="10" t="n">
        <v>0</v>
      </c>
      <c r="J1196" s="10" t="n">
        <v>0</v>
      </c>
      <c r="K1196" s="10" t="n">
        <v>0</v>
      </c>
      <c r="L1196" s="10" t="n">
        <v>0</v>
      </c>
      <c r="M1196" s="10" t="n">
        <v>1</v>
      </c>
      <c r="N1196" s="10" t="n">
        <v>0</v>
      </c>
      <c r="P1196" s="10" t="n">
        <v>65.90000000000001</v>
      </c>
      <c r="Q1196" s="10">
        <f>A1196&amp;"|"&amp;B1196&amp;"|"&amp;C1196&amp;"|"&amp;D1196&amp;"|"&amp;E1196&amp;"|"&amp;F1196&amp;"|"&amp;G1196&amp;"|"&amp;H1196&amp;"|"&amp;I1196&amp;"|"&amp;J1196&amp;"|"&amp;K1196&amp;"|"&amp;L1196&amp;"|"&amp;M1196&amp;"|"&amp;N1196&amp;"|"&amp;O1196&amp;"|"&amp;P1196</f>
        <v/>
      </c>
      <c r="R1196" s="10">
        <f>IF(COUNTIF($Q$2:$Q$1409,Q1196)&gt;1,IF(COUNTIF($Q$2:Q1196,Q1196)=1,"Exact Duplicate - Keep First","Exact Duplicate - Remove"),"Unique")</f>
        <v/>
      </c>
    </row>
    <row r="1197" ht="15" customHeight="1" s="11">
      <c r="A1197" s="10" t="inlineStr">
        <is>
          <t>USR-101196</t>
        </is>
      </c>
      <c r="B1197" s="14" t="n">
        <v>45710</v>
      </c>
      <c r="C1197" s="10" t="inlineStr">
        <is>
          <t>Treatment</t>
        </is>
      </c>
      <c r="D1197" s="10" t="inlineStr">
        <is>
          <t>North</t>
        </is>
      </c>
      <c r="F1197" s="10" t="inlineStr">
        <is>
          <t>Social</t>
        </is>
      </c>
      <c r="G1197" s="10" t="inlineStr">
        <is>
          <t>Free</t>
        </is>
      </c>
      <c r="H1197" s="10" t="n">
        <v>1</v>
      </c>
      <c r="I1197" s="10" t="n">
        <v>0</v>
      </c>
      <c r="J1197" s="10" t="n">
        <v>0</v>
      </c>
      <c r="K1197" s="10" t="n">
        <v>0</v>
      </c>
      <c r="L1197" s="10" t="n">
        <v>0</v>
      </c>
      <c r="M1197" s="10" t="n">
        <v>1</v>
      </c>
      <c r="N1197" s="10" t="n">
        <v>0</v>
      </c>
      <c r="P1197" s="10" t="n">
        <v>34.2</v>
      </c>
      <c r="Q1197" s="10">
        <f>A1197&amp;"|"&amp;B1197&amp;"|"&amp;C1197&amp;"|"&amp;D1197&amp;"|"&amp;E1197&amp;"|"&amp;F1197&amp;"|"&amp;G1197&amp;"|"&amp;H1197&amp;"|"&amp;I1197&amp;"|"&amp;J1197&amp;"|"&amp;K1197&amp;"|"&amp;L1197&amp;"|"&amp;M1197&amp;"|"&amp;N1197&amp;"|"&amp;O1197&amp;"|"&amp;P1197</f>
        <v/>
      </c>
      <c r="R1197" s="10">
        <f>IF(COUNTIF($Q$2:$Q$1409,Q1197)&gt;1,IF(COUNTIF($Q$2:Q1197,Q1197)=1,"Exact Duplicate - Keep First","Exact Duplicate - Remove"),"Unique")</f>
        <v/>
      </c>
    </row>
    <row r="1198" ht="15" customHeight="1" s="11">
      <c r="A1198" s="10" t="inlineStr">
        <is>
          <t>USR-101197</t>
        </is>
      </c>
      <c r="B1198" s="14" t="n">
        <v>45739</v>
      </c>
      <c r="C1198" s="10" t="inlineStr">
        <is>
          <t>Treatment</t>
        </is>
      </c>
      <c r="D1198" s="10" t="inlineStr">
        <is>
          <t>South</t>
        </is>
      </c>
      <c r="E1198" s="10" t="inlineStr">
        <is>
          <t>Mobile</t>
        </is>
      </c>
      <c r="F1198" s="10" t="inlineStr">
        <is>
          <t>Organic</t>
        </is>
      </c>
      <c r="G1198" s="10" t="inlineStr">
        <is>
          <t>Free</t>
        </is>
      </c>
      <c r="H1198" s="10" t="n">
        <v>0</v>
      </c>
      <c r="I1198" s="10" t="n">
        <v>0</v>
      </c>
      <c r="J1198" s="10" t="n">
        <v>0</v>
      </c>
      <c r="K1198" s="10" t="n">
        <v>0</v>
      </c>
      <c r="L1198" s="10" t="n">
        <v>0</v>
      </c>
      <c r="M1198" s="10" t="n">
        <v>0</v>
      </c>
      <c r="N1198" s="10" t="n">
        <v>0</v>
      </c>
      <c r="P1198" s="10" t="n">
        <v>47.2</v>
      </c>
      <c r="Q1198" s="10">
        <f>A1198&amp;"|"&amp;B1198&amp;"|"&amp;C1198&amp;"|"&amp;D1198&amp;"|"&amp;E1198&amp;"|"&amp;F1198&amp;"|"&amp;G1198&amp;"|"&amp;H1198&amp;"|"&amp;I1198&amp;"|"&amp;J1198&amp;"|"&amp;K1198&amp;"|"&amp;L1198&amp;"|"&amp;M1198&amp;"|"&amp;N1198&amp;"|"&amp;O1198&amp;"|"&amp;P1198</f>
        <v/>
      </c>
      <c r="R1198" s="10">
        <f>IF(COUNTIF($Q$2:$Q$1409,Q1198)&gt;1,IF(COUNTIF($Q$2:Q1198,Q1198)=1,"Exact Duplicate - Keep First","Exact Duplicate - Remove"),"Unique")</f>
        <v/>
      </c>
    </row>
    <row r="1199" ht="15" customHeight="1" s="11">
      <c r="A1199" s="10" t="inlineStr">
        <is>
          <t>USR-101198</t>
        </is>
      </c>
      <c r="B1199" s="14" t="n">
        <v>45800</v>
      </c>
      <c r="C1199" s="10" t="inlineStr">
        <is>
          <t>Treatment</t>
        </is>
      </c>
      <c r="D1199" s="10" t="inlineStr">
        <is>
          <t>South</t>
        </is>
      </c>
      <c r="E1199" s="10" t="inlineStr">
        <is>
          <t>Tablet</t>
        </is>
      </c>
      <c r="F1199" s="10" t="inlineStr">
        <is>
          <t>Paid Search</t>
        </is>
      </c>
      <c r="G1199" s="10" t="inlineStr">
        <is>
          <t>Free</t>
        </is>
      </c>
      <c r="H1199" s="10" t="n">
        <v>1</v>
      </c>
      <c r="I1199" s="10" t="n">
        <v>0</v>
      </c>
      <c r="J1199" s="10" t="n">
        <v>0</v>
      </c>
      <c r="K1199" s="10" t="n">
        <v>0</v>
      </c>
      <c r="L1199" s="10" t="n">
        <v>0</v>
      </c>
      <c r="M1199" s="10" t="n">
        <v>1</v>
      </c>
      <c r="N1199" s="10" t="n">
        <v>0</v>
      </c>
      <c r="P1199" s="10" t="n">
        <v>55</v>
      </c>
      <c r="Q1199" s="10">
        <f>A1199&amp;"|"&amp;B1199&amp;"|"&amp;C1199&amp;"|"&amp;D1199&amp;"|"&amp;E1199&amp;"|"&amp;F1199&amp;"|"&amp;G1199&amp;"|"&amp;H1199&amp;"|"&amp;I1199&amp;"|"&amp;J1199&amp;"|"&amp;K1199&amp;"|"&amp;L1199&amp;"|"&amp;M1199&amp;"|"&amp;N1199&amp;"|"&amp;O1199&amp;"|"&amp;P1199</f>
        <v/>
      </c>
      <c r="R1199" s="10">
        <f>IF(COUNTIF($Q$2:$Q$1409,Q1199)&gt;1,IF(COUNTIF($Q$2:Q1199,Q1199)=1,"Exact Duplicate - Keep First","Exact Duplicate - Remove"),"Unique")</f>
        <v/>
      </c>
    </row>
    <row r="1200" ht="15" customHeight="1" s="11">
      <c r="A1200" s="10" t="inlineStr">
        <is>
          <t>USR-101199</t>
        </is>
      </c>
      <c r="B1200" s="14" t="n">
        <v>45774</v>
      </c>
      <c r="C1200" s="10" t="inlineStr">
        <is>
          <t>Treatment</t>
        </is>
      </c>
      <c r="D1200" s="10" t="inlineStr">
        <is>
          <t>West</t>
        </is>
      </c>
      <c r="E1200" s="10" t="inlineStr">
        <is>
          <t>Mobile</t>
        </is>
      </c>
      <c r="F1200" s="10" t="inlineStr">
        <is>
          <t>Referral</t>
        </is>
      </c>
      <c r="G1200" s="10" t="inlineStr">
        <is>
          <t>Basic</t>
        </is>
      </c>
      <c r="H1200" s="10" t="n">
        <v>1</v>
      </c>
      <c r="I1200" s="10" t="n">
        <v>1</v>
      </c>
      <c r="J1200" s="10" t="n">
        <v>1</v>
      </c>
      <c r="K1200" s="10" t="n">
        <v>0</v>
      </c>
      <c r="L1200" s="10" t="n">
        <v>0</v>
      </c>
      <c r="M1200" s="10" t="n">
        <v>0</v>
      </c>
      <c r="N1200" s="10" t="n">
        <v>0</v>
      </c>
      <c r="P1200" s="10" t="n">
        <v>76.40000000000001</v>
      </c>
      <c r="Q1200" s="10">
        <f>A1200&amp;"|"&amp;B1200&amp;"|"&amp;C1200&amp;"|"&amp;D1200&amp;"|"&amp;E1200&amp;"|"&amp;F1200&amp;"|"&amp;G1200&amp;"|"&amp;H1200&amp;"|"&amp;I1200&amp;"|"&amp;J1200&amp;"|"&amp;K1200&amp;"|"&amp;L1200&amp;"|"&amp;M1200&amp;"|"&amp;N1200&amp;"|"&amp;O1200&amp;"|"&amp;P1200</f>
        <v/>
      </c>
      <c r="R1200" s="10">
        <f>IF(COUNTIF($Q$2:$Q$1409,Q1200)&gt;1,IF(COUNTIF($Q$2:Q1200,Q1200)=1,"Exact Duplicate - Keep First","Exact Duplicate - Remove"),"Unique")</f>
        <v/>
      </c>
    </row>
    <row r="1201" ht="15" customHeight="1" s="11">
      <c r="A1201" s="10" t="inlineStr">
        <is>
          <t>USR-101200</t>
        </is>
      </c>
      <c r="B1201" s="14" t="n">
        <v>45803</v>
      </c>
      <c r="C1201" s="10" t="inlineStr">
        <is>
          <t>Treatment</t>
        </is>
      </c>
      <c r="D1201" s="10" t="inlineStr">
        <is>
          <t>North</t>
        </is>
      </c>
      <c r="E1201" s="10" t="inlineStr">
        <is>
          <t>Mobile</t>
        </is>
      </c>
      <c r="F1201" s="10" t="inlineStr">
        <is>
          <t>Referral</t>
        </is>
      </c>
      <c r="G1201" s="10" t="inlineStr">
        <is>
          <t>Free</t>
        </is>
      </c>
      <c r="H1201" s="10" t="n">
        <v>1</v>
      </c>
      <c r="I1201" s="10" t="n">
        <v>0</v>
      </c>
      <c r="J1201" s="10" t="n">
        <v>0</v>
      </c>
      <c r="K1201" s="10" t="n">
        <v>0</v>
      </c>
      <c r="L1201" s="10" t="n">
        <v>0</v>
      </c>
      <c r="M1201" s="10" t="n">
        <v>0</v>
      </c>
      <c r="N1201" s="10" t="n">
        <v>0</v>
      </c>
      <c r="P1201" s="10" t="n">
        <v>70.8</v>
      </c>
      <c r="Q1201" s="10">
        <f>A1201&amp;"|"&amp;B1201&amp;"|"&amp;C1201&amp;"|"&amp;D1201&amp;"|"&amp;E1201&amp;"|"&amp;F1201&amp;"|"&amp;G1201&amp;"|"&amp;H1201&amp;"|"&amp;I1201&amp;"|"&amp;J1201&amp;"|"&amp;K1201&amp;"|"&amp;L1201&amp;"|"&amp;M1201&amp;"|"&amp;N1201&amp;"|"&amp;O1201&amp;"|"&amp;P1201</f>
        <v/>
      </c>
      <c r="R1201" s="10">
        <f>IF(COUNTIF($Q$2:$Q$1409,Q1201)&gt;1,IF(COUNTIF($Q$2:Q1201,Q1201)=1,"Exact Duplicate - Keep First","Exact Duplicate - Remove"),"Unique")</f>
        <v/>
      </c>
    </row>
    <row r="1202" ht="15" customHeight="1" s="11">
      <c r="A1202" s="10" t="inlineStr">
        <is>
          <t>USR-101201</t>
        </is>
      </c>
      <c r="B1202" s="14" t="n">
        <v>45722</v>
      </c>
      <c r="C1202" s="10" t="inlineStr">
        <is>
          <t>Treatment</t>
        </is>
      </c>
      <c r="D1202" s="10" t="inlineStr">
        <is>
          <t>East</t>
        </is>
      </c>
      <c r="E1202" s="10" t="inlineStr">
        <is>
          <t>Mobile</t>
        </is>
      </c>
      <c r="F1202" s="10" t="inlineStr">
        <is>
          <t>Paid Search</t>
        </is>
      </c>
      <c r="G1202" s="10" t="inlineStr">
        <is>
          <t>Basic</t>
        </is>
      </c>
      <c r="H1202" s="10" t="n">
        <v>1</v>
      </c>
      <c r="I1202" s="10" t="n">
        <v>1</v>
      </c>
      <c r="J1202" s="10" t="n">
        <v>0</v>
      </c>
      <c r="K1202" s="10" t="n">
        <v>0</v>
      </c>
      <c r="L1202" s="10" t="n">
        <v>0</v>
      </c>
      <c r="M1202" s="10" t="n">
        <v>1</v>
      </c>
      <c r="N1202" s="10" t="n">
        <v>0</v>
      </c>
      <c r="P1202" s="10" t="n">
        <v>58</v>
      </c>
      <c r="Q1202" s="10">
        <f>A1202&amp;"|"&amp;B1202&amp;"|"&amp;C1202&amp;"|"&amp;D1202&amp;"|"&amp;E1202&amp;"|"&amp;F1202&amp;"|"&amp;G1202&amp;"|"&amp;H1202&amp;"|"&amp;I1202&amp;"|"&amp;J1202&amp;"|"&amp;K1202&amp;"|"&amp;L1202&amp;"|"&amp;M1202&amp;"|"&amp;N1202&amp;"|"&amp;O1202&amp;"|"&amp;P1202</f>
        <v/>
      </c>
      <c r="R1202" s="10">
        <f>IF(COUNTIF($Q$2:$Q$1409,Q1202)&gt;1,IF(COUNTIF($Q$2:Q1202,Q1202)=1,"Exact Duplicate - Keep First","Exact Duplicate - Remove"),"Unique")</f>
        <v/>
      </c>
    </row>
    <row r="1203" ht="15" customHeight="1" s="11">
      <c r="A1203" s="10" t="inlineStr">
        <is>
          <t>USR-101202</t>
        </is>
      </c>
      <c r="B1203" s="14" t="n">
        <v>45750</v>
      </c>
      <c r="C1203" s="10" t="inlineStr">
        <is>
          <t>Treatment</t>
        </is>
      </c>
      <c r="D1203" s="10" t="inlineStr">
        <is>
          <t>West</t>
        </is>
      </c>
      <c r="E1203" s="10" t="inlineStr">
        <is>
          <t>Mobile</t>
        </is>
      </c>
      <c r="F1203" s="10" t="inlineStr">
        <is>
          <t>Organic</t>
        </is>
      </c>
      <c r="G1203" s="10" t="inlineStr">
        <is>
          <t>Basic</t>
        </is>
      </c>
      <c r="H1203" s="10" t="n">
        <v>1</v>
      </c>
      <c r="I1203" s="10" t="n">
        <v>1</v>
      </c>
      <c r="J1203" s="10" t="n">
        <v>1</v>
      </c>
      <c r="K1203" s="10" t="n">
        <v>0</v>
      </c>
      <c r="L1203" s="10" t="n">
        <v>0</v>
      </c>
      <c r="M1203" s="10" t="n">
        <v>1</v>
      </c>
      <c r="N1203" s="10" t="n">
        <v>0</v>
      </c>
      <c r="P1203" s="10" t="n">
        <v>70.8</v>
      </c>
      <c r="Q1203" s="10">
        <f>A1203&amp;"|"&amp;B1203&amp;"|"&amp;C1203&amp;"|"&amp;D1203&amp;"|"&amp;E1203&amp;"|"&amp;F1203&amp;"|"&amp;G1203&amp;"|"&amp;H1203&amp;"|"&amp;I1203&amp;"|"&amp;J1203&amp;"|"&amp;K1203&amp;"|"&amp;L1203&amp;"|"&amp;M1203&amp;"|"&amp;N1203&amp;"|"&amp;O1203&amp;"|"&amp;P1203</f>
        <v/>
      </c>
      <c r="R1203" s="10">
        <f>IF(COUNTIF($Q$2:$Q$1409,Q1203)&gt;1,IF(COUNTIF($Q$2:Q1203,Q1203)=1,"Exact Duplicate - Keep First","Exact Duplicate - Remove"),"Unique")</f>
        <v/>
      </c>
    </row>
    <row r="1204" ht="15" customHeight="1" s="11">
      <c r="A1204" s="10" t="inlineStr">
        <is>
          <t>USR-101203</t>
        </is>
      </c>
      <c r="B1204" s="14" t="n">
        <v>45689</v>
      </c>
      <c r="C1204" s="10" t="inlineStr">
        <is>
          <t>Treatment</t>
        </is>
      </c>
      <c r="D1204" s="10" t="inlineStr">
        <is>
          <t>East</t>
        </is>
      </c>
      <c r="E1204" s="10" t="inlineStr">
        <is>
          <t>Desktop</t>
        </is>
      </c>
      <c r="F1204" s="10" t="inlineStr">
        <is>
          <t>Paid Search</t>
        </is>
      </c>
      <c r="G1204" s="10" t="inlineStr">
        <is>
          <t>Free</t>
        </is>
      </c>
      <c r="H1204" s="10" t="n">
        <v>1</v>
      </c>
      <c r="I1204" s="10" t="n">
        <v>0</v>
      </c>
      <c r="J1204" s="10" t="n">
        <v>0</v>
      </c>
      <c r="K1204" s="10" t="n">
        <v>0</v>
      </c>
      <c r="L1204" s="10" t="n">
        <v>0</v>
      </c>
      <c r="M1204" s="10" t="n">
        <v>3</v>
      </c>
      <c r="N1204" s="10" t="n">
        <v>0</v>
      </c>
      <c r="P1204" s="10" t="n">
        <v>60</v>
      </c>
      <c r="Q1204" s="10">
        <f>A1204&amp;"|"&amp;B1204&amp;"|"&amp;C1204&amp;"|"&amp;D1204&amp;"|"&amp;E1204&amp;"|"&amp;F1204&amp;"|"&amp;G1204&amp;"|"&amp;H1204&amp;"|"&amp;I1204&amp;"|"&amp;J1204&amp;"|"&amp;K1204&amp;"|"&amp;L1204&amp;"|"&amp;M1204&amp;"|"&amp;N1204&amp;"|"&amp;O1204&amp;"|"&amp;P1204</f>
        <v/>
      </c>
      <c r="R1204" s="10">
        <f>IF(COUNTIF($Q$2:$Q$1409,Q1204)&gt;1,IF(COUNTIF($Q$2:Q1204,Q1204)=1,"Exact Duplicate - Keep First","Exact Duplicate - Remove"),"Unique")</f>
        <v/>
      </c>
    </row>
    <row r="1205" ht="15" customHeight="1" s="11">
      <c r="A1205" s="10" t="inlineStr">
        <is>
          <t>USR-101204</t>
        </is>
      </c>
      <c r="B1205" s="14" t="n">
        <v>45778</v>
      </c>
      <c r="C1205" s="10" t="inlineStr">
        <is>
          <t>Treatment</t>
        </is>
      </c>
      <c r="D1205" s="10" t="inlineStr">
        <is>
          <t>West</t>
        </is>
      </c>
      <c r="E1205" s="10" t="inlineStr">
        <is>
          <t>Mobile</t>
        </is>
      </c>
      <c r="F1205" s="10" t="inlineStr">
        <is>
          <t>Referral</t>
        </is>
      </c>
      <c r="G1205" s="10" t="inlineStr">
        <is>
          <t>Premium</t>
        </is>
      </c>
      <c r="H1205" s="10" t="n">
        <v>1</v>
      </c>
      <c r="I1205" s="10" t="n">
        <v>1</v>
      </c>
      <c r="J1205" s="10" t="n">
        <v>1</v>
      </c>
      <c r="K1205" s="10" t="n">
        <v>0</v>
      </c>
      <c r="L1205" s="10" t="n">
        <v>0</v>
      </c>
      <c r="M1205" s="10" t="n">
        <v>3</v>
      </c>
      <c r="N1205" s="10" t="n">
        <v>0</v>
      </c>
      <c r="P1205" s="10" t="n">
        <v>58.1</v>
      </c>
      <c r="Q1205" s="10">
        <f>A1205&amp;"|"&amp;B1205&amp;"|"&amp;C1205&amp;"|"&amp;D1205&amp;"|"&amp;E1205&amp;"|"&amp;F1205&amp;"|"&amp;G1205&amp;"|"&amp;H1205&amp;"|"&amp;I1205&amp;"|"&amp;J1205&amp;"|"&amp;K1205&amp;"|"&amp;L1205&amp;"|"&amp;M1205&amp;"|"&amp;N1205&amp;"|"&amp;O1205&amp;"|"&amp;P1205</f>
        <v/>
      </c>
      <c r="R1205" s="10">
        <f>IF(COUNTIF($Q$2:$Q$1409,Q1205)&gt;1,IF(COUNTIF($Q$2:Q1205,Q1205)=1,"Exact Duplicate - Keep First","Exact Duplicate - Remove"),"Unique")</f>
        <v/>
      </c>
    </row>
    <row r="1206" ht="15" customHeight="1" s="11">
      <c r="A1206" s="10" t="inlineStr">
        <is>
          <t>USR-101205</t>
        </is>
      </c>
      <c r="B1206" s="14" t="n">
        <v>45760</v>
      </c>
      <c r="C1206" s="10" t="inlineStr">
        <is>
          <t>Treatment</t>
        </is>
      </c>
      <c r="D1206" s="10" t="inlineStr">
        <is>
          <t>North</t>
        </is>
      </c>
      <c r="E1206" s="10" t="inlineStr">
        <is>
          <t>Mobile</t>
        </is>
      </c>
      <c r="F1206" s="10" t="inlineStr">
        <is>
          <t>Social</t>
        </is>
      </c>
      <c r="G1206" s="10" t="inlineStr">
        <is>
          <t>Premium</t>
        </is>
      </c>
      <c r="H1206" s="10" t="n">
        <v>0</v>
      </c>
      <c r="I1206" s="10" t="n">
        <v>0</v>
      </c>
      <c r="J1206" s="10" t="n">
        <v>0</v>
      </c>
      <c r="K1206" s="10" t="n">
        <v>0</v>
      </c>
      <c r="L1206" s="10" t="n">
        <v>0</v>
      </c>
      <c r="M1206" s="10" t="n">
        <v>0</v>
      </c>
      <c r="N1206" s="10" t="n">
        <v>0</v>
      </c>
      <c r="P1206" s="10" t="n">
        <v>59.7</v>
      </c>
      <c r="Q1206" s="10">
        <f>A1206&amp;"|"&amp;B1206&amp;"|"&amp;C1206&amp;"|"&amp;D1206&amp;"|"&amp;E1206&amp;"|"&amp;F1206&amp;"|"&amp;G1206&amp;"|"&amp;H1206&amp;"|"&amp;I1206&amp;"|"&amp;J1206&amp;"|"&amp;K1206&amp;"|"&amp;L1206&amp;"|"&amp;M1206&amp;"|"&amp;N1206&amp;"|"&amp;O1206&amp;"|"&amp;P1206</f>
        <v/>
      </c>
      <c r="R1206" s="10">
        <f>IF(COUNTIF($Q$2:$Q$1409,Q1206)&gt;1,IF(COUNTIF($Q$2:Q1206,Q1206)=1,"Exact Duplicate - Keep First","Exact Duplicate - Remove"),"Unique")</f>
        <v/>
      </c>
    </row>
    <row r="1207" ht="15" customHeight="1" s="11">
      <c r="A1207" s="10" t="inlineStr">
        <is>
          <t>USR-101206</t>
        </is>
      </c>
      <c r="B1207" s="14" t="n">
        <v>45682</v>
      </c>
      <c r="C1207" s="10" t="inlineStr">
        <is>
          <t>Treatment</t>
        </is>
      </c>
      <c r="D1207" s="10" t="inlineStr">
        <is>
          <t>East</t>
        </is>
      </c>
      <c r="E1207" s="10" t="inlineStr">
        <is>
          <t>Mobile</t>
        </is>
      </c>
      <c r="F1207" s="10" t="inlineStr">
        <is>
          <t>Social</t>
        </is>
      </c>
      <c r="G1207" s="10" t="inlineStr">
        <is>
          <t>Free</t>
        </is>
      </c>
      <c r="H1207" s="10" t="n">
        <v>0</v>
      </c>
      <c r="I1207" s="10" t="n">
        <v>0</v>
      </c>
      <c r="J1207" s="10" t="n">
        <v>0</v>
      </c>
      <c r="K1207" s="10" t="n">
        <v>0</v>
      </c>
      <c r="L1207" s="10" t="n">
        <v>0</v>
      </c>
      <c r="M1207" s="10" t="n">
        <v>0</v>
      </c>
      <c r="N1207" s="10" t="n">
        <v>0</v>
      </c>
      <c r="P1207" s="10" t="n">
        <v>47.7</v>
      </c>
      <c r="Q1207" s="10">
        <f>A1207&amp;"|"&amp;B1207&amp;"|"&amp;C1207&amp;"|"&amp;D1207&amp;"|"&amp;E1207&amp;"|"&amp;F1207&amp;"|"&amp;G1207&amp;"|"&amp;H1207&amp;"|"&amp;I1207&amp;"|"&amp;J1207&amp;"|"&amp;K1207&amp;"|"&amp;L1207&amp;"|"&amp;M1207&amp;"|"&amp;N1207&amp;"|"&amp;O1207&amp;"|"&amp;P1207</f>
        <v/>
      </c>
      <c r="R1207" s="10">
        <f>IF(COUNTIF($Q$2:$Q$1409,Q1207)&gt;1,IF(COUNTIF($Q$2:Q1207,Q1207)=1,"Exact Duplicate - Keep First","Exact Duplicate - Remove"),"Unique")</f>
        <v/>
      </c>
    </row>
    <row r="1208" ht="15" customHeight="1" s="11">
      <c r="A1208" s="10" t="inlineStr">
        <is>
          <t>USR-101207</t>
        </is>
      </c>
      <c r="B1208" s="14" t="n">
        <v>45733</v>
      </c>
      <c r="C1208" s="10" t="inlineStr">
        <is>
          <t>Treatment</t>
        </is>
      </c>
      <c r="D1208" s="10" t="inlineStr">
        <is>
          <t>North</t>
        </is>
      </c>
      <c r="E1208" s="10" t="inlineStr">
        <is>
          <t>Mobile</t>
        </is>
      </c>
      <c r="F1208" s="10" t="inlineStr">
        <is>
          <t>Organic</t>
        </is>
      </c>
      <c r="G1208" s="10" t="inlineStr">
        <is>
          <t>Free</t>
        </is>
      </c>
      <c r="H1208" s="10" t="n">
        <v>0</v>
      </c>
      <c r="I1208" s="10" t="n">
        <v>0</v>
      </c>
      <c r="J1208" s="10" t="n">
        <v>0</v>
      </c>
      <c r="K1208" s="10" t="n">
        <v>0</v>
      </c>
      <c r="L1208" s="10" t="n">
        <v>0</v>
      </c>
      <c r="M1208" s="10" t="n">
        <v>0</v>
      </c>
      <c r="N1208" s="10" t="n">
        <v>0</v>
      </c>
      <c r="P1208" s="10" t="n">
        <v>59.1</v>
      </c>
      <c r="Q1208" s="10">
        <f>A1208&amp;"|"&amp;B1208&amp;"|"&amp;C1208&amp;"|"&amp;D1208&amp;"|"&amp;E1208&amp;"|"&amp;F1208&amp;"|"&amp;G1208&amp;"|"&amp;H1208&amp;"|"&amp;I1208&amp;"|"&amp;J1208&amp;"|"&amp;K1208&amp;"|"&amp;L1208&amp;"|"&amp;M1208&amp;"|"&amp;N1208&amp;"|"&amp;O1208&amp;"|"&amp;P1208</f>
        <v/>
      </c>
      <c r="R1208" s="10">
        <f>IF(COUNTIF($Q$2:$Q$1409,Q1208)&gt;1,IF(COUNTIF($Q$2:Q1208,Q1208)=1,"Exact Duplicate - Keep First","Exact Duplicate - Remove"),"Unique")</f>
        <v/>
      </c>
    </row>
    <row r="1209" ht="15" customHeight="1" s="11">
      <c r="A1209" s="10" t="inlineStr">
        <is>
          <t>USR-101208</t>
        </is>
      </c>
      <c r="B1209" s="14" t="n">
        <v>45709</v>
      </c>
      <c r="C1209" s="10" t="inlineStr">
        <is>
          <t>Treatment</t>
        </is>
      </c>
      <c r="D1209" s="10" t="inlineStr">
        <is>
          <t>West</t>
        </is>
      </c>
      <c r="E1209" s="10" t="inlineStr">
        <is>
          <t>Desktop</t>
        </is>
      </c>
      <c r="F1209" s="10" t="inlineStr">
        <is>
          <t>Social</t>
        </is>
      </c>
      <c r="G1209" s="10" t="inlineStr">
        <is>
          <t>Basic</t>
        </is>
      </c>
      <c r="H1209" s="10" t="n">
        <v>1</v>
      </c>
      <c r="I1209" s="10" t="n">
        <v>0</v>
      </c>
      <c r="J1209" s="10" t="n">
        <v>0</v>
      </c>
      <c r="K1209" s="10" t="n">
        <v>0</v>
      </c>
      <c r="L1209" s="10" t="n">
        <v>0</v>
      </c>
      <c r="M1209" s="10" t="n">
        <v>1</v>
      </c>
      <c r="N1209" s="10" t="n">
        <v>0</v>
      </c>
      <c r="P1209" s="10" t="n">
        <v>68.7</v>
      </c>
      <c r="Q1209" s="10">
        <f>A1209&amp;"|"&amp;B1209&amp;"|"&amp;C1209&amp;"|"&amp;D1209&amp;"|"&amp;E1209&amp;"|"&amp;F1209&amp;"|"&amp;G1209&amp;"|"&amp;H1209&amp;"|"&amp;I1209&amp;"|"&amp;J1209&amp;"|"&amp;K1209&amp;"|"&amp;L1209&amp;"|"&amp;M1209&amp;"|"&amp;N1209&amp;"|"&amp;O1209&amp;"|"&amp;P1209</f>
        <v/>
      </c>
      <c r="R1209" s="10">
        <f>IF(COUNTIF($Q$2:$Q$1409,Q1209)&gt;1,IF(COUNTIF($Q$2:Q1209,Q1209)=1,"Exact Duplicate - Keep First","Exact Duplicate - Remove"),"Unique")</f>
        <v/>
      </c>
    </row>
    <row r="1210" ht="15" customHeight="1" s="11">
      <c r="A1210" s="10" t="inlineStr">
        <is>
          <t>USR-101209</t>
        </is>
      </c>
      <c r="B1210" s="14" t="n">
        <v>45755</v>
      </c>
      <c r="C1210" s="10" t="inlineStr">
        <is>
          <t>Treatment</t>
        </is>
      </c>
      <c r="D1210" s="10" t="inlineStr">
        <is>
          <t>East</t>
        </is>
      </c>
      <c r="E1210" s="10" t="inlineStr">
        <is>
          <t>Tablet</t>
        </is>
      </c>
      <c r="F1210" s="10" t="inlineStr">
        <is>
          <t>Organic</t>
        </is>
      </c>
      <c r="G1210" s="10" t="inlineStr">
        <is>
          <t>Basic</t>
        </is>
      </c>
      <c r="H1210" s="10" t="n">
        <v>0</v>
      </c>
      <c r="I1210" s="10" t="n">
        <v>0</v>
      </c>
      <c r="J1210" s="10" t="n">
        <v>0</v>
      </c>
      <c r="K1210" s="10" t="n">
        <v>0</v>
      </c>
      <c r="L1210" s="10" t="n">
        <v>0</v>
      </c>
      <c r="M1210" s="10" t="n">
        <v>0</v>
      </c>
      <c r="N1210" s="10" t="n">
        <v>0</v>
      </c>
      <c r="P1210" s="10" t="n">
        <v>34.7</v>
      </c>
      <c r="Q1210" s="10">
        <f>A1210&amp;"|"&amp;B1210&amp;"|"&amp;C1210&amp;"|"&amp;D1210&amp;"|"&amp;E1210&amp;"|"&amp;F1210&amp;"|"&amp;G1210&amp;"|"&amp;H1210&amp;"|"&amp;I1210&amp;"|"&amp;J1210&amp;"|"&amp;K1210&amp;"|"&amp;L1210&amp;"|"&amp;M1210&amp;"|"&amp;N1210&amp;"|"&amp;O1210&amp;"|"&amp;P1210</f>
        <v/>
      </c>
      <c r="R1210" s="10">
        <f>IF(COUNTIF($Q$2:$Q$1409,Q1210)&gt;1,IF(COUNTIF($Q$2:Q1210,Q1210)=1,"Exact Duplicate - Keep First","Exact Duplicate - Remove"),"Unique")</f>
        <v/>
      </c>
    </row>
    <row r="1211" ht="15" customHeight="1" s="11">
      <c r="A1211" s="10" t="inlineStr">
        <is>
          <t>USR-101210</t>
        </is>
      </c>
      <c r="B1211" s="14" t="n">
        <v>45712</v>
      </c>
      <c r="C1211" s="10" t="inlineStr">
        <is>
          <t>Treatment</t>
        </is>
      </c>
      <c r="D1211" s="10" t="inlineStr">
        <is>
          <t>West</t>
        </is>
      </c>
      <c r="E1211" s="10" t="inlineStr">
        <is>
          <t>Mobile</t>
        </is>
      </c>
      <c r="F1211" s="10" t="inlineStr">
        <is>
          <t>Organic</t>
        </is>
      </c>
      <c r="G1211" s="10" t="inlineStr">
        <is>
          <t>Basic</t>
        </is>
      </c>
      <c r="H1211" s="10" t="n">
        <v>1</v>
      </c>
      <c r="I1211" s="10" t="n">
        <v>0</v>
      </c>
      <c r="J1211" s="10" t="n">
        <v>0</v>
      </c>
      <c r="K1211" s="10" t="n">
        <v>0</v>
      </c>
      <c r="L1211" s="10" t="n">
        <v>0</v>
      </c>
      <c r="M1211" s="10" t="n">
        <v>0</v>
      </c>
      <c r="N1211" s="10" t="n">
        <v>0</v>
      </c>
      <c r="P1211" s="10" t="n">
        <v>62</v>
      </c>
      <c r="Q1211" s="10">
        <f>A1211&amp;"|"&amp;B1211&amp;"|"&amp;C1211&amp;"|"&amp;D1211&amp;"|"&amp;E1211&amp;"|"&amp;F1211&amp;"|"&amp;G1211&amp;"|"&amp;H1211&amp;"|"&amp;I1211&amp;"|"&amp;J1211&amp;"|"&amp;K1211&amp;"|"&amp;L1211&amp;"|"&amp;M1211&amp;"|"&amp;N1211&amp;"|"&amp;O1211&amp;"|"&amp;P1211</f>
        <v/>
      </c>
      <c r="R1211" s="10">
        <f>IF(COUNTIF($Q$2:$Q$1409,Q1211)&gt;1,IF(COUNTIF($Q$2:Q1211,Q1211)=1,"Exact Duplicate - Keep First","Exact Duplicate - Remove"),"Unique")</f>
        <v/>
      </c>
    </row>
    <row r="1212" ht="15" customHeight="1" s="11">
      <c r="A1212" s="10" t="inlineStr">
        <is>
          <t>USR-101211</t>
        </is>
      </c>
      <c r="B1212" s="14" t="n">
        <v>45806</v>
      </c>
      <c r="C1212" s="10" t="inlineStr">
        <is>
          <t>Treatment</t>
        </is>
      </c>
      <c r="D1212" s="10" t="inlineStr">
        <is>
          <t>South</t>
        </is>
      </c>
      <c r="E1212" s="10" t="inlineStr">
        <is>
          <t>Mobile</t>
        </is>
      </c>
      <c r="F1212" s="10" t="inlineStr">
        <is>
          <t>Organic</t>
        </is>
      </c>
      <c r="G1212" s="10" t="inlineStr">
        <is>
          <t>Free</t>
        </is>
      </c>
      <c r="H1212" s="10" t="n">
        <v>1</v>
      </c>
      <c r="I1212" s="10" t="n">
        <v>1</v>
      </c>
      <c r="J1212" s="10" t="n">
        <v>0</v>
      </c>
      <c r="K1212" s="10" t="n">
        <v>0</v>
      </c>
      <c r="L1212" s="10" t="n">
        <v>0</v>
      </c>
      <c r="M1212" s="10" t="n">
        <v>0</v>
      </c>
      <c r="N1212" s="10" t="n">
        <v>0</v>
      </c>
      <c r="P1212" s="10" t="n">
        <v>56</v>
      </c>
      <c r="Q1212" s="10">
        <f>A1212&amp;"|"&amp;B1212&amp;"|"&amp;C1212&amp;"|"&amp;D1212&amp;"|"&amp;E1212&amp;"|"&amp;F1212&amp;"|"&amp;G1212&amp;"|"&amp;H1212&amp;"|"&amp;I1212&amp;"|"&amp;J1212&amp;"|"&amp;K1212&amp;"|"&amp;L1212&amp;"|"&amp;M1212&amp;"|"&amp;N1212&amp;"|"&amp;O1212&amp;"|"&amp;P1212</f>
        <v/>
      </c>
      <c r="R1212" s="10">
        <f>IF(COUNTIF($Q$2:$Q$1409,Q1212)&gt;1,IF(COUNTIF($Q$2:Q1212,Q1212)=1,"Exact Duplicate - Keep First","Exact Duplicate - Remove"),"Unique")</f>
        <v/>
      </c>
    </row>
    <row r="1213" ht="15" customHeight="1" s="11">
      <c r="A1213" s="10" t="inlineStr">
        <is>
          <t>USR-101212</t>
        </is>
      </c>
      <c r="B1213" s="14" t="n">
        <v>45807</v>
      </c>
      <c r="C1213" s="10" t="inlineStr">
        <is>
          <t>Treatment</t>
        </is>
      </c>
      <c r="D1213" s="10" t="inlineStr">
        <is>
          <t>North</t>
        </is>
      </c>
      <c r="E1213" s="10" t="inlineStr">
        <is>
          <t>Mobile</t>
        </is>
      </c>
      <c r="F1213" s="10" t="inlineStr">
        <is>
          <t>Email</t>
        </is>
      </c>
      <c r="G1213" s="10" t="inlineStr">
        <is>
          <t>Basic</t>
        </is>
      </c>
      <c r="H1213" s="10" t="n">
        <v>1</v>
      </c>
      <c r="I1213" s="10" t="n">
        <v>0</v>
      </c>
      <c r="J1213" s="10" t="n">
        <v>0</v>
      </c>
      <c r="K1213" s="10" t="n">
        <v>0</v>
      </c>
      <c r="L1213" s="10" t="n">
        <v>0</v>
      </c>
      <c r="M1213" s="10" t="n">
        <v>1</v>
      </c>
      <c r="N1213" s="10" t="n">
        <v>0</v>
      </c>
      <c r="P1213" s="10" t="n">
        <v>65.8</v>
      </c>
      <c r="Q1213" s="10">
        <f>A1213&amp;"|"&amp;B1213&amp;"|"&amp;C1213&amp;"|"&amp;D1213&amp;"|"&amp;E1213&amp;"|"&amp;F1213&amp;"|"&amp;G1213&amp;"|"&amp;H1213&amp;"|"&amp;I1213&amp;"|"&amp;J1213&amp;"|"&amp;K1213&amp;"|"&amp;L1213&amp;"|"&amp;M1213&amp;"|"&amp;N1213&amp;"|"&amp;O1213&amp;"|"&amp;P1213</f>
        <v/>
      </c>
      <c r="R1213" s="10">
        <f>IF(COUNTIF($Q$2:$Q$1409,Q1213)&gt;1,IF(COUNTIF($Q$2:Q1213,Q1213)=1,"Exact Duplicate - Keep First","Exact Duplicate - Remove"),"Unique")</f>
        <v/>
      </c>
    </row>
    <row r="1214" ht="15" customHeight="1" s="11">
      <c r="A1214" s="10" t="inlineStr">
        <is>
          <t>USR-101213</t>
        </is>
      </c>
      <c r="B1214" s="14" t="n">
        <v>45681</v>
      </c>
      <c r="C1214" s="10" t="inlineStr">
        <is>
          <t>Treatment</t>
        </is>
      </c>
      <c r="D1214" s="10" t="inlineStr">
        <is>
          <t>North</t>
        </is>
      </c>
      <c r="E1214" s="10" t="inlineStr">
        <is>
          <t>Desktop</t>
        </is>
      </c>
      <c r="F1214" s="10" t="inlineStr">
        <is>
          <t>Organic</t>
        </is>
      </c>
      <c r="G1214" s="10" t="inlineStr">
        <is>
          <t>Premium</t>
        </is>
      </c>
      <c r="H1214" s="10" t="n">
        <v>0</v>
      </c>
      <c r="I1214" s="10" t="n">
        <v>0</v>
      </c>
      <c r="J1214" s="10" t="n">
        <v>0</v>
      </c>
      <c r="K1214" s="10" t="n">
        <v>0</v>
      </c>
      <c r="L1214" s="10" t="n">
        <v>0</v>
      </c>
      <c r="M1214" s="10" t="n">
        <v>0</v>
      </c>
      <c r="N1214" s="10" t="n">
        <v>0</v>
      </c>
      <c r="P1214" s="10" t="n">
        <v>54.7</v>
      </c>
      <c r="Q1214" s="10">
        <f>A1214&amp;"|"&amp;B1214&amp;"|"&amp;C1214&amp;"|"&amp;D1214&amp;"|"&amp;E1214&amp;"|"&amp;F1214&amp;"|"&amp;G1214&amp;"|"&amp;H1214&amp;"|"&amp;I1214&amp;"|"&amp;J1214&amp;"|"&amp;K1214&amp;"|"&amp;L1214&amp;"|"&amp;M1214&amp;"|"&amp;N1214&amp;"|"&amp;O1214&amp;"|"&amp;P1214</f>
        <v/>
      </c>
      <c r="R1214" s="10">
        <f>IF(COUNTIF($Q$2:$Q$1409,Q1214)&gt;1,IF(COUNTIF($Q$2:Q1214,Q1214)=1,"Exact Duplicate - Keep First","Exact Duplicate - Remove"),"Unique")</f>
        <v/>
      </c>
    </row>
    <row r="1215" ht="15" customHeight="1" s="11">
      <c r="A1215" s="10" t="inlineStr">
        <is>
          <t>USR-101214</t>
        </is>
      </c>
      <c r="B1215" s="14" t="n">
        <v>45789</v>
      </c>
      <c r="C1215" s="10" t="inlineStr">
        <is>
          <t>Treatment</t>
        </is>
      </c>
      <c r="D1215" s="10" t="inlineStr">
        <is>
          <t>South</t>
        </is>
      </c>
      <c r="E1215" s="10" t="inlineStr">
        <is>
          <t>Mobile</t>
        </is>
      </c>
      <c r="F1215" s="10" t="inlineStr">
        <is>
          <t>Organic</t>
        </is>
      </c>
      <c r="G1215" s="10" t="inlineStr">
        <is>
          <t>Basic</t>
        </is>
      </c>
      <c r="H1215" s="10" t="n">
        <v>1</v>
      </c>
      <c r="I1215" s="10" t="n">
        <v>1</v>
      </c>
      <c r="J1215" s="10" t="n">
        <v>0</v>
      </c>
      <c r="K1215" s="10" t="n">
        <v>0</v>
      </c>
      <c r="L1215" s="10" t="n">
        <v>0</v>
      </c>
      <c r="M1215" s="10" t="n">
        <v>0</v>
      </c>
      <c r="N1215" s="10" t="n">
        <v>0</v>
      </c>
      <c r="P1215" s="10" t="n">
        <v>64.09999999999999</v>
      </c>
      <c r="Q1215" s="10">
        <f>A1215&amp;"|"&amp;B1215&amp;"|"&amp;C1215&amp;"|"&amp;D1215&amp;"|"&amp;E1215&amp;"|"&amp;F1215&amp;"|"&amp;G1215&amp;"|"&amp;H1215&amp;"|"&amp;I1215&amp;"|"&amp;J1215&amp;"|"&amp;K1215&amp;"|"&amp;L1215&amp;"|"&amp;M1215&amp;"|"&amp;N1215&amp;"|"&amp;O1215&amp;"|"&amp;P1215</f>
        <v/>
      </c>
      <c r="R1215" s="10">
        <f>IF(COUNTIF($Q$2:$Q$1409,Q1215)&gt;1,IF(COUNTIF($Q$2:Q1215,Q1215)=1,"Exact Duplicate - Keep First","Exact Duplicate - Remove"),"Unique")</f>
        <v/>
      </c>
    </row>
    <row r="1216" ht="15" customHeight="1" s="11">
      <c r="A1216" s="10" t="inlineStr">
        <is>
          <t>USR-101215</t>
        </is>
      </c>
      <c r="B1216" s="14" t="n">
        <v>45744</v>
      </c>
      <c r="C1216" s="10" t="inlineStr">
        <is>
          <t>Treatment</t>
        </is>
      </c>
      <c r="D1216" s="10" t="inlineStr">
        <is>
          <t>South</t>
        </is>
      </c>
      <c r="E1216" s="10" t="inlineStr">
        <is>
          <t>Mobile</t>
        </is>
      </c>
      <c r="F1216" s="10" t="inlineStr">
        <is>
          <t>Organic</t>
        </is>
      </c>
      <c r="G1216" s="10" t="inlineStr">
        <is>
          <t>Basic</t>
        </is>
      </c>
      <c r="H1216" s="10" t="n">
        <v>1</v>
      </c>
      <c r="I1216" s="10" t="n">
        <v>1</v>
      </c>
      <c r="J1216" s="10" t="n">
        <v>1</v>
      </c>
      <c r="K1216" s="10" t="n">
        <v>0</v>
      </c>
      <c r="L1216" s="10" t="n">
        <v>0</v>
      </c>
      <c r="M1216" s="10" t="n">
        <v>0</v>
      </c>
      <c r="N1216" s="10" t="n">
        <v>0</v>
      </c>
      <c r="P1216" s="10" t="n">
        <v>71.59999999999999</v>
      </c>
      <c r="Q1216" s="10">
        <f>A1216&amp;"|"&amp;B1216&amp;"|"&amp;C1216&amp;"|"&amp;D1216&amp;"|"&amp;E1216&amp;"|"&amp;F1216&amp;"|"&amp;G1216&amp;"|"&amp;H1216&amp;"|"&amp;I1216&amp;"|"&amp;J1216&amp;"|"&amp;K1216&amp;"|"&amp;L1216&amp;"|"&amp;M1216&amp;"|"&amp;N1216&amp;"|"&amp;O1216&amp;"|"&amp;P1216</f>
        <v/>
      </c>
      <c r="R1216" s="10">
        <f>IF(COUNTIF($Q$2:$Q$1409,Q1216)&gt;1,IF(COUNTIF($Q$2:Q1216,Q1216)=1,"Exact Duplicate - Keep First","Exact Duplicate - Remove"),"Unique")</f>
        <v/>
      </c>
    </row>
    <row r="1217" ht="15" customHeight="1" s="11">
      <c r="A1217" s="10" t="inlineStr">
        <is>
          <t>USR-101216</t>
        </is>
      </c>
      <c r="B1217" s="14" t="n">
        <v>45761</v>
      </c>
      <c r="C1217" s="10" t="inlineStr">
        <is>
          <t>Treatment</t>
        </is>
      </c>
      <c r="D1217" s="10" t="inlineStr">
        <is>
          <t>North</t>
        </is>
      </c>
      <c r="E1217" s="10" t="inlineStr">
        <is>
          <t>Mobile</t>
        </is>
      </c>
      <c r="F1217" s="10" t="inlineStr">
        <is>
          <t>Referral</t>
        </is>
      </c>
      <c r="G1217" s="10" t="inlineStr">
        <is>
          <t>Basic</t>
        </is>
      </c>
      <c r="H1217" s="10" t="n">
        <v>1</v>
      </c>
      <c r="I1217" s="10" t="n">
        <v>0</v>
      </c>
      <c r="J1217" s="10" t="n">
        <v>0</v>
      </c>
      <c r="K1217" s="10" t="n">
        <v>0</v>
      </c>
      <c r="L1217" s="10" t="n">
        <v>0</v>
      </c>
      <c r="M1217" s="10" t="n">
        <v>0</v>
      </c>
      <c r="N1217" s="10" t="n">
        <v>0</v>
      </c>
      <c r="P1217" s="10" t="n">
        <v>78.40000000000001</v>
      </c>
      <c r="Q1217" s="10">
        <f>A1217&amp;"|"&amp;B1217&amp;"|"&amp;C1217&amp;"|"&amp;D1217&amp;"|"&amp;E1217&amp;"|"&amp;F1217&amp;"|"&amp;G1217&amp;"|"&amp;H1217&amp;"|"&amp;I1217&amp;"|"&amp;J1217&amp;"|"&amp;K1217&amp;"|"&amp;L1217&amp;"|"&amp;M1217&amp;"|"&amp;N1217&amp;"|"&amp;O1217&amp;"|"&amp;P1217</f>
        <v/>
      </c>
      <c r="R1217" s="10">
        <f>IF(COUNTIF($Q$2:$Q$1409,Q1217)&gt;1,IF(COUNTIF($Q$2:Q1217,Q1217)=1,"Exact Duplicate - Keep First","Exact Duplicate - Remove"),"Unique")</f>
        <v/>
      </c>
    </row>
    <row r="1218" ht="15" customHeight="1" s="11">
      <c r="A1218" s="10" t="inlineStr">
        <is>
          <t>USR-101217</t>
        </is>
      </c>
      <c r="B1218" s="14" t="n">
        <v>45685</v>
      </c>
      <c r="C1218" s="10" t="inlineStr">
        <is>
          <t>Treatment</t>
        </is>
      </c>
      <c r="D1218" s="10" t="inlineStr">
        <is>
          <t>East</t>
        </is>
      </c>
      <c r="E1218" s="10" t="inlineStr">
        <is>
          <t>Tablet</t>
        </is>
      </c>
      <c r="F1218" s="10" t="inlineStr">
        <is>
          <t>Referral</t>
        </is>
      </c>
      <c r="G1218" s="10" t="inlineStr">
        <is>
          <t>Basic</t>
        </is>
      </c>
      <c r="H1218" s="10" t="n">
        <v>0</v>
      </c>
      <c r="I1218" s="10" t="n">
        <v>0</v>
      </c>
      <c r="J1218" s="10" t="n">
        <v>0</v>
      </c>
      <c r="K1218" s="10" t="n">
        <v>0</v>
      </c>
      <c r="L1218" s="10" t="n">
        <v>0</v>
      </c>
      <c r="M1218" s="10" t="n">
        <v>0</v>
      </c>
      <c r="N1218" s="10" t="n">
        <v>0</v>
      </c>
      <c r="P1218" s="10" t="n">
        <v>49.3</v>
      </c>
      <c r="Q1218" s="10">
        <f>A1218&amp;"|"&amp;B1218&amp;"|"&amp;C1218&amp;"|"&amp;D1218&amp;"|"&amp;E1218&amp;"|"&amp;F1218&amp;"|"&amp;G1218&amp;"|"&amp;H1218&amp;"|"&amp;I1218&amp;"|"&amp;J1218&amp;"|"&amp;K1218&amp;"|"&amp;L1218&amp;"|"&amp;M1218&amp;"|"&amp;N1218&amp;"|"&amp;O1218&amp;"|"&amp;P1218</f>
        <v/>
      </c>
      <c r="R1218" s="10">
        <f>IF(COUNTIF($Q$2:$Q$1409,Q1218)&gt;1,IF(COUNTIF($Q$2:Q1218,Q1218)=1,"Exact Duplicate - Keep First","Exact Duplicate - Remove"),"Unique")</f>
        <v/>
      </c>
    </row>
    <row r="1219" ht="15" customHeight="1" s="11">
      <c r="A1219" s="10" t="inlineStr">
        <is>
          <t>USR-101218</t>
        </is>
      </c>
      <c r="B1219" s="14" t="n">
        <v>45798</v>
      </c>
      <c r="C1219" s="10" t="inlineStr">
        <is>
          <t>Treatment</t>
        </is>
      </c>
      <c r="D1219" s="10" t="inlineStr">
        <is>
          <t>North</t>
        </is>
      </c>
      <c r="E1219" s="10" t="inlineStr">
        <is>
          <t>Mobile</t>
        </is>
      </c>
      <c r="F1219" s="10" t="inlineStr">
        <is>
          <t>Organic</t>
        </is>
      </c>
      <c r="G1219" s="10" t="inlineStr">
        <is>
          <t>Basic</t>
        </is>
      </c>
      <c r="H1219" s="10" t="n">
        <v>0</v>
      </c>
      <c r="I1219" s="10" t="n">
        <v>0</v>
      </c>
      <c r="J1219" s="10" t="n">
        <v>0</v>
      </c>
      <c r="K1219" s="10" t="n">
        <v>0</v>
      </c>
      <c r="L1219" s="10" t="n">
        <v>0</v>
      </c>
      <c r="M1219" s="10" t="n">
        <v>0</v>
      </c>
      <c r="N1219" s="10" t="n">
        <v>0</v>
      </c>
      <c r="P1219" s="10" t="n">
        <v>52.8</v>
      </c>
      <c r="Q1219" s="10">
        <f>A1219&amp;"|"&amp;B1219&amp;"|"&amp;C1219&amp;"|"&amp;D1219&amp;"|"&amp;E1219&amp;"|"&amp;F1219&amp;"|"&amp;G1219&amp;"|"&amp;H1219&amp;"|"&amp;I1219&amp;"|"&amp;J1219&amp;"|"&amp;K1219&amp;"|"&amp;L1219&amp;"|"&amp;M1219&amp;"|"&amp;N1219&amp;"|"&amp;O1219&amp;"|"&amp;P1219</f>
        <v/>
      </c>
      <c r="R1219" s="10">
        <f>IF(COUNTIF($Q$2:$Q$1409,Q1219)&gt;1,IF(COUNTIF($Q$2:Q1219,Q1219)=1,"Exact Duplicate - Keep First","Exact Duplicate - Remove"),"Unique")</f>
        <v/>
      </c>
    </row>
    <row r="1220" ht="15" customHeight="1" s="11">
      <c r="A1220" s="10" t="inlineStr">
        <is>
          <t>USR-101219</t>
        </is>
      </c>
      <c r="B1220" s="14" t="n">
        <v>45788</v>
      </c>
      <c r="C1220" s="10" t="inlineStr">
        <is>
          <t>Treatment</t>
        </is>
      </c>
      <c r="D1220" s="10" t="inlineStr">
        <is>
          <t>West</t>
        </is>
      </c>
      <c r="E1220" s="10" t="inlineStr">
        <is>
          <t>Desktop</t>
        </is>
      </c>
      <c r="F1220" s="10" t="inlineStr">
        <is>
          <t>Organic</t>
        </is>
      </c>
      <c r="G1220" s="10" t="inlineStr">
        <is>
          <t>Free</t>
        </is>
      </c>
      <c r="H1220" s="10" t="n">
        <v>0</v>
      </c>
      <c r="I1220" s="10" t="n">
        <v>0</v>
      </c>
      <c r="J1220" s="10" t="n">
        <v>0</v>
      </c>
      <c r="K1220" s="10" t="n">
        <v>0</v>
      </c>
      <c r="L1220" s="10" t="n">
        <v>0</v>
      </c>
      <c r="M1220" s="10" t="n">
        <v>0</v>
      </c>
      <c r="N1220" s="10" t="n">
        <v>0</v>
      </c>
      <c r="P1220" s="10" t="n">
        <v>58.5</v>
      </c>
      <c r="Q1220" s="10">
        <f>A1220&amp;"|"&amp;B1220&amp;"|"&amp;C1220&amp;"|"&amp;D1220&amp;"|"&amp;E1220&amp;"|"&amp;F1220&amp;"|"&amp;G1220&amp;"|"&amp;H1220&amp;"|"&amp;I1220&amp;"|"&amp;J1220&amp;"|"&amp;K1220&amp;"|"&amp;L1220&amp;"|"&amp;M1220&amp;"|"&amp;N1220&amp;"|"&amp;O1220&amp;"|"&amp;P1220</f>
        <v/>
      </c>
      <c r="R1220" s="10">
        <f>IF(COUNTIF($Q$2:$Q$1409,Q1220)&gt;1,IF(COUNTIF($Q$2:Q1220,Q1220)=1,"Exact Duplicate - Keep First","Exact Duplicate - Remove"),"Unique")</f>
        <v/>
      </c>
    </row>
    <row r="1221" ht="15" customHeight="1" s="11">
      <c r="A1221" s="10" t="inlineStr">
        <is>
          <t>USR-101220</t>
        </is>
      </c>
      <c r="B1221" s="14" t="n">
        <v>45690</v>
      </c>
      <c r="C1221" s="10" t="inlineStr">
        <is>
          <t>Treatment</t>
        </is>
      </c>
      <c r="D1221" s="10" t="inlineStr">
        <is>
          <t>South</t>
        </is>
      </c>
      <c r="E1221" s="10" t="inlineStr">
        <is>
          <t>Mobile</t>
        </is>
      </c>
      <c r="F1221" s="10" t="inlineStr">
        <is>
          <t>Paid Search</t>
        </is>
      </c>
      <c r="G1221" s="10" t="inlineStr">
        <is>
          <t>Free</t>
        </is>
      </c>
      <c r="H1221" s="10" t="n">
        <v>1</v>
      </c>
      <c r="I1221" s="10" t="n">
        <v>0</v>
      </c>
      <c r="J1221" s="10" t="n">
        <v>0</v>
      </c>
      <c r="K1221" s="10" t="n">
        <v>0</v>
      </c>
      <c r="L1221" s="10" t="n">
        <v>0</v>
      </c>
      <c r="M1221" s="10" t="n">
        <v>0</v>
      </c>
      <c r="N1221" s="10" t="n">
        <v>0</v>
      </c>
      <c r="P1221" s="10" t="n">
        <v>55.9</v>
      </c>
      <c r="Q1221" s="10">
        <f>A1221&amp;"|"&amp;B1221&amp;"|"&amp;C1221&amp;"|"&amp;D1221&amp;"|"&amp;E1221&amp;"|"&amp;F1221&amp;"|"&amp;G1221&amp;"|"&amp;H1221&amp;"|"&amp;I1221&amp;"|"&amp;J1221&amp;"|"&amp;K1221&amp;"|"&amp;L1221&amp;"|"&amp;M1221&amp;"|"&amp;N1221&amp;"|"&amp;O1221&amp;"|"&amp;P1221</f>
        <v/>
      </c>
      <c r="R1221" s="10">
        <f>IF(COUNTIF($Q$2:$Q$1409,Q1221)&gt;1,IF(COUNTIF($Q$2:Q1221,Q1221)=1,"Exact Duplicate - Keep First","Exact Duplicate - Remove"),"Unique")</f>
        <v/>
      </c>
    </row>
    <row r="1222" ht="15" customHeight="1" s="11">
      <c r="A1222" s="10" t="inlineStr">
        <is>
          <t>USR-101221</t>
        </is>
      </c>
      <c r="B1222" s="14" t="n">
        <v>45714</v>
      </c>
      <c r="C1222" s="10" t="inlineStr">
        <is>
          <t>Treatment</t>
        </is>
      </c>
      <c r="D1222" s="10" t="inlineStr">
        <is>
          <t>North</t>
        </is>
      </c>
      <c r="E1222" s="10" t="inlineStr">
        <is>
          <t>Mobile</t>
        </is>
      </c>
      <c r="F1222" s="10" t="inlineStr">
        <is>
          <t>Social</t>
        </is>
      </c>
      <c r="G1222" s="10" t="inlineStr">
        <is>
          <t>Free</t>
        </is>
      </c>
      <c r="H1222" s="10" t="n">
        <v>1</v>
      </c>
      <c r="I1222" s="10" t="n">
        <v>1</v>
      </c>
      <c r="J1222" s="10" t="n">
        <v>1</v>
      </c>
      <c r="K1222" s="10" t="n">
        <v>1</v>
      </c>
      <c r="L1222" s="10" t="n">
        <v>351.43</v>
      </c>
      <c r="M1222" s="10" t="n">
        <v>1</v>
      </c>
      <c r="N1222" s="10" t="n">
        <v>0</v>
      </c>
      <c r="O1222" s="10" t="n">
        <v>6</v>
      </c>
      <c r="P1222" s="10" t="n">
        <v>74.90000000000001</v>
      </c>
      <c r="Q1222" s="10">
        <f>A1222&amp;"|"&amp;B1222&amp;"|"&amp;C1222&amp;"|"&amp;D1222&amp;"|"&amp;E1222&amp;"|"&amp;F1222&amp;"|"&amp;G1222&amp;"|"&amp;H1222&amp;"|"&amp;I1222&amp;"|"&amp;J1222&amp;"|"&amp;K1222&amp;"|"&amp;L1222&amp;"|"&amp;M1222&amp;"|"&amp;N1222&amp;"|"&amp;O1222&amp;"|"&amp;P1222</f>
        <v/>
      </c>
      <c r="R1222" s="10">
        <f>IF(COUNTIF($Q$2:$Q$1409,Q1222)&gt;1,IF(COUNTIF($Q$2:Q1222,Q1222)=1,"Exact Duplicate - Keep First","Exact Duplicate - Remove"),"Unique")</f>
        <v/>
      </c>
    </row>
    <row r="1223" ht="15" customHeight="1" s="11">
      <c r="A1223" s="10" t="inlineStr">
        <is>
          <t>USR-101222</t>
        </is>
      </c>
      <c r="B1223" s="14" t="n">
        <v>45715</v>
      </c>
      <c r="C1223" s="10" t="inlineStr">
        <is>
          <t>Treatment</t>
        </is>
      </c>
      <c r="D1223" s="10" t="inlineStr">
        <is>
          <t>South</t>
        </is>
      </c>
      <c r="E1223" s="10" t="inlineStr">
        <is>
          <t>Desktop</t>
        </is>
      </c>
      <c r="F1223" s="10" t="inlineStr">
        <is>
          <t>Referral</t>
        </is>
      </c>
      <c r="G1223" s="10" t="inlineStr">
        <is>
          <t>Free</t>
        </is>
      </c>
      <c r="H1223" s="10" t="n">
        <v>1</v>
      </c>
      <c r="I1223" s="10" t="n">
        <v>1</v>
      </c>
      <c r="J1223" s="10" t="n">
        <v>1</v>
      </c>
      <c r="K1223" s="10" t="n">
        <v>1</v>
      </c>
      <c r="L1223" s="10" t="n">
        <v>352.42</v>
      </c>
      <c r="M1223" s="10" t="n">
        <v>0</v>
      </c>
      <c r="N1223" s="10" t="n">
        <v>0</v>
      </c>
      <c r="O1223" s="10" t="n">
        <v>4</v>
      </c>
      <c r="P1223" s="10" t="n">
        <v>58.5</v>
      </c>
      <c r="Q1223" s="10">
        <f>A1223&amp;"|"&amp;B1223&amp;"|"&amp;C1223&amp;"|"&amp;D1223&amp;"|"&amp;E1223&amp;"|"&amp;F1223&amp;"|"&amp;G1223&amp;"|"&amp;H1223&amp;"|"&amp;I1223&amp;"|"&amp;J1223&amp;"|"&amp;K1223&amp;"|"&amp;L1223&amp;"|"&amp;M1223&amp;"|"&amp;N1223&amp;"|"&amp;O1223&amp;"|"&amp;P1223</f>
        <v/>
      </c>
      <c r="R1223" s="10">
        <f>IF(COUNTIF($Q$2:$Q$1409,Q1223)&gt;1,IF(COUNTIF($Q$2:Q1223,Q1223)=1,"Exact Duplicate - Keep First","Exact Duplicate - Remove"),"Unique")</f>
        <v/>
      </c>
    </row>
    <row r="1224" ht="15" customHeight="1" s="11">
      <c r="A1224" s="10" t="inlineStr">
        <is>
          <t>USR-101223</t>
        </is>
      </c>
      <c r="B1224" s="14" t="n">
        <v>45725</v>
      </c>
      <c r="C1224" s="10" t="inlineStr">
        <is>
          <t>Treatment</t>
        </is>
      </c>
      <c r="D1224" s="10" t="inlineStr">
        <is>
          <t>West</t>
        </is>
      </c>
      <c r="E1224" s="10" t="inlineStr">
        <is>
          <t>Mobile</t>
        </is>
      </c>
      <c r="F1224" s="10" t="inlineStr">
        <is>
          <t>Organic</t>
        </is>
      </c>
      <c r="G1224" s="10" t="inlineStr">
        <is>
          <t>Free</t>
        </is>
      </c>
      <c r="H1224" s="10" t="n">
        <v>0</v>
      </c>
      <c r="I1224" s="10" t="n">
        <v>0</v>
      </c>
      <c r="J1224" s="10" t="n">
        <v>0</v>
      </c>
      <c r="K1224" s="10" t="n">
        <v>0</v>
      </c>
      <c r="L1224" s="10" t="n">
        <v>0</v>
      </c>
      <c r="M1224" s="10" t="n">
        <v>0</v>
      </c>
      <c r="N1224" s="10" t="n">
        <v>0</v>
      </c>
      <c r="P1224" s="10" t="n">
        <v>63.5</v>
      </c>
      <c r="Q1224" s="10">
        <f>A1224&amp;"|"&amp;B1224&amp;"|"&amp;C1224&amp;"|"&amp;D1224&amp;"|"&amp;E1224&amp;"|"&amp;F1224&amp;"|"&amp;G1224&amp;"|"&amp;H1224&amp;"|"&amp;I1224&amp;"|"&amp;J1224&amp;"|"&amp;K1224&amp;"|"&amp;L1224&amp;"|"&amp;M1224&amp;"|"&amp;N1224&amp;"|"&amp;O1224&amp;"|"&amp;P1224</f>
        <v/>
      </c>
      <c r="R1224" s="10">
        <f>IF(COUNTIF($Q$2:$Q$1409,Q1224)&gt;1,IF(COUNTIF($Q$2:Q1224,Q1224)=1,"Exact Duplicate - Keep First","Exact Duplicate - Remove"),"Unique")</f>
        <v/>
      </c>
    </row>
    <row r="1225" ht="15" customHeight="1" s="11">
      <c r="A1225" s="10" t="inlineStr">
        <is>
          <t>USR-101224</t>
        </is>
      </c>
      <c r="B1225" s="14" t="n">
        <v>45695</v>
      </c>
      <c r="C1225" s="10" t="inlineStr">
        <is>
          <t>Treatment</t>
        </is>
      </c>
      <c r="D1225" s="10" t="inlineStr">
        <is>
          <t>North</t>
        </is>
      </c>
      <c r="E1225" s="10" t="inlineStr">
        <is>
          <t>Mobile</t>
        </is>
      </c>
      <c r="F1225" s="10" t="inlineStr">
        <is>
          <t>Paid Search</t>
        </is>
      </c>
      <c r="G1225" s="10" t="inlineStr">
        <is>
          <t>Basic</t>
        </is>
      </c>
      <c r="H1225" s="10" t="n">
        <v>1</v>
      </c>
      <c r="I1225" s="10" t="n">
        <v>0</v>
      </c>
      <c r="J1225" s="10" t="n">
        <v>0</v>
      </c>
      <c r="K1225" s="10" t="n">
        <v>0</v>
      </c>
      <c r="L1225" s="10" t="n">
        <v>0</v>
      </c>
      <c r="M1225" s="10" t="n">
        <v>1</v>
      </c>
      <c r="N1225" s="10" t="n">
        <v>0</v>
      </c>
      <c r="P1225" s="10" t="n">
        <v>64.8</v>
      </c>
      <c r="Q1225" s="10">
        <f>A1225&amp;"|"&amp;B1225&amp;"|"&amp;C1225&amp;"|"&amp;D1225&amp;"|"&amp;E1225&amp;"|"&amp;F1225&amp;"|"&amp;G1225&amp;"|"&amp;H1225&amp;"|"&amp;I1225&amp;"|"&amp;J1225&amp;"|"&amp;K1225&amp;"|"&amp;L1225&amp;"|"&amp;M1225&amp;"|"&amp;N1225&amp;"|"&amp;O1225&amp;"|"&amp;P1225</f>
        <v/>
      </c>
      <c r="R1225" s="10">
        <f>IF(COUNTIF($Q$2:$Q$1409,Q1225)&gt;1,IF(COUNTIF($Q$2:Q1225,Q1225)=1,"Exact Duplicate - Keep First","Exact Duplicate - Remove"),"Unique")</f>
        <v/>
      </c>
    </row>
    <row r="1226" ht="15" customHeight="1" s="11">
      <c r="A1226" s="10" t="inlineStr">
        <is>
          <t>USR-101225</t>
        </is>
      </c>
      <c r="B1226" s="14" t="n">
        <v>45688</v>
      </c>
      <c r="C1226" s="10" t="inlineStr">
        <is>
          <t>Treatment</t>
        </is>
      </c>
      <c r="D1226" s="10" t="inlineStr">
        <is>
          <t>West</t>
        </is>
      </c>
      <c r="E1226" s="10" t="inlineStr">
        <is>
          <t>Mobile</t>
        </is>
      </c>
      <c r="F1226" s="10" t="inlineStr">
        <is>
          <t>Social</t>
        </is>
      </c>
      <c r="G1226" s="10" t="inlineStr">
        <is>
          <t>Free</t>
        </is>
      </c>
      <c r="H1226" s="10" t="n">
        <v>0</v>
      </c>
      <c r="I1226" s="10" t="n">
        <v>0</v>
      </c>
      <c r="J1226" s="10" t="n">
        <v>0</v>
      </c>
      <c r="K1226" s="10" t="n">
        <v>0</v>
      </c>
      <c r="L1226" s="10" t="n">
        <v>0</v>
      </c>
      <c r="M1226" s="10" t="n">
        <v>0</v>
      </c>
      <c r="N1226" s="10" t="n">
        <v>0</v>
      </c>
      <c r="P1226" s="10" t="n">
        <v>63.3</v>
      </c>
      <c r="Q1226" s="10">
        <f>A1226&amp;"|"&amp;B1226&amp;"|"&amp;C1226&amp;"|"&amp;D1226&amp;"|"&amp;E1226&amp;"|"&amp;F1226&amp;"|"&amp;G1226&amp;"|"&amp;H1226&amp;"|"&amp;I1226&amp;"|"&amp;J1226&amp;"|"&amp;K1226&amp;"|"&amp;L1226&amp;"|"&amp;M1226&amp;"|"&amp;N1226&amp;"|"&amp;O1226&amp;"|"&amp;P1226</f>
        <v/>
      </c>
      <c r="R1226" s="10">
        <f>IF(COUNTIF($Q$2:$Q$1409,Q1226)&gt;1,IF(COUNTIF($Q$2:Q1226,Q1226)=1,"Exact Duplicate - Keep First","Exact Duplicate - Remove"),"Unique")</f>
        <v/>
      </c>
    </row>
    <row r="1227" ht="15" customHeight="1" s="11">
      <c r="A1227" s="10" t="inlineStr">
        <is>
          <t>USR-101226</t>
        </is>
      </c>
      <c r="B1227" s="14" t="n">
        <v>45702</v>
      </c>
      <c r="C1227" s="10" t="inlineStr">
        <is>
          <t>Treatment</t>
        </is>
      </c>
      <c r="D1227" s="10" t="inlineStr">
        <is>
          <t>North</t>
        </is>
      </c>
      <c r="E1227" s="10" t="inlineStr">
        <is>
          <t>Tablet</t>
        </is>
      </c>
      <c r="F1227" s="10" t="inlineStr">
        <is>
          <t>Paid Search</t>
        </is>
      </c>
      <c r="G1227" s="10" t="inlineStr">
        <is>
          <t>Basic</t>
        </is>
      </c>
      <c r="H1227" s="10" t="n">
        <v>1</v>
      </c>
      <c r="I1227" s="10" t="n">
        <v>1</v>
      </c>
      <c r="J1227" s="10" t="n">
        <v>1</v>
      </c>
      <c r="K1227" s="10" t="n">
        <v>1</v>
      </c>
      <c r="L1227" s="10" t="n">
        <v>1074.16</v>
      </c>
      <c r="M1227" s="10" t="n">
        <v>0</v>
      </c>
      <c r="N1227" s="10" t="n">
        <v>0</v>
      </c>
      <c r="O1227" s="10" t="n">
        <v>8</v>
      </c>
      <c r="P1227" s="10" t="n">
        <v>83.7</v>
      </c>
      <c r="Q1227" s="10">
        <f>A1227&amp;"|"&amp;B1227&amp;"|"&amp;C1227&amp;"|"&amp;D1227&amp;"|"&amp;E1227&amp;"|"&amp;F1227&amp;"|"&amp;G1227&amp;"|"&amp;H1227&amp;"|"&amp;I1227&amp;"|"&amp;J1227&amp;"|"&amp;K1227&amp;"|"&amp;L1227&amp;"|"&amp;M1227&amp;"|"&amp;N1227&amp;"|"&amp;O1227&amp;"|"&amp;P1227</f>
        <v/>
      </c>
      <c r="R1227" s="10">
        <f>IF(COUNTIF($Q$2:$Q$1409,Q1227)&gt;1,IF(COUNTIF($Q$2:Q1227,Q1227)=1,"Exact Duplicate - Keep First","Exact Duplicate - Remove"),"Unique")</f>
        <v/>
      </c>
    </row>
    <row r="1228" ht="15" customHeight="1" s="11">
      <c r="A1228" s="10" t="inlineStr">
        <is>
          <t>USR-101227</t>
        </is>
      </c>
      <c r="B1228" s="14" t="n">
        <v>45700</v>
      </c>
      <c r="C1228" s="10" t="inlineStr">
        <is>
          <t>Treatment</t>
        </is>
      </c>
      <c r="D1228" s="10" t="inlineStr">
        <is>
          <t>South</t>
        </is>
      </c>
      <c r="E1228" s="10" t="inlineStr">
        <is>
          <t>Desktop</t>
        </is>
      </c>
      <c r="F1228" s="10" t="inlineStr">
        <is>
          <t>Social</t>
        </is>
      </c>
      <c r="G1228" s="10" t="inlineStr">
        <is>
          <t>Basic</t>
        </is>
      </c>
      <c r="H1228" s="10" t="n">
        <v>0</v>
      </c>
      <c r="I1228" s="10" t="n">
        <v>0</v>
      </c>
      <c r="J1228" s="10" t="n">
        <v>0</v>
      </c>
      <c r="K1228" s="10" t="n">
        <v>0</v>
      </c>
      <c r="L1228" s="10" t="n">
        <v>0</v>
      </c>
      <c r="M1228" s="10" t="n">
        <v>0</v>
      </c>
      <c r="N1228" s="10" t="n">
        <v>0</v>
      </c>
      <c r="P1228" s="10" t="n">
        <v>88.7</v>
      </c>
      <c r="Q1228" s="10">
        <f>A1228&amp;"|"&amp;B1228&amp;"|"&amp;C1228&amp;"|"&amp;D1228&amp;"|"&amp;E1228&amp;"|"&amp;F1228&amp;"|"&amp;G1228&amp;"|"&amp;H1228&amp;"|"&amp;I1228&amp;"|"&amp;J1228&amp;"|"&amp;K1228&amp;"|"&amp;L1228&amp;"|"&amp;M1228&amp;"|"&amp;N1228&amp;"|"&amp;O1228&amp;"|"&amp;P1228</f>
        <v/>
      </c>
      <c r="R1228" s="10">
        <f>IF(COUNTIF($Q$2:$Q$1409,Q1228)&gt;1,IF(COUNTIF($Q$2:Q1228,Q1228)=1,"Exact Duplicate - Keep First","Exact Duplicate - Remove"),"Unique")</f>
        <v/>
      </c>
    </row>
    <row r="1229" ht="15" customHeight="1" s="11">
      <c r="A1229" s="10" t="inlineStr">
        <is>
          <t>USR-101228</t>
        </is>
      </c>
      <c r="B1229" s="14" t="n">
        <v>45739</v>
      </c>
      <c r="C1229" s="10" t="inlineStr">
        <is>
          <t>Treatment</t>
        </is>
      </c>
      <c r="D1229" s="10" t="inlineStr">
        <is>
          <t>East</t>
        </is>
      </c>
      <c r="F1229" s="10" t="inlineStr">
        <is>
          <t>Paid Search</t>
        </is>
      </c>
      <c r="G1229" s="10" t="inlineStr">
        <is>
          <t>Free</t>
        </is>
      </c>
      <c r="H1229" s="10" t="n">
        <v>1</v>
      </c>
      <c r="I1229" s="10" t="n">
        <v>0</v>
      </c>
      <c r="J1229" s="10" t="n">
        <v>0</v>
      </c>
      <c r="K1229" s="10" t="n">
        <v>0</v>
      </c>
      <c r="L1229" s="10" t="n">
        <v>0</v>
      </c>
      <c r="M1229" s="10" t="n">
        <v>1</v>
      </c>
      <c r="N1229" s="10" t="n">
        <v>0</v>
      </c>
      <c r="P1229" s="10" t="n">
        <v>61.5</v>
      </c>
      <c r="Q1229" s="10">
        <f>A1229&amp;"|"&amp;B1229&amp;"|"&amp;C1229&amp;"|"&amp;D1229&amp;"|"&amp;E1229&amp;"|"&amp;F1229&amp;"|"&amp;G1229&amp;"|"&amp;H1229&amp;"|"&amp;I1229&amp;"|"&amp;J1229&amp;"|"&amp;K1229&amp;"|"&amp;L1229&amp;"|"&amp;M1229&amp;"|"&amp;N1229&amp;"|"&amp;O1229&amp;"|"&amp;P1229</f>
        <v/>
      </c>
      <c r="R1229" s="10">
        <f>IF(COUNTIF($Q$2:$Q$1409,Q1229)&gt;1,IF(COUNTIF($Q$2:Q1229,Q1229)=1,"Exact Duplicate - Keep First","Exact Duplicate - Remove"),"Unique")</f>
        <v/>
      </c>
    </row>
    <row r="1230" ht="15" customHeight="1" s="11">
      <c r="A1230" s="10" t="inlineStr">
        <is>
          <t>USR-101229</t>
        </is>
      </c>
      <c r="B1230" s="14" t="n">
        <v>45734</v>
      </c>
      <c r="C1230" s="10" t="inlineStr">
        <is>
          <t>Treatment</t>
        </is>
      </c>
      <c r="D1230" s="10" t="inlineStr">
        <is>
          <t>West</t>
        </is>
      </c>
      <c r="E1230" s="10" t="inlineStr">
        <is>
          <t>Mobile</t>
        </is>
      </c>
      <c r="F1230" s="10" t="inlineStr">
        <is>
          <t>Paid Search</t>
        </is>
      </c>
      <c r="G1230" s="10" t="inlineStr">
        <is>
          <t>Free</t>
        </is>
      </c>
      <c r="H1230" s="10" t="n">
        <v>0</v>
      </c>
      <c r="I1230" s="10" t="n">
        <v>0</v>
      </c>
      <c r="J1230" s="10" t="n">
        <v>0</v>
      </c>
      <c r="K1230" s="10" t="n">
        <v>0</v>
      </c>
      <c r="L1230" s="10" t="n">
        <v>0</v>
      </c>
      <c r="M1230" s="10" t="n">
        <v>0</v>
      </c>
      <c r="N1230" s="10" t="n">
        <v>0</v>
      </c>
      <c r="P1230" s="10" t="n">
        <v>45.3</v>
      </c>
      <c r="Q1230" s="10">
        <f>A1230&amp;"|"&amp;B1230&amp;"|"&amp;C1230&amp;"|"&amp;D1230&amp;"|"&amp;E1230&amp;"|"&amp;F1230&amp;"|"&amp;G1230&amp;"|"&amp;H1230&amp;"|"&amp;I1230&amp;"|"&amp;J1230&amp;"|"&amp;K1230&amp;"|"&amp;L1230&amp;"|"&amp;M1230&amp;"|"&amp;N1230&amp;"|"&amp;O1230&amp;"|"&amp;P1230</f>
        <v/>
      </c>
      <c r="R1230" s="10">
        <f>IF(COUNTIF($Q$2:$Q$1409,Q1230)&gt;1,IF(COUNTIF($Q$2:Q1230,Q1230)=1,"Exact Duplicate - Keep First","Exact Duplicate - Remove"),"Unique")</f>
        <v/>
      </c>
    </row>
    <row r="1231" ht="15" customHeight="1" s="11">
      <c r="A1231" s="10" t="inlineStr">
        <is>
          <t>USR-101230</t>
        </is>
      </c>
      <c r="B1231" s="14" t="n">
        <v>45794</v>
      </c>
      <c r="C1231" s="10" t="inlineStr">
        <is>
          <t>Treatment</t>
        </is>
      </c>
      <c r="D1231" s="10" t="inlineStr">
        <is>
          <t>North</t>
        </is>
      </c>
      <c r="E1231" s="10" t="inlineStr">
        <is>
          <t>Mobile</t>
        </is>
      </c>
      <c r="F1231" s="10" t="inlineStr">
        <is>
          <t>Social</t>
        </is>
      </c>
      <c r="G1231" s="10" t="inlineStr">
        <is>
          <t>Free</t>
        </is>
      </c>
      <c r="H1231" s="10" t="n">
        <v>1</v>
      </c>
      <c r="I1231" s="10" t="n">
        <v>0</v>
      </c>
      <c r="J1231" s="10" t="n">
        <v>0</v>
      </c>
      <c r="K1231" s="10" t="n">
        <v>0</v>
      </c>
      <c r="L1231" s="10" t="n">
        <v>0</v>
      </c>
      <c r="M1231" s="10" t="n">
        <v>0</v>
      </c>
      <c r="N1231" s="10" t="n">
        <v>0</v>
      </c>
      <c r="P1231" s="10" t="n">
        <v>37.3</v>
      </c>
      <c r="Q1231" s="10">
        <f>A1231&amp;"|"&amp;B1231&amp;"|"&amp;C1231&amp;"|"&amp;D1231&amp;"|"&amp;E1231&amp;"|"&amp;F1231&amp;"|"&amp;G1231&amp;"|"&amp;H1231&amp;"|"&amp;I1231&amp;"|"&amp;J1231&amp;"|"&amp;K1231&amp;"|"&amp;L1231&amp;"|"&amp;M1231&amp;"|"&amp;N1231&amp;"|"&amp;O1231&amp;"|"&amp;P1231</f>
        <v/>
      </c>
      <c r="R1231" s="10">
        <f>IF(COUNTIF($Q$2:$Q$1409,Q1231)&gt;1,IF(COUNTIF($Q$2:Q1231,Q1231)=1,"Exact Duplicate - Keep First","Exact Duplicate - Remove"),"Unique")</f>
        <v/>
      </c>
    </row>
    <row r="1232" ht="15" customHeight="1" s="11">
      <c r="A1232" s="10" t="inlineStr">
        <is>
          <t>USR-101231</t>
        </is>
      </c>
      <c r="B1232" s="14" t="n">
        <v>45742</v>
      </c>
      <c r="C1232" s="10" t="inlineStr">
        <is>
          <t>Treatment</t>
        </is>
      </c>
      <c r="D1232" s="10" t="inlineStr">
        <is>
          <t>West</t>
        </is>
      </c>
      <c r="E1232" s="10" t="inlineStr">
        <is>
          <t>Desktop</t>
        </is>
      </c>
      <c r="F1232" s="10" t="inlineStr">
        <is>
          <t>Social</t>
        </is>
      </c>
      <c r="G1232" s="10" t="inlineStr">
        <is>
          <t>Premium</t>
        </is>
      </c>
      <c r="H1232" s="10" t="n">
        <v>1</v>
      </c>
      <c r="I1232" s="10" t="n">
        <v>0</v>
      </c>
      <c r="J1232" s="10" t="n">
        <v>0</v>
      </c>
      <c r="K1232" s="10" t="n">
        <v>0</v>
      </c>
      <c r="L1232" s="10" t="n">
        <v>0</v>
      </c>
      <c r="M1232" s="10" t="n">
        <v>1</v>
      </c>
      <c r="N1232" s="10" t="n">
        <v>0</v>
      </c>
      <c r="P1232" s="10" t="n">
        <v>76.09999999999999</v>
      </c>
      <c r="Q1232" s="10">
        <f>A1232&amp;"|"&amp;B1232&amp;"|"&amp;C1232&amp;"|"&amp;D1232&amp;"|"&amp;E1232&amp;"|"&amp;F1232&amp;"|"&amp;G1232&amp;"|"&amp;H1232&amp;"|"&amp;I1232&amp;"|"&amp;J1232&amp;"|"&amp;K1232&amp;"|"&amp;L1232&amp;"|"&amp;M1232&amp;"|"&amp;N1232&amp;"|"&amp;O1232&amp;"|"&amp;P1232</f>
        <v/>
      </c>
      <c r="R1232" s="10">
        <f>IF(COUNTIF($Q$2:$Q$1409,Q1232)&gt;1,IF(COUNTIF($Q$2:Q1232,Q1232)=1,"Exact Duplicate - Keep First","Exact Duplicate - Remove"),"Unique")</f>
        <v/>
      </c>
    </row>
    <row r="1233" ht="15" customHeight="1" s="11">
      <c r="A1233" s="10" t="inlineStr">
        <is>
          <t>USR-101232</t>
        </is>
      </c>
      <c r="B1233" s="14" t="n">
        <v>45746</v>
      </c>
      <c r="C1233" s="10" t="inlineStr">
        <is>
          <t>Treatment</t>
        </is>
      </c>
      <c r="D1233" s="10" t="inlineStr">
        <is>
          <t>East</t>
        </is>
      </c>
      <c r="E1233" s="10" t="inlineStr">
        <is>
          <t>Mobile</t>
        </is>
      </c>
      <c r="F1233" s="10" t="inlineStr">
        <is>
          <t>Organic</t>
        </is>
      </c>
      <c r="G1233" s="10" t="inlineStr">
        <is>
          <t>Free</t>
        </is>
      </c>
      <c r="H1233" s="10" t="n">
        <v>1</v>
      </c>
      <c r="I1233" s="10" t="n">
        <v>1</v>
      </c>
      <c r="J1233" s="10" t="n">
        <v>1</v>
      </c>
      <c r="K1233" s="10" t="n">
        <v>0</v>
      </c>
      <c r="L1233" s="10" t="n">
        <v>0</v>
      </c>
      <c r="M1233" s="10" t="n">
        <v>1</v>
      </c>
      <c r="N1233" s="10" t="n">
        <v>0</v>
      </c>
      <c r="P1233" s="10" t="n">
        <v>72.5</v>
      </c>
      <c r="Q1233" s="10">
        <f>A1233&amp;"|"&amp;B1233&amp;"|"&amp;C1233&amp;"|"&amp;D1233&amp;"|"&amp;E1233&amp;"|"&amp;F1233&amp;"|"&amp;G1233&amp;"|"&amp;H1233&amp;"|"&amp;I1233&amp;"|"&amp;J1233&amp;"|"&amp;K1233&amp;"|"&amp;L1233&amp;"|"&amp;M1233&amp;"|"&amp;N1233&amp;"|"&amp;O1233&amp;"|"&amp;P1233</f>
        <v/>
      </c>
      <c r="R1233" s="10">
        <f>IF(COUNTIF($Q$2:$Q$1409,Q1233)&gt;1,IF(COUNTIF($Q$2:Q1233,Q1233)=1,"Exact Duplicate - Keep First","Exact Duplicate - Remove"),"Unique")</f>
        <v/>
      </c>
    </row>
    <row r="1234" ht="15" customHeight="1" s="11">
      <c r="A1234" s="10" t="inlineStr">
        <is>
          <t>USR-101233</t>
        </is>
      </c>
      <c r="B1234" s="14" t="n">
        <v>45713</v>
      </c>
      <c r="C1234" s="10" t="inlineStr">
        <is>
          <t>Treatment</t>
        </is>
      </c>
      <c r="D1234" s="10" t="inlineStr">
        <is>
          <t>East</t>
        </is>
      </c>
      <c r="E1234" s="10" t="inlineStr">
        <is>
          <t>Desktop</t>
        </is>
      </c>
      <c r="F1234" s="10" t="inlineStr">
        <is>
          <t>Organic</t>
        </is>
      </c>
      <c r="G1234" s="10" t="inlineStr">
        <is>
          <t>Free</t>
        </is>
      </c>
      <c r="H1234" s="10" t="n">
        <v>1</v>
      </c>
      <c r="I1234" s="10" t="n">
        <v>0</v>
      </c>
      <c r="J1234" s="10" t="n">
        <v>0</v>
      </c>
      <c r="K1234" s="10" t="n">
        <v>0</v>
      </c>
      <c r="L1234" s="10" t="n">
        <v>0</v>
      </c>
      <c r="M1234" s="10" t="n">
        <v>0</v>
      </c>
      <c r="N1234" s="10" t="n">
        <v>0</v>
      </c>
      <c r="P1234" s="10" t="n">
        <v>62.3</v>
      </c>
      <c r="Q1234" s="10">
        <f>A1234&amp;"|"&amp;B1234&amp;"|"&amp;C1234&amp;"|"&amp;D1234&amp;"|"&amp;E1234&amp;"|"&amp;F1234&amp;"|"&amp;G1234&amp;"|"&amp;H1234&amp;"|"&amp;I1234&amp;"|"&amp;J1234&amp;"|"&amp;K1234&amp;"|"&amp;L1234&amp;"|"&amp;M1234&amp;"|"&amp;N1234&amp;"|"&amp;O1234&amp;"|"&amp;P1234</f>
        <v/>
      </c>
      <c r="R1234" s="10">
        <f>IF(COUNTIF($Q$2:$Q$1409,Q1234)&gt;1,IF(COUNTIF($Q$2:Q1234,Q1234)=1,"Exact Duplicate - Keep First","Exact Duplicate - Remove"),"Unique")</f>
        <v/>
      </c>
    </row>
    <row r="1235" ht="15" customHeight="1" s="11">
      <c r="A1235" s="10" t="inlineStr">
        <is>
          <t>USR-101234</t>
        </is>
      </c>
      <c r="B1235" s="14" t="n">
        <v>45717</v>
      </c>
      <c r="C1235" s="10" t="inlineStr">
        <is>
          <t>Treatment</t>
        </is>
      </c>
      <c r="D1235" s="10" t="inlineStr">
        <is>
          <t>East</t>
        </is>
      </c>
      <c r="E1235" s="10" t="inlineStr">
        <is>
          <t>Desktop</t>
        </is>
      </c>
      <c r="F1235" s="10" t="inlineStr">
        <is>
          <t>Social</t>
        </is>
      </c>
      <c r="G1235" s="10" t="inlineStr">
        <is>
          <t>Free</t>
        </is>
      </c>
      <c r="H1235" s="10" t="n">
        <v>0</v>
      </c>
      <c r="I1235" s="10" t="n">
        <v>0</v>
      </c>
      <c r="J1235" s="10" t="n">
        <v>0</v>
      </c>
      <c r="K1235" s="10" t="n">
        <v>0</v>
      </c>
      <c r="L1235" s="10" t="n">
        <v>0</v>
      </c>
      <c r="M1235" s="10" t="n">
        <v>0</v>
      </c>
      <c r="N1235" s="10" t="n">
        <v>0</v>
      </c>
      <c r="P1235" s="10" t="n">
        <v>62.7</v>
      </c>
      <c r="Q1235" s="10">
        <f>A1235&amp;"|"&amp;B1235&amp;"|"&amp;C1235&amp;"|"&amp;D1235&amp;"|"&amp;E1235&amp;"|"&amp;F1235&amp;"|"&amp;G1235&amp;"|"&amp;H1235&amp;"|"&amp;I1235&amp;"|"&amp;J1235&amp;"|"&amp;K1235&amp;"|"&amp;L1235&amp;"|"&amp;M1235&amp;"|"&amp;N1235&amp;"|"&amp;O1235&amp;"|"&amp;P1235</f>
        <v/>
      </c>
      <c r="R1235" s="10">
        <f>IF(COUNTIF($Q$2:$Q$1409,Q1235)&gt;1,IF(COUNTIF($Q$2:Q1235,Q1235)=1,"Exact Duplicate - Keep First","Exact Duplicate - Remove"),"Unique")</f>
        <v/>
      </c>
    </row>
    <row r="1236" ht="15" customHeight="1" s="11">
      <c r="A1236" s="10" t="inlineStr">
        <is>
          <t>USR-101235</t>
        </is>
      </c>
      <c r="B1236" s="14" t="n">
        <v>45804</v>
      </c>
      <c r="C1236" s="10" t="inlineStr">
        <is>
          <t>Treatment</t>
        </is>
      </c>
      <c r="D1236" s="10" t="inlineStr">
        <is>
          <t>North</t>
        </is>
      </c>
      <c r="E1236" s="10" t="inlineStr">
        <is>
          <t>Mobile</t>
        </is>
      </c>
      <c r="F1236" s="10" t="inlineStr">
        <is>
          <t>Paid Search</t>
        </is>
      </c>
      <c r="G1236" s="10" t="inlineStr">
        <is>
          <t>Basic</t>
        </is>
      </c>
      <c r="H1236" s="10" t="n">
        <v>0</v>
      </c>
      <c r="I1236" s="10" t="n">
        <v>0</v>
      </c>
      <c r="J1236" s="10" t="n">
        <v>0</v>
      </c>
      <c r="K1236" s="10" t="n">
        <v>0</v>
      </c>
      <c r="L1236" s="10" t="n">
        <v>0</v>
      </c>
      <c r="M1236" s="10" t="n">
        <v>0</v>
      </c>
      <c r="N1236" s="10" t="n">
        <v>0</v>
      </c>
      <c r="P1236" s="10" t="n">
        <v>82.40000000000001</v>
      </c>
      <c r="Q1236" s="10">
        <f>A1236&amp;"|"&amp;B1236&amp;"|"&amp;C1236&amp;"|"&amp;D1236&amp;"|"&amp;E1236&amp;"|"&amp;F1236&amp;"|"&amp;G1236&amp;"|"&amp;H1236&amp;"|"&amp;I1236&amp;"|"&amp;J1236&amp;"|"&amp;K1236&amp;"|"&amp;L1236&amp;"|"&amp;M1236&amp;"|"&amp;N1236&amp;"|"&amp;O1236&amp;"|"&amp;P1236</f>
        <v/>
      </c>
      <c r="R1236" s="10">
        <f>IF(COUNTIF($Q$2:$Q$1409,Q1236)&gt;1,IF(COUNTIF($Q$2:Q1236,Q1236)=1,"Exact Duplicate - Keep First","Exact Duplicate - Remove"),"Unique")</f>
        <v/>
      </c>
    </row>
    <row r="1237" ht="15" customHeight="1" s="11">
      <c r="A1237" s="10" t="inlineStr">
        <is>
          <t>USR-101236</t>
        </is>
      </c>
      <c r="B1237" s="14" t="n">
        <v>45693</v>
      </c>
      <c r="C1237" s="10" t="inlineStr">
        <is>
          <t>Treatment</t>
        </is>
      </c>
      <c r="D1237" s="10" t="inlineStr">
        <is>
          <t>West</t>
        </is>
      </c>
      <c r="E1237" s="10" t="inlineStr">
        <is>
          <t>Mobile</t>
        </is>
      </c>
      <c r="G1237" s="10" t="inlineStr">
        <is>
          <t>Premium</t>
        </is>
      </c>
      <c r="H1237" s="10" t="n">
        <v>1</v>
      </c>
      <c r="I1237" s="10" t="n">
        <v>0</v>
      </c>
      <c r="J1237" s="10" t="n">
        <v>0</v>
      </c>
      <c r="K1237" s="10" t="n">
        <v>0</v>
      </c>
      <c r="L1237" s="10" t="n">
        <v>0</v>
      </c>
      <c r="M1237" s="10" t="n">
        <v>0</v>
      </c>
      <c r="N1237" s="10" t="n">
        <v>0</v>
      </c>
      <c r="P1237" s="10" t="n">
        <v>78.90000000000001</v>
      </c>
      <c r="Q1237" s="10">
        <f>A1237&amp;"|"&amp;B1237&amp;"|"&amp;C1237&amp;"|"&amp;D1237&amp;"|"&amp;E1237&amp;"|"&amp;F1237&amp;"|"&amp;G1237&amp;"|"&amp;H1237&amp;"|"&amp;I1237&amp;"|"&amp;J1237&amp;"|"&amp;K1237&amp;"|"&amp;L1237&amp;"|"&amp;M1237&amp;"|"&amp;N1237&amp;"|"&amp;O1237&amp;"|"&amp;P1237</f>
        <v/>
      </c>
      <c r="R1237" s="10">
        <f>IF(COUNTIF($Q$2:$Q$1409,Q1237)&gt;1,IF(COUNTIF($Q$2:Q1237,Q1237)=1,"Exact Duplicate - Keep First","Exact Duplicate - Remove"),"Unique")</f>
        <v/>
      </c>
    </row>
    <row r="1238" ht="15" customHeight="1" s="11">
      <c r="A1238" s="10" t="inlineStr">
        <is>
          <t>USR-101237</t>
        </is>
      </c>
      <c r="B1238" s="14" t="n">
        <v>45682</v>
      </c>
      <c r="C1238" s="10" t="inlineStr">
        <is>
          <t>Treatment</t>
        </is>
      </c>
      <c r="D1238" s="10" t="inlineStr">
        <is>
          <t>West</t>
        </is>
      </c>
      <c r="E1238" s="10" t="inlineStr">
        <is>
          <t>Desktop</t>
        </is>
      </c>
      <c r="F1238" s="10" t="inlineStr">
        <is>
          <t>Email</t>
        </is>
      </c>
      <c r="G1238" s="10" t="inlineStr">
        <is>
          <t>Free</t>
        </is>
      </c>
      <c r="H1238" s="10" t="n">
        <v>1</v>
      </c>
      <c r="I1238" s="10" t="n">
        <v>1</v>
      </c>
      <c r="J1238" s="10" t="n">
        <v>1</v>
      </c>
      <c r="K1238" s="10" t="n">
        <v>1</v>
      </c>
      <c r="L1238" s="10" t="n">
        <v>618.91</v>
      </c>
      <c r="M1238" s="10" t="n">
        <v>0</v>
      </c>
      <c r="N1238" s="10" t="n">
        <v>0</v>
      </c>
      <c r="O1238" s="10" t="n">
        <v>4</v>
      </c>
      <c r="P1238" s="10" t="n">
        <v>67.8</v>
      </c>
      <c r="Q1238" s="10">
        <f>A1238&amp;"|"&amp;B1238&amp;"|"&amp;C1238&amp;"|"&amp;D1238&amp;"|"&amp;E1238&amp;"|"&amp;F1238&amp;"|"&amp;G1238&amp;"|"&amp;H1238&amp;"|"&amp;I1238&amp;"|"&amp;J1238&amp;"|"&amp;K1238&amp;"|"&amp;L1238&amp;"|"&amp;M1238&amp;"|"&amp;N1238&amp;"|"&amp;O1238&amp;"|"&amp;P1238</f>
        <v/>
      </c>
      <c r="R1238" s="10">
        <f>IF(COUNTIF($Q$2:$Q$1409,Q1238)&gt;1,IF(COUNTIF($Q$2:Q1238,Q1238)=1,"Exact Duplicate - Keep First","Exact Duplicate - Remove"),"Unique")</f>
        <v/>
      </c>
    </row>
    <row r="1239" ht="15" customHeight="1" s="11">
      <c r="A1239" s="10" t="inlineStr">
        <is>
          <t>USR-101238</t>
        </is>
      </c>
      <c r="B1239" s="14" t="n">
        <v>45757</v>
      </c>
      <c r="C1239" s="10" t="inlineStr">
        <is>
          <t>Treatment</t>
        </is>
      </c>
      <c r="D1239" s="10" t="inlineStr">
        <is>
          <t>East</t>
        </is>
      </c>
      <c r="E1239" s="10" t="inlineStr">
        <is>
          <t>Mobile</t>
        </is>
      </c>
      <c r="F1239" s="10" t="inlineStr">
        <is>
          <t>Organic</t>
        </is>
      </c>
      <c r="G1239" s="10" t="inlineStr">
        <is>
          <t>Premium</t>
        </is>
      </c>
      <c r="H1239" s="10" t="n">
        <v>1</v>
      </c>
      <c r="I1239" s="10" t="n">
        <v>0</v>
      </c>
      <c r="J1239" s="10" t="n">
        <v>0</v>
      </c>
      <c r="K1239" s="10" t="n">
        <v>0</v>
      </c>
      <c r="L1239" s="10" t="n">
        <v>0</v>
      </c>
      <c r="M1239" s="10" t="n">
        <v>0</v>
      </c>
      <c r="N1239" s="10" t="n">
        <v>0</v>
      </c>
      <c r="P1239" s="10" t="n">
        <v>68.8</v>
      </c>
      <c r="Q1239" s="10">
        <f>A1239&amp;"|"&amp;B1239&amp;"|"&amp;C1239&amp;"|"&amp;D1239&amp;"|"&amp;E1239&amp;"|"&amp;F1239&amp;"|"&amp;G1239&amp;"|"&amp;H1239&amp;"|"&amp;I1239&amp;"|"&amp;J1239&amp;"|"&amp;K1239&amp;"|"&amp;L1239&amp;"|"&amp;M1239&amp;"|"&amp;N1239&amp;"|"&amp;O1239&amp;"|"&amp;P1239</f>
        <v/>
      </c>
      <c r="R1239" s="10">
        <f>IF(COUNTIF($Q$2:$Q$1409,Q1239)&gt;1,IF(COUNTIF($Q$2:Q1239,Q1239)=1,"Exact Duplicate - Keep First","Exact Duplicate - Remove"),"Unique")</f>
        <v/>
      </c>
    </row>
    <row r="1240" ht="15" customHeight="1" s="11">
      <c r="A1240" s="10" t="inlineStr">
        <is>
          <t>USR-101239</t>
        </is>
      </c>
      <c r="B1240" s="14" t="n">
        <v>45667</v>
      </c>
      <c r="C1240" s="10" t="inlineStr">
        <is>
          <t>Treatment</t>
        </is>
      </c>
      <c r="D1240" s="10" t="inlineStr">
        <is>
          <t>East</t>
        </is>
      </c>
      <c r="E1240" s="10" t="inlineStr">
        <is>
          <t>Mobile</t>
        </is>
      </c>
      <c r="F1240" s="10" t="inlineStr">
        <is>
          <t>Organic</t>
        </is>
      </c>
      <c r="G1240" s="10" t="inlineStr">
        <is>
          <t>Premium</t>
        </is>
      </c>
      <c r="H1240" s="10" t="n">
        <v>1</v>
      </c>
      <c r="I1240" s="10" t="n">
        <v>0</v>
      </c>
      <c r="J1240" s="10" t="n">
        <v>0</v>
      </c>
      <c r="K1240" s="10" t="n">
        <v>0</v>
      </c>
      <c r="L1240" s="10" t="n">
        <v>0</v>
      </c>
      <c r="M1240" s="10" t="n">
        <v>0</v>
      </c>
      <c r="N1240" s="10" t="n">
        <v>0</v>
      </c>
      <c r="P1240" s="10" t="n">
        <v>67.7</v>
      </c>
      <c r="Q1240" s="10">
        <f>A1240&amp;"|"&amp;B1240&amp;"|"&amp;C1240&amp;"|"&amp;D1240&amp;"|"&amp;E1240&amp;"|"&amp;F1240&amp;"|"&amp;G1240&amp;"|"&amp;H1240&amp;"|"&amp;I1240&amp;"|"&amp;J1240&amp;"|"&amp;K1240&amp;"|"&amp;L1240&amp;"|"&amp;M1240&amp;"|"&amp;N1240&amp;"|"&amp;O1240&amp;"|"&amp;P1240</f>
        <v/>
      </c>
      <c r="R1240" s="10">
        <f>IF(COUNTIF($Q$2:$Q$1409,Q1240)&gt;1,IF(COUNTIF($Q$2:Q1240,Q1240)=1,"Exact Duplicate - Keep First","Exact Duplicate - Remove"),"Unique")</f>
        <v/>
      </c>
    </row>
    <row r="1241" ht="15" customHeight="1" s="11">
      <c r="A1241" s="10" t="inlineStr">
        <is>
          <t>USR-101240</t>
        </is>
      </c>
      <c r="B1241" s="14" t="n">
        <v>45711</v>
      </c>
      <c r="C1241" s="10" t="inlineStr">
        <is>
          <t>Treatment</t>
        </is>
      </c>
      <c r="D1241" s="10" t="inlineStr">
        <is>
          <t>East</t>
        </is>
      </c>
      <c r="E1241" s="10" t="inlineStr">
        <is>
          <t>Mobile</t>
        </is>
      </c>
      <c r="G1241" s="10" t="inlineStr">
        <is>
          <t>Free</t>
        </is>
      </c>
      <c r="H1241" s="10" t="n">
        <v>0</v>
      </c>
      <c r="I1241" s="10" t="n">
        <v>0</v>
      </c>
      <c r="J1241" s="10" t="n">
        <v>0</v>
      </c>
      <c r="K1241" s="10" t="n">
        <v>0</v>
      </c>
      <c r="L1241" s="10" t="n">
        <v>0</v>
      </c>
      <c r="M1241" s="10" t="n">
        <v>0</v>
      </c>
      <c r="N1241" s="10" t="n">
        <v>0</v>
      </c>
      <c r="P1241" s="10" t="n">
        <v>88</v>
      </c>
      <c r="Q1241" s="10">
        <f>A1241&amp;"|"&amp;B1241&amp;"|"&amp;C1241&amp;"|"&amp;D1241&amp;"|"&amp;E1241&amp;"|"&amp;F1241&amp;"|"&amp;G1241&amp;"|"&amp;H1241&amp;"|"&amp;I1241&amp;"|"&amp;J1241&amp;"|"&amp;K1241&amp;"|"&amp;L1241&amp;"|"&amp;M1241&amp;"|"&amp;N1241&amp;"|"&amp;O1241&amp;"|"&amp;P1241</f>
        <v/>
      </c>
      <c r="R1241" s="10">
        <f>IF(COUNTIF($Q$2:$Q$1409,Q1241)&gt;1,IF(COUNTIF($Q$2:Q1241,Q1241)=1,"Exact Duplicate - Keep First","Exact Duplicate - Remove"),"Unique")</f>
        <v/>
      </c>
    </row>
    <row r="1242" ht="15" customHeight="1" s="11">
      <c r="A1242" s="10" t="inlineStr">
        <is>
          <t>USR-101241</t>
        </is>
      </c>
      <c r="B1242" s="14" t="n">
        <v>45800</v>
      </c>
      <c r="C1242" s="10" t="inlineStr">
        <is>
          <t>Treatment</t>
        </is>
      </c>
      <c r="D1242" s="10" t="inlineStr">
        <is>
          <t>West</t>
        </is>
      </c>
      <c r="E1242" s="10" t="inlineStr">
        <is>
          <t>Desktop</t>
        </is>
      </c>
      <c r="F1242" s="10" t="inlineStr">
        <is>
          <t>Organic</t>
        </is>
      </c>
      <c r="G1242" s="10" t="inlineStr">
        <is>
          <t>Basic</t>
        </is>
      </c>
      <c r="H1242" s="10" t="n">
        <v>1</v>
      </c>
      <c r="I1242" s="10" t="n">
        <v>1</v>
      </c>
      <c r="J1242" s="10" t="n">
        <v>0</v>
      </c>
      <c r="K1242" s="10" t="n">
        <v>0</v>
      </c>
      <c r="L1242" s="10" t="n">
        <v>0</v>
      </c>
      <c r="M1242" s="10" t="n">
        <v>0</v>
      </c>
      <c r="N1242" s="10" t="n">
        <v>0</v>
      </c>
      <c r="P1242" s="10" t="n">
        <v>80.09999999999999</v>
      </c>
      <c r="Q1242" s="10">
        <f>A1242&amp;"|"&amp;B1242&amp;"|"&amp;C1242&amp;"|"&amp;D1242&amp;"|"&amp;E1242&amp;"|"&amp;F1242&amp;"|"&amp;G1242&amp;"|"&amp;H1242&amp;"|"&amp;I1242&amp;"|"&amp;J1242&amp;"|"&amp;K1242&amp;"|"&amp;L1242&amp;"|"&amp;M1242&amp;"|"&amp;N1242&amp;"|"&amp;O1242&amp;"|"&amp;P1242</f>
        <v/>
      </c>
      <c r="R1242" s="10">
        <f>IF(COUNTIF($Q$2:$Q$1409,Q1242)&gt;1,IF(COUNTIF($Q$2:Q1242,Q1242)=1,"Exact Duplicate - Keep First","Exact Duplicate - Remove"),"Unique")</f>
        <v/>
      </c>
    </row>
    <row r="1243" ht="15" customHeight="1" s="11">
      <c r="A1243" s="10" t="inlineStr">
        <is>
          <t>USR-101242</t>
        </is>
      </c>
      <c r="B1243" s="14" t="n">
        <v>45724</v>
      </c>
      <c r="C1243" s="10" t="inlineStr">
        <is>
          <t>Treatment</t>
        </is>
      </c>
      <c r="D1243" s="10" t="inlineStr">
        <is>
          <t>North</t>
        </is>
      </c>
      <c r="E1243" s="10" t="inlineStr">
        <is>
          <t>Tablet</t>
        </is>
      </c>
      <c r="F1243" s="10" t="inlineStr">
        <is>
          <t>Email</t>
        </is>
      </c>
      <c r="G1243" s="10" t="inlineStr">
        <is>
          <t>Basic</t>
        </is>
      </c>
      <c r="H1243" s="10" t="n">
        <v>0</v>
      </c>
      <c r="I1243" s="10" t="n">
        <v>0</v>
      </c>
      <c r="J1243" s="10" t="n">
        <v>0</v>
      </c>
      <c r="K1243" s="10" t="n">
        <v>0</v>
      </c>
      <c r="L1243" s="10" t="n">
        <v>0</v>
      </c>
      <c r="M1243" s="10" t="n">
        <v>1</v>
      </c>
      <c r="N1243" s="10" t="n">
        <v>0</v>
      </c>
      <c r="P1243" s="10" t="n">
        <v>48.2</v>
      </c>
      <c r="Q1243" s="10">
        <f>A1243&amp;"|"&amp;B1243&amp;"|"&amp;C1243&amp;"|"&amp;D1243&amp;"|"&amp;E1243&amp;"|"&amp;F1243&amp;"|"&amp;G1243&amp;"|"&amp;H1243&amp;"|"&amp;I1243&amp;"|"&amp;J1243&amp;"|"&amp;K1243&amp;"|"&amp;L1243&amp;"|"&amp;M1243&amp;"|"&amp;N1243&amp;"|"&amp;O1243&amp;"|"&amp;P1243</f>
        <v/>
      </c>
      <c r="R1243" s="10">
        <f>IF(COUNTIF($Q$2:$Q$1409,Q1243)&gt;1,IF(COUNTIF($Q$2:Q1243,Q1243)=1,"Exact Duplicate - Keep First","Exact Duplicate - Remove"),"Unique")</f>
        <v/>
      </c>
    </row>
    <row r="1244" ht="15" customHeight="1" s="11">
      <c r="A1244" s="10" t="inlineStr">
        <is>
          <t>USR-101243</t>
        </is>
      </c>
      <c r="B1244" s="14" t="n">
        <v>45798</v>
      </c>
      <c r="C1244" s="10" t="inlineStr">
        <is>
          <t>Treatment</t>
        </is>
      </c>
      <c r="D1244" s="10" t="inlineStr">
        <is>
          <t>East</t>
        </is>
      </c>
      <c r="E1244" s="10" t="inlineStr">
        <is>
          <t>Mobile</t>
        </is>
      </c>
      <c r="F1244" s="10" t="inlineStr">
        <is>
          <t>Organic</t>
        </is>
      </c>
      <c r="G1244" s="10" t="inlineStr">
        <is>
          <t>Basic</t>
        </is>
      </c>
      <c r="H1244" s="10" t="n">
        <v>1</v>
      </c>
      <c r="I1244" s="10" t="n">
        <v>0</v>
      </c>
      <c r="J1244" s="10" t="n">
        <v>0</v>
      </c>
      <c r="K1244" s="10" t="n">
        <v>0</v>
      </c>
      <c r="L1244" s="10" t="n">
        <v>0</v>
      </c>
      <c r="M1244" s="10" t="n">
        <v>0</v>
      </c>
      <c r="N1244" s="10" t="n">
        <v>0</v>
      </c>
      <c r="P1244" s="10" t="n">
        <v>52.7</v>
      </c>
      <c r="Q1244" s="10">
        <f>A1244&amp;"|"&amp;B1244&amp;"|"&amp;C1244&amp;"|"&amp;D1244&amp;"|"&amp;E1244&amp;"|"&amp;F1244&amp;"|"&amp;G1244&amp;"|"&amp;H1244&amp;"|"&amp;I1244&amp;"|"&amp;J1244&amp;"|"&amp;K1244&amp;"|"&amp;L1244&amp;"|"&amp;M1244&amp;"|"&amp;N1244&amp;"|"&amp;O1244&amp;"|"&amp;P1244</f>
        <v/>
      </c>
      <c r="R1244" s="10">
        <f>IF(COUNTIF($Q$2:$Q$1409,Q1244)&gt;1,IF(COUNTIF($Q$2:Q1244,Q1244)=1,"Exact Duplicate - Keep First","Exact Duplicate - Remove"),"Unique")</f>
        <v/>
      </c>
    </row>
    <row r="1245" ht="15" customHeight="1" s="11">
      <c r="A1245" s="10" t="inlineStr">
        <is>
          <t>USR-101244</t>
        </is>
      </c>
      <c r="B1245" s="14" t="n">
        <v>45769</v>
      </c>
      <c r="C1245" s="10" t="inlineStr">
        <is>
          <t>Treatment</t>
        </is>
      </c>
      <c r="D1245" s="10" t="inlineStr">
        <is>
          <t>North</t>
        </is>
      </c>
      <c r="E1245" s="10" t="inlineStr">
        <is>
          <t>Mobile</t>
        </is>
      </c>
      <c r="F1245" s="10" t="inlineStr">
        <is>
          <t>Email</t>
        </is>
      </c>
      <c r="G1245" s="10" t="inlineStr">
        <is>
          <t>Basic</t>
        </is>
      </c>
      <c r="H1245" s="10" t="n">
        <v>1</v>
      </c>
      <c r="I1245" s="10" t="n">
        <v>1</v>
      </c>
      <c r="J1245" s="10" t="n">
        <v>0</v>
      </c>
      <c r="K1245" s="10" t="n">
        <v>0</v>
      </c>
      <c r="L1245" s="10" t="n">
        <v>0</v>
      </c>
      <c r="M1245" s="10" t="n">
        <v>0</v>
      </c>
      <c r="N1245" s="10" t="n">
        <v>0</v>
      </c>
      <c r="P1245" s="10" t="n">
        <v>59.9</v>
      </c>
      <c r="Q1245" s="10">
        <f>A1245&amp;"|"&amp;B1245&amp;"|"&amp;C1245&amp;"|"&amp;D1245&amp;"|"&amp;E1245&amp;"|"&amp;F1245&amp;"|"&amp;G1245&amp;"|"&amp;H1245&amp;"|"&amp;I1245&amp;"|"&amp;J1245&amp;"|"&amp;K1245&amp;"|"&amp;L1245&amp;"|"&amp;M1245&amp;"|"&amp;N1245&amp;"|"&amp;O1245&amp;"|"&amp;P1245</f>
        <v/>
      </c>
      <c r="R1245" s="10">
        <f>IF(COUNTIF($Q$2:$Q$1409,Q1245)&gt;1,IF(COUNTIF($Q$2:Q1245,Q1245)=1,"Exact Duplicate - Keep First","Exact Duplicate - Remove"),"Unique")</f>
        <v/>
      </c>
    </row>
    <row r="1246" ht="15" customHeight="1" s="11">
      <c r="A1246" s="10" t="inlineStr">
        <is>
          <t>USR-101245</t>
        </is>
      </c>
      <c r="B1246" s="14" t="n">
        <v>45763</v>
      </c>
      <c r="C1246" s="10" t="inlineStr">
        <is>
          <t>Treatment</t>
        </is>
      </c>
      <c r="D1246" s="10" t="inlineStr">
        <is>
          <t>North</t>
        </is>
      </c>
      <c r="E1246" s="10" t="inlineStr">
        <is>
          <t>Mobile</t>
        </is>
      </c>
      <c r="F1246" s="10" t="inlineStr">
        <is>
          <t>Email</t>
        </is>
      </c>
      <c r="G1246" s="10" t="inlineStr">
        <is>
          <t>Premium</t>
        </is>
      </c>
      <c r="H1246" s="10" t="n">
        <v>1</v>
      </c>
      <c r="I1246" s="10" t="n">
        <v>0</v>
      </c>
      <c r="J1246" s="10" t="n">
        <v>0</v>
      </c>
      <c r="K1246" s="10" t="n">
        <v>0</v>
      </c>
      <c r="L1246" s="10" t="n">
        <v>0</v>
      </c>
      <c r="M1246" s="10" t="n">
        <v>0</v>
      </c>
      <c r="N1246" s="10" t="n">
        <v>0</v>
      </c>
      <c r="P1246" s="10" t="n">
        <v>49.5</v>
      </c>
      <c r="Q1246" s="10">
        <f>A1246&amp;"|"&amp;B1246&amp;"|"&amp;C1246&amp;"|"&amp;D1246&amp;"|"&amp;E1246&amp;"|"&amp;F1246&amp;"|"&amp;G1246&amp;"|"&amp;H1246&amp;"|"&amp;I1246&amp;"|"&amp;J1246&amp;"|"&amp;K1246&amp;"|"&amp;L1246&amp;"|"&amp;M1246&amp;"|"&amp;N1246&amp;"|"&amp;O1246&amp;"|"&amp;P1246</f>
        <v/>
      </c>
      <c r="R1246" s="10">
        <f>IF(COUNTIF($Q$2:$Q$1409,Q1246)&gt;1,IF(COUNTIF($Q$2:Q1246,Q1246)=1,"Exact Duplicate - Keep First","Exact Duplicate - Remove"),"Unique")</f>
        <v/>
      </c>
    </row>
    <row r="1247" ht="15" customHeight="1" s="11">
      <c r="A1247" s="10" t="inlineStr">
        <is>
          <t>USR-101246</t>
        </is>
      </c>
      <c r="B1247" s="14" t="n">
        <v>45785</v>
      </c>
      <c r="C1247" s="10" t="inlineStr">
        <is>
          <t>Treatment</t>
        </is>
      </c>
      <c r="D1247" s="10" t="inlineStr">
        <is>
          <t>North</t>
        </is>
      </c>
      <c r="E1247" s="10" t="inlineStr">
        <is>
          <t>Tablet</t>
        </is>
      </c>
      <c r="F1247" s="10" t="inlineStr">
        <is>
          <t>Organic</t>
        </is>
      </c>
      <c r="G1247" s="10" t="inlineStr">
        <is>
          <t>Free</t>
        </is>
      </c>
      <c r="H1247" s="10" t="n">
        <v>1</v>
      </c>
      <c r="I1247" s="10" t="n">
        <v>0</v>
      </c>
      <c r="J1247" s="10" t="n">
        <v>0</v>
      </c>
      <c r="K1247" s="10" t="n">
        <v>0</v>
      </c>
      <c r="L1247" s="10" t="n">
        <v>0</v>
      </c>
      <c r="M1247" s="10" t="n">
        <v>0</v>
      </c>
      <c r="N1247" s="10" t="n">
        <v>0</v>
      </c>
      <c r="P1247" s="10" t="n">
        <v>41.5</v>
      </c>
      <c r="Q1247" s="10">
        <f>A1247&amp;"|"&amp;B1247&amp;"|"&amp;C1247&amp;"|"&amp;D1247&amp;"|"&amp;E1247&amp;"|"&amp;F1247&amp;"|"&amp;G1247&amp;"|"&amp;H1247&amp;"|"&amp;I1247&amp;"|"&amp;J1247&amp;"|"&amp;K1247&amp;"|"&amp;L1247&amp;"|"&amp;M1247&amp;"|"&amp;N1247&amp;"|"&amp;O1247&amp;"|"&amp;P1247</f>
        <v/>
      </c>
      <c r="R1247" s="10">
        <f>IF(COUNTIF($Q$2:$Q$1409,Q1247)&gt;1,IF(COUNTIF($Q$2:Q1247,Q1247)=1,"Exact Duplicate - Keep First","Exact Duplicate - Remove"),"Unique")</f>
        <v/>
      </c>
    </row>
    <row r="1248" ht="15" customHeight="1" s="11">
      <c r="A1248" s="10" t="inlineStr">
        <is>
          <t>USR-101247</t>
        </is>
      </c>
      <c r="B1248" s="14" t="n">
        <v>45799</v>
      </c>
      <c r="C1248" s="10" t="inlineStr">
        <is>
          <t>Treatment</t>
        </is>
      </c>
      <c r="D1248" s="10" t="inlineStr">
        <is>
          <t>North</t>
        </is>
      </c>
      <c r="E1248" s="10" t="inlineStr">
        <is>
          <t>Mobile</t>
        </is>
      </c>
      <c r="F1248" s="10" t="inlineStr">
        <is>
          <t>Paid Search</t>
        </is>
      </c>
      <c r="G1248" s="10" t="inlineStr">
        <is>
          <t>Basic</t>
        </is>
      </c>
      <c r="H1248" s="10" t="n">
        <v>1</v>
      </c>
      <c r="I1248" s="10" t="n">
        <v>0</v>
      </c>
      <c r="J1248" s="10" t="n">
        <v>0</v>
      </c>
      <c r="K1248" s="10" t="n">
        <v>0</v>
      </c>
      <c r="L1248" s="10" t="n">
        <v>0</v>
      </c>
      <c r="M1248" s="10" t="n">
        <v>0</v>
      </c>
      <c r="N1248" s="10" t="n">
        <v>0</v>
      </c>
      <c r="P1248" s="10" t="n">
        <v>71.2</v>
      </c>
      <c r="Q1248" s="10">
        <f>A1248&amp;"|"&amp;B1248&amp;"|"&amp;C1248&amp;"|"&amp;D1248&amp;"|"&amp;E1248&amp;"|"&amp;F1248&amp;"|"&amp;G1248&amp;"|"&amp;H1248&amp;"|"&amp;I1248&amp;"|"&amp;J1248&amp;"|"&amp;K1248&amp;"|"&amp;L1248&amp;"|"&amp;M1248&amp;"|"&amp;N1248&amp;"|"&amp;O1248&amp;"|"&amp;P1248</f>
        <v/>
      </c>
      <c r="R1248" s="10">
        <f>IF(COUNTIF($Q$2:$Q$1409,Q1248)&gt;1,IF(COUNTIF($Q$2:Q1248,Q1248)=1,"Exact Duplicate - Keep First","Exact Duplicate - Remove"),"Unique")</f>
        <v/>
      </c>
    </row>
    <row r="1249" ht="15" customHeight="1" s="11">
      <c r="A1249" s="10" t="inlineStr">
        <is>
          <t>USR-101248</t>
        </is>
      </c>
      <c r="B1249" s="14" t="n">
        <v>45737</v>
      </c>
      <c r="C1249" s="10" t="inlineStr">
        <is>
          <t>Treatment</t>
        </is>
      </c>
      <c r="D1249" s="10" t="inlineStr">
        <is>
          <t>North</t>
        </is>
      </c>
      <c r="E1249" s="10" t="inlineStr">
        <is>
          <t>Mobile</t>
        </is>
      </c>
      <c r="F1249" s="10" t="inlineStr">
        <is>
          <t>Referral</t>
        </is>
      </c>
      <c r="G1249" s="10" t="inlineStr">
        <is>
          <t>Basic</t>
        </is>
      </c>
      <c r="H1249" s="10" t="n">
        <v>1</v>
      </c>
      <c r="I1249" s="10" t="n">
        <v>1</v>
      </c>
      <c r="J1249" s="10" t="n">
        <v>1</v>
      </c>
      <c r="K1249" s="10" t="n">
        <v>0</v>
      </c>
      <c r="L1249" s="10" t="n">
        <v>0</v>
      </c>
      <c r="M1249" s="10" t="n">
        <v>0</v>
      </c>
      <c r="N1249" s="10" t="n">
        <v>0</v>
      </c>
      <c r="P1249" s="10" t="n">
        <v>65.8</v>
      </c>
      <c r="Q1249" s="10">
        <f>A1249&amp;"|"&amp;B1249&amp;"|"&amp;C1249&amp;"|"&amp;D1249&amp;"|"&amp;E1249&amp;"|"&amp;F1249&amp;"|"&amp;G1249&amp;"|"&amp;H1249&amp;"|"&amp;I1249&amp;"|"&amp;J1249&amp;"|"&amp;K1249&amp;"|"&amp;L1249&amp;"|"&amp;M1249&amp;"|"&amp;N1249&amp;"|"&amp;O1249&amp;"|"&amp;P1249</f>
        <v/>
      </c>
      <c r="R1249" s="10">
        <f>IF(COUNTIF($Q$2:$Q$1409,Q1249)&gt;1,IF(COUNTIF($Q$2:Q1249,Q1249)=1,"Exact Duplicate - Keep First","Exact Duplicate - Remove"),"Unique")</f>
        <v/>
      </c>
    </row>
    <row r="1250" ht="15" customHeight="1" s="11">
      <c r="A1250" s="10" t="inlineStr">
        <is>
          <t>USR-101249</t>
        </is>
      </c>
      <c r="B1250" s="14" t="n">
        <v>45738</v>
      </c>
      <c r="C1250" s="10" t="inlineStr">
        <is>
          <t>Treatment</t>
        </is>
      </c>
      <c r="D1250" s="10" t="inlineStr">
        <is>
          <t>East</t>
        </is>
      </c>
      <c r="E1250" s="10" t="inlineStr">
        <is>
          <t>Mobile</t>
        </is>
      </c>
      <c r="F1250" s="10" t="inlineStr">
        <is>
          <t>Organic</t>
        </is>
      </c>
      <c r="G1250" s="10" t="inlineStr">
        <is>
          <t>Basic</t>
        </is>
      </c>
      <c r="H1250" s="10" t="n">
        <v>1</v>
      </c>
      <c r="I1250" s="10" t="n">
        <v>0</v>
      </c>
      <c r="J1250" s="10" t="n">
        <v>0</v>
      </c>
      <c r="K1250" s="10" t="n">
        <v>0</v>
      </c>
      <c r="L1250" s="10" t="n">
        <v>0</v>
      </c>
      <c r="M1250" s="10" t="n">
        <v>1</v>
      </c>
      <c r="N1250" s="10" t="n">
        <v>0</v>
      </c>
      <c r="P1250" s="10" t="n">
        <v>55.1</v>
      </c>
      <c r="Q1250" s="10">
        <f>A1250&amp;"|"&amp;B1250&amp;"|"&amp;C1250&amp;"|"&amp;D1250&amp;"|"&amp;E1250&amp;"|"&amp;F1250&amp;"|"&amp;G1250&amp;"|"&amp;H1250&amp;"|"&amp;I1250&amp;"|"&amp;J1250&amp;"|"&amp;K1250&amp;"|"&amp;L1250&amp;"|"&amp;M1250&amp;"|"&amp;N1250&amp;"|"&amp;O1250&amp;"|"&amp;P1250</f>
        <v/>
      </c>
      <c r="R1250" s="10">
        <f>IF(COUNTIF($Q$2:$Q$1409,Q1250)&gt;1,IF(COUNTIF($Q$2:Q1250,Q1250)=1,"Exact Duplicate - Keep First","Exact Duplicate - Remove"),"Unique")</f>
        <v/>
      </c>
    </row>
    <row r="1251" ht="15" customHeight="1" s="11">
      <c r="A1251" s="10" t="inlineStr">
        <is>
          <t>USR-101250</t>
        </is>
      </c>
      <c r="B1251" s="14" t="n">
        <v>45667</v>
      </c>
      <c r="C1251" s="10" t="inlineStr">
        <is>
          <t>Treatment</t>
        </is>
      </c>
      <c r="D1251" s="10" t="inlineStr">
        <is>
          <t>West</t>
        </is>
      </c>
      <c r="E1251" s="10" t="inlineStr">
        <is>
          <t>Desktop</t>
        </is>
      </c>
      <c r="F1251" s="10" t="inlineStr">
        <is>
          <t>Social</t>
        </is>
      </c>
      <c r="G1251" s="10" t="inlineStr">
        <is>
          <t>Free</t>
        </is>
      </c>
      <c r="H1251" s="10" t="n">
        <v>1</v>
      </c>
      <c r="I1251" s="10" t="n">
        <v>0</v>
      </c>
      <c r="J1251" s="10" t="n">
        <v>0</v>
      </c>
      <c r="K1251" s="10" t="n">
        <v>0</v>
      </c>
      <c r="L1251" s="10" t="n">
        <v>0</v>
      </c>
      <c r="M1251" s="10" t="n">
        <v>0</v>
      </c>
      <c r="N1251" s="10" t="n">
        <v>0</v>
      </c>
      <c r="P1251" s="10" t="n">
        <v>54.6</v>
      </c>
      <c r="Q1251" s="10">
        <f>A1251&amp;"|"&amp;B1251&amp;"|"&amp;C1251&amp;"|"&amp;D1251&amp;"|"&amp;E1251&amp;"|"&amp;F1251&amp;"|"&amp;G1251&amp;"|"&amp;H1251&amp;"|"&amp;I1251&amp;"|"&amp;J1251&amp;"|"&amp;K1251&amp;"|"&amp;L1251&amp;"|"&amp;M1251&amp;"|"&amp;N1251&amp;"|"&amp;O1251&amp;"|"&amp;P1251</f>
        <v/>
      </c>
      <c r="R1251" s="10">
        <f>IF(COUNTIF($Q$2:$Q$1409,Q1251)&gt;1,IF(COUNTIF($Q$2:Q1251,Q1251)=1,"Exact Duplicate - Keep First","Exact Duplicate - Remove"),"Unique")</f>
        <v/>
      </c>
    </row>
    <row r="1252" ht="15" customHeight="1" s="11">
      <c r="A1252" s="10" t="inlineStr">
        <is>
          <t>USR-101251</t>
        </is>
      </c>
      <c r="B1252" s="14" t="n">
        <v>45689</v>
      </c>
      <c r="C1252" s="10" t="inlineStr">
        <is>
          <t>Treatment</t>
        </is>
      </c>
      <c r="D1252" s="10" t="inlineStr">
        <is>
          <t>East</t>
        </is>
      </c>
      <c r="E1252" s="10" t="inlineStr">
        <is>
          <t>Mobile</t>
        </is>
      </c>
      <c r="F1252" s="10" t="inlineStr">
        <is>
          <t>Organic</t>
        </is>
      </c>
      <c r="G1252" s="10" t="inlineStr">
        <is>
          <t>Basic</t>
        </is>
      </c>
      <c r="H1252" s="10" t="n">
        <v>1</v>
      </c>
      <c r="I1252" s="10" t="n">
        <v>1</v>
      </c>
      <c r="J1252" s="10" t="n">
        <v>1</v>
      </c>
      <c r="K1252" s="10" t="n">
        <v>1</v>
      </c>
      <c r="L1252" s="10" t="n">
        <v>923.67</v>
      </c>
      <c r="M1252" s="10" t="n">
        <v>0</v>
      </c>
      <c r="N1252" s="10" t="n">
        <v>0</v>
      </c>
      <c r="O1252" s="10" t="n">
        <v>4</v>
      </c>
      <c r="P1252" s="10" t="n">
        <v>81.90000000000001</v>
      </c>
      <c r="Q1252" s="10">
        <f>A1252&amp;"|"&amp;B1252&amp;"|"&amp;C1252&amp;"|"&amp;D1252&amp;"|"&amp;E1252&amp;"|"&amp;F1252&amp;"|"&amp;G1252&amp;"|"&amp;H1252&amp;"|"&amp;I1252&amp;"|"&amp;J1252&amp;"|"&amp;K1252&amp;"|"&amp;L1252&amp;"|"&amp;M1252&amp;"|"&amp;N1252&amp;"|"&amp;O1252&amp;"|"&amp;P1252</f>
        <v/>
      </c>
      <c r="R1252" s="10">
        <f>IF(COUNTIF($Q$2:$Q$1409,Q1252)&gt;1,IF(COUNTIF($Q$2:Q1252,Q1252)=1,"Exact Duplicate - Keep First","Exact Duplicate - Remove"),"Unique")</f>
        <v/>
      </c>
    </row>
    <row r="1253" ht="15" customHeight="1" s="11">
      <c r="A1253" s="10" t="inlineStr">
        <is>
          <t>USR-101252</t>
        </is>
      </c>
      <c r="B1253" s="14" t="n">
        <v>45747</v>
      </c>
      <c r="C1253" s="10" t="inlineStr">
        <is>
          <t>Treatment</t>
        </is>
      </c>
      <c r="D1253" s="10" t="inlineStr">
        <is>
          <t>South</t>
        </is>
      </c>
      <c r="E1253" s="10" t="inlineStr">
        <is>
          <t>Mobile</t>
        </is>
      </c>
      <c r="F1253" s="10" t="inlineStr">
        <is>
          <t>Paid Search</t>
        </is>
      </c>
      <c r="G1253" s="10" t="inlineStr">
        <is>
          <t>Basic</t>
        </is>
      </c>
      <c r="H1253" s="10" t="n">
        <v>1</v>
      </c>
      <c r="I1253" s="10" t="n">
        <v>1</v>
      </c>
      <c r="J1253" s="10" t="n">
        <v>0</v>
      </c>
      <c r="K1253" s="10" t="n">
        <v>0</v>
      </c>
      <c r="L1253" s="10" t="n">
        <v>0</v>
      </c>
      <c r="M1253" s="10" t="n">
        <v>3</v>
      </c>
      <c r="N1253" s="10" t="n">
        <v>0</v>
      </c>
      <c r="P1253" s="10" t="n">
        <v>63.2</v>
      </c>
      <c r="Q1253" s="10">
        <f>A1253&amp;"|"&amp;B1253&amp;"|"&amp;C1253&amp;"|"&amp;D1253&amp;"|"&amp;E1253&amp;"|"&amp;F1253&amp;"|"&amp;G1253&amp;"|"&amp;H1253&amp;"|"&amp;I1253&amp;"|"&amp;J1253&amp;"|"&amp;K1253&amp;"|"&amp;L1253&amp;"|"&amp;M1253&amp;"|"&amp;N1253&amp;"|"&amp;O1253&amp;"|"&amp;P1253</f>
        <v/>
      </c>
      <c r="R1253" s="10">
        <f>IF(COUNTIF($Q$2:$Q$1409,Q1253)&gt;1,IF(COUNTIF($Q$2:Q1253,Q1253)=1,"Exact Duplicate - Keep First","Exact Duplicate - Remove"),"Unique")</f>
        <v/>
      </c>
    </row>
    <row r="1254" ht="15" customHeight="1" s="11">
      <c r="A1254" s="10" t="inlineStr">
        <is>
          <t>USR-101253</t>
        </is>
      </c>
      <c r="B1254" s="14" t="n">
        <v>45772</v>
      </c>
      <c r="C1254" s="10" t="inlineStr">
        <is>
          <t>Treatment</t>
        </is>
      </c>
      <c r="D1254" s="10" t="inlineStr">
        <is>
          <t>North</t>
        </is>
      </c>
      <c r="E1254" s="10" t="inlineStr">
        <is>
          <t>Mobile</t>
        </is>
      </c>
      <c r="F1254" s="10" t="inlineStr">
        <is>
          <t>Paid Search</t>
        </is>
      </c>
      <c r="G1254" s="10" t="inlineStr">
        <is>
          <t>Free</t>
        </is>
      </c>
      <c r="H1254" s="10" t="n">
        <v>1</v>
      </c>
      <c r="I1254" s="10" t="n">
        <v>0</v>
      </c>
      <c r="J1254" s="10" t="n">
        <v>0</v>
      </c>
      <c r="K1254" s="10" t="n">
        <v>0</v>
      </c>
      <c r="L1254" s="10" t="n">
        <v>0</v>
      </c>
      <c r="M1254" s="10" t="n">
        <v>0</v>
      </c>
      <c r="N1254" s="10" t="n">
        <v>0</v>
      </c>
      <c r="P1254" s="10" t="n">
        <v>55.4</v>
      </c>
      <c r="Q1254" s="10">
        <f>A1254&amp;"|"&amp;B1254&amp;"|"&amp;C1254&amp;"|"&amp;D1254&amp;"|"&amp;E1254&amp;"|"&amp;F1254&amp;"|"&amp;G1254&amp;"|"&amp;H1254&amp;"|"&amp;I1254&amp;"|"&amp;J1254&amp;"|"&amp;K1254&amp;"|"&amp;L1254&amp;"|"&amp;M1254&amp;"|"&amp;N1254&amp;"|"&amp;O1254&amp;"|"&amp;P1254</f>
        <v/>
      </c>
      <c r="R1254" s="10">
        <f>IF(COUNTIF($Q$2:$Q$1409,Q1254)&gt;1,IF(COUNTIF($Q$2:Q1254,Q1254)=1,"Exact Duplicate - Keep First","Exact Duplicate - Remove"),"Unique")</f>
        <v/>
      </c>
    </row>
    <row r="1255" ht="15" customHeight="1" s="11">
      <c r="A1255" s="10" t="inlineStr">
        <is>
          <t>USR-101254</t>
        </is>
      </c>
      <c r="B1255" s="14" t="n">
        <v>45779</v>
      </c>
      <c r="C1255" s="10" t="inlineStr">
        <is>
          <t>Treatment</t>
        </is>
      </c>
      <c r="D1255" s="10" t="inlineStr">
        <is>
          <t>West</t>
        </is>
      </c>
      <c r="E1255" s="10" t="inlineStr">
        <is>
          <t>Mobile</t>
        </is>
      </c>
      <c r="F1255" s="10" t="inlineStr">
        <is>
          <t>Social</t>
        </is>
      </c>
      <c r="G1255" s="10" t="inlineStr">
        <is>
          <t>Basic</t>
        </is>
      </c>
      <c r="H1255" s="10" t="n">
        <v>0</v>
      </c>
      <c r="I1255" s="10" t="n">
        <v>0</v>
      </c>
      <c r="J1255" s="10" t="n">
        <v>0</v>
      </c>
      <c r="K1255" s="10" t="n">
        <v>0</v>
      </c>
      <c r="L1255" s="10" t="n">
        <v>0</v>
      </c>
      <c r="M1255" s="10" t="n">
        <v>0</v>
      </c>
      <c r="N1255" s="10" t="n">
        <v>0</v>
      </c>
      <c r="P1255" s="10" t="n">
        <v>87.5</v>
      </c>
      <c r="Q1255" s="10">
        <f>A1255&amp;"|"&amp;B1255&amp;"|"&amp;C1255&amp;"|"&amp;D1255&amp;"|"&amp;E1255&amp;"|"&amp;F1255&amp;"|"&amp;G1255&amp;"|"&amp;H1255&amp;"|"&amp;I1255&amp;"|"&amp;J1255&amp;"|"&amp;K1255&amp;"|"&amp;L1255&amp;"|"&amp;M1255&amp;"|"&amp;N1255&amp;"|"&amp;O1255&amp;"|"&amp;P1255</f>
        <v/>
      </c>
      <c r="R1255" s="10">
        <f>IF(COUNTIF($Q$2:$Q$1409,Q1255)&gt;1,IF(COUNTIF($Q$2:Q1255,Q1255)=1,"Exact Duplicate - Keep First","Exact Duplicate - Remove"),"Unique")</f>
        <v/>
      </c>
    </row>
    <row r="1256" ht="15" customHeight="1" s="11">
      <c r="A1256" s="10" t="inlineStr">
        <is>
          <t>USR-101255</t>
        </is>
      </c>
      <c r="B1256" s="14" t="n">
        <v>45724</v>
      </c>
      <c r="C1256" s="10" t="inlineStr">
        <is>
          <t>Treatment</t>
        </is>
      </c>
      <c r="D1256" s="10" t="inlineStr">
        <is>
          <t>South</t>
        </is>
      </c>
      <c r="E1256" s="10" t="inlineStr">
        <is>
          <t>Desktop</t>
        </is>
      </c>
      <c r="F1256" s="10" t="inlineStr">
        <is>
          <t>Social</t>
        </is>
      </c>
      <c r="G1256" s="10" t="inlineStr">
        <is>
          <t>Basic</t>
        </is>
      </c>
      <c r="H1256" s="10" t="n">
        <v>1</v>
      </c>
      <c r="I1256" s="10" t="n">
        <v>0</v>
      </c>
      <c r="J1256" s="10" t="n">
        <v>0</v>
      </c>
      <c r="K1256" s="10" t="n">
        <v>0</v>
      </c>
      <c r="L1256" s="10" t="n">
        <v>0</v>
      </c>
      <c r="M1256" s="10" t="n">
        <v>0</v>
      </c>
      <c r="N1256" s="10" t="n">
        <v>0</v>
      </c>
      <c r="P1256" s="10" t="n">
        <v>48.5</v>
      </c>
      <c r="Q1256" s="10">
        <f>A1256&amp;"|"&amp;B1256&amp;"|"&amp;C1256&amp;"|"&amp;D1256&amp;"|"&amp;E1256&amp;"|"&amp;F1256&amp;"|"&amp;G1256&amp;"|"&amp;H1256&amp;"|"&amp;I1256&amp;"|"&amp;J1256&amp;"|"&amp;K1256&amp;"|"&amp;L1256&amp;"|"&amp;M1256&amp;"|"&amp;N1256&amp;"|"&amp;O1256&amp;"|"&amp;P1256</f>
        <v/>
      </c>
      <c r="R1256" s="10">
        <f>IF(COUNTIF($Q$2:$Q$1409,Q1256)&gt;1,IF(COUNTIF($Q$2:Q1256,Q1256)=1,"Exact Duplicate - Keep First","Exact Duplicate - Remove"),"Unique")</f>
        <v/>
      </c>
    </row>
    <row r="1257" ht="15" customHeight="1" s="11">
      <c r="A1257" s="10" t="inlineStr">
        <is>
          <t>USR-101256</t>
        </is>
      </c>
      <c r="B1257" s="14" t="n">
        <v>45684</v>
      </c>
      <c r="C1257" s="10" t="inlineStr">
        <is>
          <t>Treatment</t>
        </is>
      </c>
      <c r="D1257" s="10" t="inlineStr">
        <is>
          <t>East</t>
        </is>
      </c>
      <c r="E1257" s="10" t="inlineStr">
        <is>
          <t>Desktop</t>
        </is>
      </c>
      <c r="G1257" s="10" t="inlineStr">
        <is>
          <t>Free</t>
        </is>
      </c>
      <c r="H1257" s="10" t="n">
        <v>1</v>
      </c>
      <c r="I1257" s="10" t="n">
        <v>1</v>
      </c>
      <c r="J1257" s="10" t="n">
        <v>1</v>
      </c>
      <c r="K1257" s="10" t="n">
        <v>1</v>
      </c>
      <c r="L1257" s="10" t="n">
        <v>420.27</v>
      </c>
      <c r="M1257" s="10" t="n">
        <v>0</v>
      </c>
      <c r="N1257" s="10" t="n">
        <v>0</v>
      </c>
      <c r="O1257" s="10" t="n">
        <v>6</v>
      </c>
      <c r="P1257" s="10" t="n">
        <v>58.4</v>
      </c>
      <c r="Q1257" s="10">
        <f>A1257&amp;"|"&amp;B1257&amp;"|"&amp;C1257&amp;"|"&amp;D1257&amp;"|"&amp;E1257&amp;"|"&amp;F1257&amp;"|"&amp;G1257&amp;"|"&amp;H1257&amp;"|"&amp;I1257&amp;"|"&amp;J1257&amp;"|"&amp;K1257&amp;"|"&amp;L1257&amp;"|"&amp;M1257&amp;"|"&amp;N1257&amp;"|"&amp;O1257&amp;"|"&amp;P1257</f>
        <v/>
      </c>
      <c r="R1257" s="10">
        <f>IF(COUNTIF($Q$2:$Q$1409,Q1257)&gt;1,IF(COUNTIF($Q$2:Q1257,Q1257)=1,"Exact Duplicate - Keep First","Exact Duplicate - Remove"),"Unique")</f>
        <v/>
      </c>
    </row>
    <row r="1258" ht="15" customHeight="1" s="11">
      <c r="A1258" s="10" t="inlineStr">
        <is>
          <t>USR-101257</t>
        </is>
      </c>
      <c r="B1258" s="14" t="n">
        <v>45774</v>
      </c>
      <c r="C1258" s="10" t="inlineStr">
        <is>
          <t>Treatment</t>
        </is>
      </c>
      <c r="D1258" s="10" t="inlineStr">
        <is>
          <t>West</t>
        </is>
      </c>
      <c r="E1258" s="10" t="inlineStr">
        <is>
          <t>Mobile</t>
        </is>
      </c>
      <c r="F1258" s="10" t="inlineStr">
        <is>
          <t>Paid Search</t>
        </is>
      </c>
      <c r="G1258" s="10" t="inlineStr">
        <is>
          <t>Free</t>
        </is>
      </c>
      <c r="H1258" s="10" t="n">
        <v>0</v>
      </c>
      <c r="I1258" s="10" t="n">
        <v>0</v>
      </c>
      <c r="J1258" s="10" t="n">
        <v>0</v>
      </c>
      <c r="K1258" s="10" t="n">
        <v>0</v>
      </c>
      <c r="L1258" s="10" t="n">
        <v>0</v>
      </c>
      <c r="M1258" s="10" t="n">
        <v>0</v>
      </c>
      <c r="N1258" s="10" t="n">
        <v>0</v>
      </c>
      <c r="P1258" s="10" t="n">
        <v>59.5</v>
      </c>
      <c r="Q1258" s="10">
        <f>A1258&amp;"|"&amp;B1258&amp;"|"&amp;C1258&amp;"|"&amp;D1258&amp;"|"&amp;E1258&amp;"|"&amp;F1258&amp;"|"&amp;G1258&amp;"|"&amp;H1258&amp;"|"&amp;I1258&amp;"|"&amp;J1258&amp;"|"&amp;K1258&amp;"|"&amp;L1258&amp;"|"&amp;M1258&amp;"|"&amp;N1258&amp;"|"&amp;O1258&amp;"|"&amp;P1258</f>
        <v/>
      </c>
      <c r="R1258" s="10">
        <f>IF(COUNTIF($Q$2:$Q$1409,Q1258)&gt;1,IF(COUNTIF($Q$2:Q1258,Q1258)=1,"Exact Duplicate - Keep First","Exact Duplicate - Remove"),"Unique")</f>
        <v/>
      </c>
    </row>
    <row r="1259" ht="15" customHeight="1" s="11">
      <c r="A1259" s="10" t="inlineStr">
        <is>
          <t>USR-101258</t>
        </is>
      </c>
      <c r="B1259" s="14" t="n">
        <v>45673</v>
      </c>
      <c r="C1259" s="10" t="inlineStr">
        <is>
          <t>Treatment</t>
        </is>
      </c>
      <c r="D1259" s="10" t="inlineStr">
        <is>
          <t>West</t>
        </is>
      </c>
      <c r="E1259" s="10" t="inlineStr">
        <is>
          <t>Desktop</t>
        </is>
      </c>
      <c r="F1259" s="10" t="inlineStr">
        <is>
          <t>Paid Search</t>
        </is>
      </c>
      <c r="G1259" s="10" t="inlineStr">
        <is>
          <t>Basic</t>
        </is>
      </c>
      <c r="H1259" s="10" t="n">
        <v>1</v>
      </c>
      <c r="I1259" s="10" t="n">
        <v>0</v>
      </c>
      <c r="J1259" s="10" t="n">
        <v>0</v>
      </c>
      <c r="K1259" s="10" t="n">
        <v>0</v>
      </c>
      <c r="L1259" s="10" t="n">
        <v>0</v>
      </c>
      <c r="M1259" s="10" t="n">
        <v>0</v>
      </c>
      <c r="N1259" s="10" t="n">
        <v>0</v>
      </c>
      <c r="P1259" s="10" t="n">
        <v>93.2</v>
      </c>
      <c r="Q1259" s="10">
        <f>A1259&amp;"|"&amp;B1259&amp;"|"&amp;C1259&amp;"|"&amp;D1259&amp;"|"&amp;E1259&amp;"|"&amp;F1259&amp;"|"&amp;G1259&amp;"|"&amp;H1259&amp;"|"&amp;I1259&amp;"|"&amp;J1259&amp;"|"&amp;K1259&amp;"|"&amp;L1259&amp;"|"&amp;M1259&amp;"|"&amp;N1259&amp;"|"&amp;O1259&amp;"|"&amp;P1259</f>
        <v/>
      </c>
      <c r="R1259" s="10">
        <f>IF(COUNTIF($Q$2:$Q$1409,Q1259)&gt;1,IF(COUNTIF($Q$2:Q1259,Q1259)=1,"Exact Duplicate - Keep First","Exact Duplicate - Remove"),"Unique")</f>
        <v/>
      </c>
    </row>
    <row r="1260" ht="15" customHeight="1" s="11">
      <c r="A1260" s="10" t="inlineStr">
        <is>
          <t>USR-101259</t>
        </is>
      </c>
      <c r="B1260" s="14" t="n">
        <v>45675</v>
      </c>
      <c r="C1260" s="10" t="inlineStr">
        <is>
          <t>Treatment</t>
        </is>
      </c>
      <c r="D1260" s="10" t="inlineStr">
        <is>
          <t>West</t>
        </is>
      </c>
      <c r="E1260" s="10" t="inlineStr">
        <is>
          <t>Desktop</t>
        </is>
      </c>
      <c r="F1260" s="10" t="inlineStr">
        <is>
          <t>Paid Search</t>
        </is>
      </c>
      <c r="G1260" s="10" t="inlineStr">
        <is>
          <t>Basic</t>
        </is>
      </c>
      <c r="H1260" s="10" t="n">
        <v>1</v>
      </c>
      <c r="I1260" s="10" t="n">
        <v>0</v>
      </c>
      <c r="J1260" s="10" t="n">
        <v>0</v>
      </c>
      <c r="K1260" s="10" t="n">
        <v>0</v>
      </c>
      <c r="L1260" s="10" t="n">
        <v>0</v>
      </c>
      <c r="M1260" s="10" t="n">
        <v>0</v>
      </c>
      <c r="N1260" s="10" t="n">
        <v>0</v>
      </c>
      <c r="P1260" s="10" t="n">
        <v>59</v>
      </c>
      <c r="Q1260" s="10">
        <f>A1260&amp;"|"&amp;B1260&amp;"|"&amp;C1260&amp;"|"&amp;D1260&amp;"|"&amp;E1260&amp;"|"&amp;F1260&amp;"|"&amp;G1260&amp;"|"&amp;H1260&amp;"|"&amp;I1260&amp;"|"&amp;J1260&amp;"|"&amp;K1260&amp;"|"&amp;L1260&amp;"|"&amp;M1260&amp;"|"&amp;N1260&amp;"|"&amp;O1260&amp;"|"&amp;P1260</f>
        <v/>
      </c>
      <c r="R1260" s="10">
        <f>IF(COUNTIF($Q$2:$Q$1409,Q1260)&gt;1,IF(COUNTIF($Q$2:Q1260,Q1260)=1,"Exact Duplicate - Keep First","Exact Duplicate - Remove"),"Unique")</f>
        <v/>
      </c>
    </row>
    <row r="1261" ht="15" customHeight="1" s="11">
      <c r="A1261" s="10" t="inlineStr">
        <is>
          <t>USR-101260</t>
        </is>
      </c>
      <c r="B1261" s="14" t="n">
        <v>45737</v>
      </c>
      <c r="C1261" s="10" t="inlineStr">
        <is>
          <t>Treatment</t>
        </is>
      </c>
      <c r="D1261" s="10" t="inlineStr">
        <is>
          <t>North</t>
        </is>
      </c>
      <c r="E1261" s="10" t="inlineStr">
        <is>
          <t>Mobile</t>
        </is>
      </c>
      <c r="F1261" s="10" t="inlineStr">
        <is>
          <t>Organic</t>
        </is>
      </c>
      <c r="G1261" s="10" t="inlineStr">
        <is>
          <t>Free</t>
        </is>
      </c>
      <c r="H1261" s="10" t="n">
        <v>1</v>
      </c>
      <c r="I1261" s="10" t="n">
        <v>0</v>
      </c>
      <c r="J1261" s="10" t="n">
        <v>0</v>
      </c>
      <c r="K1261" s="10" t="n">
        <v>0</v>
      </c>
      <c r="L1261" s="10" t="n">
        <v>0</v>
      </c>
      <c r="M1261" s="10" t="n">
        <v>0</v>
      </c>
      <c r="N1261" s="10" t="n">
        <v>0</v>
      </c>
      <c r="P1261" s="10" t="n">
        <v>37</v>
      </c>
      <c r="Q1261" s="10">
        <f>A1261&amp;"|"&amp;B1261&amp;"|"&amp;C1261&amp;"|"&amp;D1261&amp;"|"&amp;E1261&amp;"|"&amp;F1261&amp;"|"&amp;G1261&amp;"|"&amp;H1261&amp;"|"&amp;I1261&amp;"|"&amp;J1261&amp;"|"&amp;K1261&amp;"|"&amp;L1261&amp;"|"&amp;M1261&amp;"|"&amp;N1261&amp;"|"&amp;O1261&amp;"|"&amp;P1261</f>
        <v/>
      </c>
      <c r="R1261" s="10">
        <f>IF(COUNTIF($Q$2:$Q$1409,Q1261)&gt;1,IF(COUNTIF($Q$2:Q1261,Q1261)=1,"Exact Duplicate - Keep First","Exact Duplicate - Remove"),"Unique")</f>
        <v/>
      </c>
    </row>
    <row r="1262" ht="15" customHeight="1" s="11">
      <c r="A1262" s="10" t="inlineStr">
        <is>
          <t>USR-101261</t>
        </is>
      </c>
      <c r="B1262" s="14" t="n">
        <v>45749</v>
      </c>
      <c r="C1262" s="10" t="inlineStr">
        <is>
          <t>Treatment</t>
        </is>
      </c>
      <c r="D1262" s="10" t="inlineStr">
        <is>
          <t>North</t>
        </is>
      </c>
      <c r="E1262" s="10" t="inlineStr">
        <is>
          <t>Desktop</t>
        </is>
      </c>
      <c r="F1262" s="10" t="inlineStr">
        <is>
          <t>Paid Search</t>
        </is>
      </c>
      <c r="G1262" s="10" t="inlineStr">
        <is>
          <t>Free</t>
        </is>
      </c>
      <c r="H1262" s="10" t="n">
        <v>1</v>
      </c>
      <c r="I1262" s="10" t="n">
        <v>0</v>
      </c>
      <c r="J1262" s="10" t="n">
        <v>0</v>
      </c>
      <c r="K1262" s="10" t="n">
        <v>0</v>
      </c>
      <c r="L1262" s="10" t="n">
        <v>0</v>
      </c>
      <c r="M1262" s="10" t="n">
        <v>0</v>
      </c>
      <c r="N1262" s="10" t="n">
        <v>0</v>
      </c>
      <c r="P1262" s="10" t="n">
        <v>47.5</v>
      </c>
      <c r="Q1262" s="10">
        <f>A1262&amp;"|"&amp;B1262&amp;"|"&amp;C1262&amp;"|"&amp;D1262&amp;"|"&amp;E1262&amp;"|"&amp;F1262&amp;"|"&amp;G1262&amp;"|"&amp;H1262&amp;"|"&amp;I1262&amp;"|"&amp;J1262&amp;"|"&amp;K1262&amp;"|"&amp;L1262&amp;"|"&amp;M1262&amp;"|"&amp;N1262&amp;"|"&amp;O1262&amp;"|"&amp;P1262</f>
        <v/>
      </c>
      <c r="R1262" s="10">
        <f>IF(COUNTIF($Q$2:$Q$1409,Q1262)&gt;1,IF(COUNTIF($Q$2:Q1262,Q1262)=1,"Exact Duplicate - Keep First","Exact Duplicate - Remove"),"Unique")</f>
        <v/>
      </c>
    </row>
    <row r="1263" ht="15" customHeight="1" s="11">
      <c r="A1263" s="10" t="inlineStr">
        <is>
          <t>USR-101262</t>
        </is>
      </c>
      <c r="B1263" s="14" t="n">
        <v>45704</v>
      </c>
      <c r="C1263" s="10" t="inlineStr">
        <is>
          <t>Treatment</t>
        </is>
      </c>
      <c r="D1263" s="10" t="inlineStr">
        <is>
          <t>West</t>
        </is>
      </c>
      <c r="E1263" s="10" t="inlineStr">
        <is>
          <t>Desktop</t>
        </is>
      </c>
      <c r="F1263" s="10" t="inlineStr">
        <is>
          <t>Organic</t>
        </is>
      </c>
      <c r="G1263" s="10" t="inlineStr">
        <is>
          <t>Free</t>
        </is>
      </c>
      <c r="H1263" s="10" t="n">
        <v>1</v>
      </c>
      <c r="I1263" s="10" t="n">
        <v>1</v>
      </c>
      <c r="J1263" s="10" t="n">
        <v>1</v>
      </c>
      <c r="K1263" s="10" t="n">
        <v>0</v>
      </c>
      <c r="L1263" s="10" t="n">
        <v>0</v>
      </c>
      <c r="M1263" s="10" t="n">
        <v>0</v>
      </c>
      <c r="N1263" s="10" t="n">
        <v>0</v>
      </c>
      <c r="P1263" s="10" t="n">
        <v>78.7</v>
      </c>
      <c r="Q1263" s="10">
        <f>A1263&amp;"|"&amp;B1263&amp;"|"&amp;C1263&amp;"|"&amp;D1263&amp;"|"&amp;E1263&amp;"|"&amp;F1263&amp;"|"&amp;G1263&amp;"|"&amp;H1263&amp;"|"&amp;I1263&amp;"|"&amp;J1263&amp;"|"&amp;K1263&amp;"|"&amp;L1263&amp;"|"&amp;M1263&amp;"|"&amp;N1263&amp;"|"&amp;O1263&amp;"|"&amp;P1263</f>
        <v/>
      </c>
      <c r="R1263" s="10">
        <f>IF(COUNTIF($Q$2:$Q$1409,Q1263)&gt;1,IF(COUNTIF($Q$2:Q1263,Q1263)=1,"Exact Duplicate - Keep First","Exact Duplicate - Remove"),"Unique")</f>
        <v/>
      </c>
    </row>
    <row r="1264" ht="15" customHeight="1" s="11">
      <c r="A1264" s="10" t="inlineStr">
        <is>
          <t>USR-101263</t>
        </is>
      </c>
      <c r="B1264" s="14" t="n">
        <v>45706</v>
      </c>
      <c r="C1264" s="10" t="inlineStr">
        <is>
          <t>Treatment</t>
        </is>
      </c>
      <c r="D1264" s="10" t="inlineStr">
        <is>
          <t>North</t>
        </is>
      </c>
      <c r="E1264" s="10" t="inlineStr">
        <is>
          <t>Mobile</t>
        </is>
      </c>
      <c r="F1264" s="10" t="inlineStr">
        <is>
          <t>Social</t>
        </is>
      </c>
      <c r="G1264" s="10" t="inlineStr">
        <is>
          <t>Free</t>
        </is>
      </c>
      <c r="H1264" s="10" t="n">
        <v>1</v>
      </c>
      <c r="I1264" s="10" t="n">
        <v>0</v>
      </c>
      <c r="J1264" s="10" t="n">
        <v>0</v>
      </c>
      <c r="K1264" s="10" t="n">
        <v>0</v>
      </c>
      <c r="L1264" s="10" t="n">
        <v>0</v>
      </c>
      <c r="M1264" s="10" t="n">
        <v>0</v>
      </c>
      <c r="N1264" s="10" t="n">
        <v>0</v>
      </c>
      <c r="P1264" s="10" t="n">
        <v>49.6</v>
      </c>
      <c r="Q1264" s="10">
        <f>A1264&amp;"|"&amp;B1264&amp;"|"&amp;C1264&amp;"|"&amp;D1264&amp;"|"&amp;E1264&amp;"|"&amp;F1264&amp;"|"&amp;G1264&amp;"|"&amp;H1264&amp;"|"&amp;I1264&amp;"|"&amp;J1264&amp;"|"&amp;K1264&amp;"|"&amp;L1264&amp;"|"&amp;M1264&amp;"|"&amp;N1264&amp;"|"&amp;O1264&amp;"|"&amp;P1264</f>
        <v/>
      </c>
      <c r="R1264" s="10">
        <f>IF(COUNTIF($Q$2:$Q$1409,Q1264)&gt;1,IF(COUNTIF($Q$2:Q1264,Q1264)=1,"Exact Duplicate - Keep First","Exact Duplicate - Remove"),"Unique")</f>
        <v/>
      </c>
    </row>
    <row r="1265" ht="15" customHeight="1" s="11">
      <c r="A1265" s="10" t="inlineStr">
        <is>
          <t>USR-101264</t>
        </is>
      </c>
      <c r="B1265" s="14" t="n">
        <v>45666</v>
      </c>
      <c r="C1265" s="10" t="inlineStr">
        <is>
          <t>Treatment</t>
        </is>
      </c>
      <c r="D1265" s="10" t="inlineStr">
        <is>
          <t>East</t>
        </is>
      </c>
      <c r="E1265" s="10" t="inlineStr">
        <is>
          <t>Mobile</t>
        </is>
      </c>
      <c r="F1265" s="10" t="inlineStr">
        <is>
          <t>Organic</t>
        </is>
      </c>
      <c r="G1265" s="10" t="inlineStr">
        <is>
          <t>Free</t>
        </is>
      </c>
      <c r="H1265" s="10" t="n">
        <v>1</v>
      </c>
      <c r="I1265" s="10" t="n">
        <v>0</v>
      </c>
      <c r="J1265" s="10" t="n">
        <v>0</v>
      </c>
      <c r="K1265" s="10" t="n">
        <v>0</v>
      </c>
      <c r="L1265" s="10" t="n">
        <v>0</v>
      </c>
      <c r="M1265" s="10" t="n">
        <v>0</v>
      </c>
      <c r="N1265" s="10" t="n">
        <v>0</v>
      </c>
      <c r="P1265" s="10" t="n">
        <v>58</v>
      </c>
      <c r="Q1265" s="10">
        <f>A1265&amp;"|"&amp;B1265&amp;"|"&amp;C1265&amp;"|"&amp;D1265&amp;"|"&amp;E1265&amp;"|"&amp;F1265&amp;"|"&amp;G1265&amp;"|"&amp;H1265&amp;"|"&amp;I1265&amp;"|"&amp;J1265&amp;"|"&amp;K1265&amp;"|"&amp;L1265&amp;"|"&amp;M1265&amp;"|"&amp;N1265&amp;"|"&amp;O1265&amp;"|"&amp;P1265</f>
        <v/>
      </c>
      <c r="R1265" s="10">
        <f>IF(COUNTIF($Q$2:$Q$1409,Q1265)&gt;1,IF(COUNTIF($Q$2:Q1265,Q1265)=1,"Exact Duplicate - Keep First","Exact Duplicate - Remove"),"Unique")</f>
        <v/>
      </c>
    </row>
    <row r="1266" ht="15" customHeight="1" s="11">
      <c r="A1266" s="10" t="inlineStr">
        <is>
          <t>USR-101265</t>
        </is>
      </c>
      <c r="B1266" s="14" t="n">
        <v>45706</v>
      </c>
      <c r="C1266" s="10" t="inlineStr">
        <is>
          <t>Treatment</t>
        </is>
      </c>
      <c r="D1266" s="10" t="inlineStr">
        <is>
          <t>North</t>
        </is>
      </c>
      <c r="E1266" s="10" t="inlineStr">
        <is>
          <t>Desktop</t>
        </is>
      </c>
      <c r="F1266" s="10" t="inlineStr">
        <is>
          <t>Paid Search</t>
        </is>
      </c>
      <c r="G1266" s="10" t="inlineStr">
        <is>
          <t>Free</t>
        </is>
      </c>
      <c r="H1266" s="10" t="n">
        <v>1</v>
      </c>
      <c r="I1266" s="10" t="n">
        <v>0</v>
      </c>
      <c r="J1266" s="10" t="n">
        <v>0</v>
      </c>
      <c r="K1266" s="10" t="n">
        <v>0</v>
      </c>
      <c r="L1266" s="10" t="n">
        <v>0</v>
      </c>
      <c r="M1266" s="10" t="n">
        <v>1</v>
      </c>
      <c r="N1266" s="10" t="n">
        <v>0</v>
      </c>
      <c r="P1266" s="10" t="n">
        <v>54.4</v>
      </c>
      <c r="Q1266" s="10">
        <f>A1266&amp;"|"&amp;B1266&amp;"|"&amp;C1266&amp;"|"&amp;D1266&amp;"|"&amp;E1266&amp;"|"&amp;F1266&amp;"|"&amp;G1266&amp;"|"&amp;H1266&amp;"|"&amp;I1266&amp;"|"&amp;J1266&amp;"|"&amp;K1266&amp;"|"&amp;L1266&amp;"|"&amp;M1266&amp;"|"&amp;N1266&amp;"|"&amp;O1266&amp;"|"&amp;P1266</f>
        <v/>
      </c>
      <c r="R1266" s="10">
        <f>IF(COUNTIF($Q$2:$Q$1409,Q1266)&gt;1,IF(COUNTIF($Q$2:Q1266,Q1266)=1,"Exact Duplicate - Keep First","Exact Duplicate - Remove"),"Unique")</f>
        <v/>
      </c>
    </row>
    <row r="1267" ht="15" customHeight="1" s="11">
      <c r="A1267" s="10" t="inlineStr">
        <is>
          <t>USR-101266</t>
        </is>
      </c>
      <c r="B1267" s="14" t="n">
        <v>45667</v>
      </c>
      <c r="C1267" s="10" t="inlineStr">
        <is>
          <t>Treatment</t>
        </is>
      </c>
      <c r="D1267" s="10" t="inlineStr">
        <is>
          <t>East</t>
        </is>
      </c>
      <c r="E1267" s="10" t="inlineStr">
        <is>
          <t>Mobile</t>
        </is>
      </c>
      <c r="F1267" s="10" t="inlineStr">
        <is>
          <t>Referral</t>
        </is>
      </c>
      <c r="G1267" s="10" t="inlineStr">
        <is>
          <t>Free</t>
        </is>
      </c>
      <c r="H1267" s="10" t="n">
        <v>0</v>
      </c>
      <c r="I1267" s="10" t="n">
        <v>0</v>
      </c>
      <c r="J1267" s="10" t="n">
        <v>0</v>
      </c>
      <c r="K1267" s="10" t="n">
        <v>0</v>
      </c>
      <c r="L1267" s="10" t="n">
        <v>0</v>
      </c>
      <c r="M1267" s="10" t="n">
        <v>0</v>
      </c>
      <c r="N1267" s="10" t="n">
        <v>0</v>
      </c>
      <c r="P1267" s="10" t="n">
        <v>33.7</v>
      </c>
      <c r="Q1267" s="10">
        <f>A1267&amp;"|"&amp;B1267&amp;"|"&amp;C1267&amp;"|"&amp;D1267&amp;"|"&amp;E1267&amp;"|"&amp;F1267&amp;"|"&amp;G1267&amp;"|"&amp;H1267&amp;"|"&amp;I1267&amp;"|"&amp;J1267&amp;"|"&amp;K1267&amp;"|"&amp;L1267&amp;"|"&amp;M1267&amp;"|"&amp;N1267&amp;"|"&amp;O1267&amp;"|"&amp;P1267</f>
        <v/>
      </c>
      <c r="R1267" s="10">
        <f>IF(COUNTIF($Q$2:$Q$1409,Q1267)&gt;1,IF(COUNTIF($Q$2:Q1267,Q1267)=1,"Exact Duplicate - Keep First","Exact Duplicate - Remove"),"Unique")</f>
        <v/>
      </c>
    </row>
    <row r="1268" ht="15" customHeight="1" s="11">
      <c r="A1268" s="10" t="inlineStr">
        <is>
          <t>USR-101267</t>
        </is>
      </c>
      <c r="B1268" s="14" t="n">
        <v>45724</v>
      </c>
      <c r="C1268" s="10" t="inlineStr">
        <is>
          <t>Treatment</t>
        </is>
      </c>
      <c r="D1268" s="10" t="inlineStr">
        <is>
          <t>West</t>
        </is>
      </c>
      <c r="E1268" s="10" t="inlineStr">
        <is>
          <t>Mobile</t>
        </is>
      </c>
      <c r="F1268" s="10" t="inlineStr">
        <is>
          <t>Email</t>
        </is>
      </c>
      <c r="G1268" s="10" t="inlineStr">
        <is>
          <t>Free</t>
        </is>
      </c>
      <c r="H1268" s="10" t="n">
        <v>1</v>
      </c>
      <c r="I1268" s="10" t="n">
        <v>0</v>
      </c>
      <c r="J1268" s="10" t="n">
        <v>0</v>
      </c>
      <c r="K1268" s="10" t="n">
        <v>0</v>
      </c>
      <c r="L1268" s="10" t="n">
        <v>0</v>
      </c>
      <c r="M1268" s="10" t="n">
        <v>0</v>
      </c>
      <c r="N1268" s="10" t="n">
        <v>0</v>
      </c>
      <c r="P1268" s="10" t="n">
        <v>72.7</v>
      </c>
      <c r="Q1268" s="10">
        <f>A1268&amp;"|"&amp;B1268&amp;"|"&amp;C1268&amp;"|"&amp;D1268&amp;"|"&amp;E1268&amp;"|"&amp;F1268&amp;"|"&amp;G1268&amp;"|"&amp;H1268&amp;"|"&amp;I1268&amp;"|"&amp;J1268&amp;"|"&amp;K1268&amp;"|"&amp;L1268&amp;"|"&amp;M1268&amp;"|"&amp;N1268&amp;"|"&amp;O1268&amp;"|"&amp;P1268</f>
        <v/>
      </c>
      <c r="R1268" s="10">
        <f>IF(COUNTIF($Q$2:$Q$1409,Q1268)&gt;1,IF(COUNTIF($Q$2:Q1268,Q1268)=1,"Exact Duplicate - Keep First","Exact Duplicate - Remove"),"Unique")</f>
        <v/>
      </c>
    </row>
    <row r="1269" ht="15" customHeight="1" s="11">
      <c r="A1269" s="10" t="inlineStr">
        <is>
          <t>USR-101268</t>
        </is>
      </c>
      <c r="B1269" s="14" t="n">
        <v>45763</v>
      </c>
      <c r="C1269" s="10" t="inlineStr">
        <is>
          <t>Treatment</t>
        </is>
      </c>
      <c r="D1269" s="10" t="inlineStr">
        <is>
          <t>East</t>
        </is>
      </c>
      <c r="E1269" s="10" t="inlineStr">
        <is>
          <t>Desktop</t>
        </is>
      </c>
      <c r="F1269" s="10" t="inlineStr">
        <is>
          <t>Paid Search</t>
        </is>
      </c>
      <c r="G1269" s="10" t="inlineStr">
        <is>
          <t>Basic</t>
        </is>
      </c>
      <c r="H1269" s="10" t="n">
        <v>0</v>
      </c>
      <c r="I1269" s="10" t="n">
        <v>0</v>
      </c>
      <c r="J1269" s="10" t="n">
        <v>0</v>
      </c>
      <c r="K1269" s="10" t="n">
        <v>0</v>
      </c>
      <c r="L1269" s="10" t="n">
        <v>0</v>
      </c>
      <c r="M1269" s="10" t="n">
        <v>0</v>
      </c>
      <c r="N1269" s="10" t="n">
        <v>0</v>
      </c>
      <c r="P1269" s="10" t="n">
        <v>64.7</v>
      </c>
      <c r="Q1269" s="10">
        <f>A1269&amp;"|"&amp;B1269&amp;"|"&amp;C1269&amp;"|"&amp;D1269&amp;"|"&amp;E1269&amp;"|"&amp;F1269&amp;"|"&amp;G1269&amp;"|"&amp;H1269&amp;"|"&amp;I1269&amp;"|"&amp;J1269&amp;"|"&amp;K1269&amp;"|"&amp;L1269&amp;"|"&amp;M1269&amp;"|"&amp;N1269&amp;"|"&amp;O1269&amp;"|"&amp;P1269</f>
        <v/>
      </c>
      <c r="R1269" s="10">
        <f>IF(COUNTIF($Q$2:$Q$1409,Q1269)&gt;1,IF(COUNTIF($Q$2:Q1269,Q1269)=1,"Exact Duplicate - Keep First","Exact Duplicate - Remove"),"Unique")</f>
        <v/>
      </c>
    </row>
    <row r="1270" ht="15" customHeight="1" s="11">
      <c r="A1270" s="10" t="inlineStr">
        <is>
          <t>USR-101269</t>
        </is>
      </c>
      <c r="B1270" s="14" t="n">
        <v>45707</v>
      </c>
      <c r="C1270" s="10" t="inlineStr">
        <is>
          <t>Treatment</t>
        </is>
      </c>
      <c r="D1270" s="10" t="inlineStr">
        <is>
          <t>West</t>
        </is>
      </c>
      <c r="E1270" s="10" t="inlineStr">
        <is>
          <t>Desktop</t>
        </is>
      </c>
      <c r="F1270" s="10" t="inlineStr">
        <is>
          <t>Paid Search</t>
        </is>
      </c>
      <c r="G1270" s="10" t="inlineStr">
        <is>
          <t>Premium</t>
        </is>
      </c>
      <c r="H1270" s="10" t="n">
        <v>0</v>
      </c>
      <c r="I1270" s="10" t="n">
        <v>0</v>
      </c>
      <c r="J1270" s="10" t="n">
        <v>0</v>
      </c>
      <c r="K1270" s="10" t="n">
        <v>0</v>
      </c>
      <c r="L1270" s="10" t="n">
        <v>0</v>
      </c>
      <c r="M1270" s="10" t="n">
        <v>1</v>
      </c>
      <c r="N1270" s="10" t="n">
        <v>0</v>
      </c>
      <c r="P1270" s="10" t="n">
        <v>48.6</v>
      </c>
      <c r="Q1270" s="10">
        <f>A1270&amp;"|"&amp;B1270&amp;"|"&amp;C1270&amp;"|"&amp;D1270&amp;"|"&amp;E1270&amp;"|"&amp;F1270&amp;"|"&amp;G1270&amp;"|"&amp;H1270&amp;"|"&amp;I1270&amp;"|"&amp;J1270&amp;"|"&amp;K1270&amp;"|"&amp;L1270&amp;"|"&amp;M1270&amp;"|"&amp;N1270&amp;"|"&amp;O1270&amp;"|"&amp;P1270</f>
        <v/>
      </c>
      <c r="R1270" s="10">
        <f>IF(COUNTIF($Q$2:$Q$1409,Q1270)&gt;1,IF(COUNTIF($Q$2:Q1270,Q1270)=1,"Exact Duplicate - Keep First","Exact Duplicate - Remove"),"Unique")</f>
        <v/>
      </c>
    </row>
    <row r="1271" ht="15" customHeight="1" s="11">
      <c r="A1271" s="10" t="inlineStr">
        <is>
          <t>USR-101270</t>
        </is>
      </c>
      <c r="B1271" s="14" t="n">
        <v>45732</v>
      </c>
      <c r="C1271" s="10" t="inlineStr">
        <is>
          <t>Treatment</t>
        </is>
      </c>
      <c r="D1271" s="10" t="inlineStr">
        <is>
          <t>East</t>
        </is>
      </c>
      <c r="E1271" s="10" t="inlineStr">
        <is>
          <t>Desktop</t>
        </is>
      </c>
      <c r="F1271" s="10" t="inlineStr">
        <is>
          <t>Social</t>
        </is>
      </c>
      <c r="G1271" s="10" t="inlineStr">
        <is>
          <t>Free</t>
        </is>
      </c>
      <c r="H1271" s="10" t="n">
        <v>1</v>
      </c>
      <c r="I1271" s="10" t="n">
        <v>1</v>
      </c>
      <c r="J1271" s="10" t="n">
        <v>0</v>
      </c>
      <c r="K1271" s="10" t="n">
        <v>0</v>
      </c>
      <c r="L1271" s="10" t="n">
        <v>0</v>
      </c>
      <c r="M1271" s="10" t="n">
        <v>0</v>
      </c>
      <c r="N1271" s="10" t="n">
        <v>0</v>
      </c>
      <c r="P1271" s="10" t="n">
        <v>66.2</v>
      </c>
      <c r="Q1271" s="10">
        <f>A1271&amp;"|"&amp;B1271&amp;"|"&amp;C1271&amp;"|"&amp;D1271&amp;"|"&amp;E1271&amp;"|"&amp;F1271&amp;"|"&amp;G1271&amp;"|"&amp;H1271&amp;"|"&amp;I1271&amp;"|"&amp;J1271&amp;"|"&amp;K1271&amp;"|"&amp;L1271&amp;"|"&amp;M1271&amp;"|"&amp;N1271&amp;"|"&amp;O1271&amp;"|"&amp;P1271</f>
        <v/>
      </c>
      <c r="R1271" s="10">
        <f>IF(COUNTIF($Q$2:$Q$1409,Q1271)&gt;1,IF(COUNTIF($Q$2:Q1271,Q1271)=1,"Exact Duplicate - Keep First","Exact Duplicate - Remove"),"Unique")</f>
        <v/>
      </c>
    </row>
    <row r="1272" ht="15" customHeight="1" s="11">
      <c r="A1272" s="10" t="inlineStr">
        <is>
          <t>USR-101271</t>
        </is>
      </c>
      <c r="B1272" s="14" t="n">
        <v>45691</v>
      </c>
      <c r="C1272" s="10" t="inlineStr">
        <is>
          <t>Treatment</t>
        </is>
      </c>
      <c r="D1272" s="10" t="inlineStr">
        <is>
          <t>West</t>
        </is>
      </c>
      <c r="F1272" s="10" t="inlineStr">
        <is>
          <t>Referral</t>
        </is>
      </c>
      <c r="G1272" s="10" t="inlineStr">
        <is>
          <t>Basic</t>
        </is>
      </c>
      <c r="H1272" s="10" t="n">
        <v>1</v>
      </c>
      <c r="I1272" s="10" t="n">
        <v>0</v>
      </c>
      <c r="J1272" s="10" t="n">
        <v>0</v>
      </c>
      <c r="K1272" s="10" t="n">
        <v>0</v>
      </c>
      <c r="L1272" s="10" t="n">
        <v>0</v>
      </c>
      <c r="M1272" s="10" t="n">
        <v>1</v>
      </c>
      <c r="N1272" s="10" t="n">
        <v>0</v>
      </c>
      <c r="P1272" s="10" t="n">
        <v>60.7</v>
      </c>
      <c r="Q1272" s="10">
        <f>A1272&amp;"|"&amp;B1272&amp;"|"&amp;C1272&amp;"|"&amp;D1272&amp;"|"&amp;E1272&amp;"|"&amp;F1272&amp;"|"&amp;G1272&amp;"|"&amp;H1272&amp;"|"&amp;I1272&amp;"|"&amp;J1272&amp;"|"&amp;K1272&amp;"|"&amp;L1272&amp;"|"&amp;M1272&amp;"|"&amp;N1272&amp;"|"&amp;O1272&amp;"|"&amp;P1272</f>
        <v/>
      </c>
      <c r="R1272" s="10">
        <f>IF(COUNTIF($Q$2:$Q$1409,Q1272)&gt;1,IF(COUNTIF($Q$2:Q1272,Q1272)=1,"Exact Duplicate - Keep First","Exact Duplicate - Remove"),"Unique")</f>
        <v/>
      </c>
    </row>
    <row r="1273" ht="15" customHeight="1" s="11">
      <c r="A1273" s="10" t="inlineStr">
        <is>
          <t>USR-101272</t>
        </is>
      </c>
      <c r="B1273" s="14" t="n">
        <v>45728</v>
      </c>
      <c r="C1273" s="10" t="inlineStr">
        <is>
          <t>Treatment</t>
        </is>
      </c>
      <c r="D1273" s="10" t="inlineStr">
        <is>
          <t>West</t>
        </is>
      </c>
      <c r="E1273" s="10" t="inlineStr">
        <is>
          <t>Mobile</t>
        </is>
      </c>
      <c r="F1273" s="10" t="inlineStr">
        <is>
          <t>Paid Search</t>
        </is>
      </c>
      <c r="G1273" s="10" t="inlineStr">
        <is>
          <t>Basic</t>
        </is>
      </c>
      <c r="H1273" s="10" t="n">
        <v>1</v>
      </c>
      <c r="I1273" s="10" t="n">
        <v>0</v>
      </c>
      <c r="J1273" s="10" t="n">
        <v>0</v>
      </c>
      <c r="K1273" s="10" t="n">
        <v>0</v>
      </c>
      <c r="L1273" s="10" t="n">
        <v>0</v>
      </c>
      <c r="M1273" s="10" t="n">
        <v>0</v>
      </c>
      <c r="N1273" s="10" t="n">
        <v>0</v>
      </c>
      <c r="P1273" s="10" t="n">
        <v>36.5</v>
      </c>
      <c r="Q1273" s="10">
        <f>A1273&amp;"|"&amp;B1273&amp;"|"&amp;C1273&amp;"|"&amp;D1273&amp;"|"&amp;E1273&amp;"|"&amp;F1273&amp;"|"&amp;G1273&amp;"|"&amp;H1273&amp;"|"&amp;I1273&amp;"|"&amp;J1273&amp;"|"&amp;K1273&amp;"|"&amp;L1273&amp;"|"&amp;M1273&amp;"|"&amp;N1273&amp;"|"&amp;O1273&amp;"|"&amp;P1273</f>
        <v/>
      </c>
      <c r="R1273" s="10">
        <f>IF(COUNTIF($Q$2:$Q$1409,Q1273)&gt;1,IF(COUNTIF($Q$2:Q1273,Q1273)=1,"Exact Duplicate - Keep First","Exact Duplicate - Remove"),"Unique")</f>
        <v/>
      </c>
    </row>
    <row r="1274" ht="15" customHeight="1" s="11">
      <c r="A1274" s="10" t="inlineStr">
        <is>
          <t>USR-101273</t>
        </is>
      </c>
      <c r="B1274" s="14" t="n">
        <v>45786</v>
      </c>
      <c r="C1274" s="10" t="inlineStr">
        <is>
          <t>Treatment</t>
        </is>
      </c>
      <c r="D1274" s="10" t="inlineStr">
        <is>
          <t>West</t>
        </is>
      </c>
      <c r="E1274" s="10" t="inlineStr">
        <is>
          <t>Mobile</t>
        </is>
      </c>
      <c r="F1274" s="10" t="inlineStr">
        <is>
          <t>Social</t>
        </is>
      </c>
      <c r="G1274" s="10" t="inlineStr">
        <is>
          <t>Free</t>
        </is>
      </c>
      <c r="H1274" s="10" t="n">
        <v>1</v>
      </c>
      <c r="I1274" s="10" t="n">
        <v>1</v>
      </c>
      <c r="J1274" s="10" t="n">
        <v>1</v>
      </c>
      <c r="K1274" s="10" t="n">
        <v>0</v>
      </c>
      <c r="L1274" s="10" t="n">
        <v>0</v>
      </c>
      <c r="M1274" s="10" t="n">
        <v>3</v>
      </c>
      <c r="N1274" s="10" t="n">
        <v>0</v>
      </c>
      <c r="P1274" s="10" t="n">
        <v>69.7</v>
      </c>
      <c r="Q1274" s="10">
        <f>A1274&amp;"|"&amp;B1274&amp;"|"&amp;C1274&amp;"|"&amp;D1274&amp;"|"&amp;E1274&amp;"|"&amp;F1274&amp;"|"&amp;G1274&amp;"|"&amp;H1274&amp;"|"&amp;I1274&amp;"|"&amp;J1274&amp;"|"&amp;K1274&amp;"|"&amp;L1274&amp;"|"&amp;M1274&amp;"|"&amp;N1274&amp;"|"&amp;O1274&amp;"|"&amp;P1274</f>
        <v/>
      </c>
      <c r="R1274" s="10">
        <f>IF(COUNTIF($Q$2:$Q$1409,Q1274)&gt;1,IF(COUNTIF($Q$2:Q1274,Q1274)=1,"Exact Duplicate - Keep First","Exact Duplicate - Remove"),"Unique")</f>
        <v/>
      </c>
    </row>
    <row r="1275" ht="15" customHeight="1" s="11">
      <c r="A1275" s="10" t="inlineStr">
        <is>
          <t>USR-101274</t>
        </is>
      </c>
      <c r="B1275" s="14" t="n">
        <v>45676</v>
      </c>
      <c r="C1275" s="10" t="inlineStr">
        <is>
          <t>Treatment</t>
        </is>
      </c>
      <c r="D1275" s="10" t="inlineStr">
        <is>
          <t>South</t>
        </is>
      </c>
      <c r="E1275" s="10" t="inlineStr">
        <is>
          <t>Desktop</t>
        </is>
      </c>
      <c r="F1275" s="10" t="inlineStr">
        <is>
          <t>Social</t>
        </is>
      </c>
      <c r="G1275" s="10" t="inlineStr">
        <is>
          <t>Premium</t>
        </is>
      </c>
      <c r="H1275" s="10" t="n">
        <v>1</v>
      </c>
      <c r="I1275" s="10" t="n">
        <v>0</v>
      </c>
      <c r="J1275" s="10" t="n">
        <v>0</v>
      </c>
      <c r="K1275" s="10" t="n">
        <v>0</v>
      </c>
      <c r="L1275" s="10" t="n">
        <v>0</v>
      </c>
      <c r="M1275" s="10" t="n">
        <v>0</v>
      </c>
      <c r="N1275" s="10" t="n">
        <v>0</v>
      </c>
      <c r="P1275" s="10" t="n">
        <v>81.8</v>
      </c>
      <c r="Q1275" s="10">
        <f>A1275&amp;"|"&amp;B1275&amp;"|"&amp;C1275&amp;"|"&amp;D1275&amp;"|"&amp;E1275&amp;"|"&amp;F1275&amp;"|"&amp;G1275&amp;"|"&amp;H1275&amp;"|"&amp;I1275&amp;"|"&amp;J1275&amp;"|"&amp;K1275&amp;"|"&amp;L1275&amp;"|"&amp;M1275&amp;"|"&amp;N1275&amp;"|"&amp;O1275&amp;"|"&amp;P1275</f>
        <v/>
      </c>
      <c r="R1275" s="10">
        <f>IF(COUNTIF($Q$2:$Q$1409,Q1275)&gt;1,IF(COUNTIF($Q$2:Q1275,Q1275)=1,"Exact Duplicate - Keep First","Exact Duplicate - Remove"),"Unique")</f>
        <v/>
      </c>
    </row>
    <row r="1276" ht="15" customHeight="1" s="11">
      <c r="A1276" s="10" t="inlineStr">
        <is>
          <t>USR-101275</t>
        </is>
      </c>
      <c r="B1276" s="14" t="n">
        <v>45681</v>
      </c>
      <c r="C1276" s="10" t="inlineStr">
        <is>
          <t>Treatment</t>
        </is>
      </c>
      <c r="D1276" s="10" t="inlineStr">
        <is>
          <t>West</t>
        </is>
      </c>
      <c r="E1276" s="10" t="inlineStr">
        <is>
          <t>Mobile</t>
        </is>
      </c>
      <c r="F1276" s="10" t="inlineStr">
        <is>
          <t>Referral</t>
        </is>
      </c>
      <c r="G1276" s="10" t="inlineStr">
        <is>
          <t>Free</t>
        </is>
      </c>
      <c r="H1276" s="10" t="n">
        <v>1</v>
      </c>
      <c r="I1276" s="10" t="n">
        <v>1</v>
      </c>
      <c r="J1276" s="10" t="n">
        <v>1</v>
      </c>
      <c r="K1276" s="10" t="n">
        <v>0</v>
      </c>
      <c r="L1276" s="10" t="n">
        <v>0</v>
      </c>
      <c r="M1276" s="10" t="n">
        <v>1</v>
      </c>
      <c r="N1276" s="10" t="n">
        <v>0</v>
      </c>
      <c r="P1276" s="10" t="n">
        <v>78.3</v>
      </c>
      <c r="Q1276" s="10">
        <f>A1276&amp;"|"&amp;B1276&amp;"|"&amp;C1276&amp;"|"&amp;D1276&amp;"|"&amp;E1276&amp;"|"&amp;F1276&amp;"|"&amp;G1276&amp;"|"&amp;H1276&amp;"|"&amp;I1276&amp;"|"&amp;J1276&amp;"|"&amp;K1276&amp;"|"&amp;L1276&amp;"|"&amp;M1276&amp;"|"&amp;N1276&amp;"|"&amp;O1276&amp;"|"&amp;P1276</f>
        <v/>
      </c>
      <c r="R1276" s="10">
        <f>IF(COUNTIF($Q$2:$Q$1409,Q1276)&gt;1,IF(COUNTIF($Q$2:Q1276,Q1276)=1,"Exact Duplicate - Keep First","Exact Duplicate - Remove"),"Unique")</f>
        <v/>
      </c>
    </row>
    <row r="1277" ht="15" customHeight="1" s="11">
      <c r="A1277" s="10" t="inlineStr">
        <is>
          <t>USR-101276</t>
        </is>
      </c>
      <c r="B1277" s="14" t="n">
        <v>45719</v>
      </c>
      <c r="C1277" s="10" t="inlineStr">
        <is>
          <t>Treatment</t>
        </is>
      </c>
      <c r="D1277" s="10" t="inlineStr">
        <is>
          <t>East</t>
        </is>
      </c>
      <c r="E1277" s="10" t="inlineStr">
        <is>
          <t>Mobile</t>
        </is>
      </c>
      <c r="F1277" s="10" t="inlineStr">
        <is>
          <t>Referral</t>
        </is>
      </c>
      <c r="G1277" s="10" t="inlineStr">
        <is>
          <t>Free</t>
        </is>
      </c>
      <c r="H1277" s="10" t="n">
        <v>1</v>
      </c>
      <c r="I1277" s="10" t="n">
        <v>1</v>
      </c>
      <c r="J1277" s="10" t="n">
        <v>0</v>
      </c>
      <c r="K1277" s="10" t="n">
        <v>0</v>
      </c>
      <c r="L1277" s="10" t="n">
        <v>0</v>
      </c>
      <c r="M1277" s="10" t="n">
        <v>0</v>
      </c>
      <c r="N1277" s="10" t="n">
        <v>0</v>
      </c>
      <c r="P1277" s="10" t="n">
        <v>79.40000000000001</v>
      </c>
      <c r="Q1277" s="10">
        <f>A1277&amp;"|"&amp;B1277&amp;"|"&amp;C1277&amp;"|"&amp;D1277&amp;"|"&amp;E1277&amp;"|"&amp;F1277&amp;"|"&amp;G1277&amp;"|"&amp;H1277&amp;"|"&amp;I1277&amp;"|"&amp;J1277&amp;"|"&amp;K1277&amp;"|"&amp;L1277&amp;"|"&amp;M1277&amp;"|"&amp;N1277&amp;"|"&amp;O1277&amp;"|"&amp;P1277</f>
        <v/>
      </c>
      <c r="R1277" s="10">
        <f>IF(COUNTIF($Q$2:$Q$1409,Q1277)&gt;1,IF(COUNTIF($Q$2:Q1277,Q1277)=1,"Exact Duplicate - Keep First","Exact Duplicate - Remove"),"Unique")</f>
        <v/>
      </c>
    </row>
    <row r="1278" ht="15" customHeight="1" s="11">
      <c r="A1278" s="10" t="inlineStr">
        <is>
          <t>USR-101277</t>
        </is>
      </c>
      <c r="B1278" s="14" t="n">
        <v>45804</v>
      </c>
      <c r="C1278" s="10" t="inlineStr">
        <is>
          <t>Treatment</t>
        </is>
      </c>
      <c r="D1278" s="10" t="inlineStr">
        <is>
          <t>North</t>
        </is>
      </c>
      <c r="E1278" s="10" t="inlineStr">
        <is>
          <t>Desktop</t>
        </is>
      </c>
      <c r="F1278" s="10" t="inlineStr">
        <is>
          <t>Referral</t>
        </is>
      </c>
      <c r="G1278" s="10" t="inlineStr">
        <is>
          <t>Free</t>
        </is>
      </c>
      <c r="H1278" s="10" t="n">
        <v>1</v>
      </c>
      <c r="I1278" s="10" t="n">
        <v>1</v>
      </c>
      <c r="J1278" s="10" t="n">
        <v>1</v>
      </c>
      <c r="K1278" s="10" t="n">
        <v>0</v>
      </c>
      <c r="L1278" s="10" t="n">
        <v>0</v>
      </c>
      <c r="M1278" s="10" t="n">
        <v>0</v>
      </c>
      <c r="N1278" s="10" t="n">
        <v>0</v>
      </c>
      <c r="P1278" s="10" t="n">
        <v>54.9</v>
      </c>
      <c r="Q1278" s="10">
        <f>A1278&amp;"|"&amp;B1278&amp;"|"&amp;C1278&amp;"|"&amp;D1278&amp;"|"&amp;E1278&amp;"|"&amp;F1278&amp;"|"&amp;G1278&amp;"|"&amp;H1278&amp;"|"&amp;I1278&amp;"|"&amp;J1278&amp;"|"&amp;K1278&amp;"|"&amp;L1278&amp;"|"&amp;M1278&amp;"|"&amp;N1278&amp;"|"&amp;O1278&amp;"|"&amp;P1278</f>
        <v/>
      </c>
      <c r="R1278" s="10">
        <f>IF(COUNTIF($Q$2:$Q$1409,Q1278)&gt;1,IF(COUNTIF($Q$2:Q1278,Q1278)=1,"Exact Duplicate - Keep First","Exact Duplicate - Remove"),"Unique")</f>
        <v/>
      </c>
    </row>
    <row r="1279" ht="15" customHeight="1" s="11">
      <c r="A1279" s="10" t="inlineStr">
        <is>
          <t>USR-101278</t>
        </is>
      </c>
      <c r="B1279" s="14" t="n">
        <v>45770</v>
      </c>
      <c r="C1279" s="10" t="inlineStr">
        <is>
          <t>Treatment</t>
        </is>
      </c>
      <c r="D1279" s="10" t="inlineStr">
        <is>
          <t>West</t>
        </is>
      </c>
      <c r="E1279" s="10" t="inlineStr">
        <is>
          <t>Desktop</t>
        </is>
      </c>
      <c r="F1279" s="10" t="inlineStr">
        <is>
          <t>Organic</t>
        </is>
      </c>
      <c r="G1279" s="10" t="inlineStr">
        <is>
          <t>Basic</t>
        </is>
      </c>
      <c r="H1279" s="10" t="n">
        <v>1</v>
      </c>
      <c r="I1279" s="10" t="n">
        <v>0</v>
      </c>
      <c r="J1279" s="10" t="n">
        <v>0</v>
      </c>
      <c r="K1279" s="10" t="n">
        <v>0</v>
      </c>
      <c r="L1279" s="10" t="n">
        <v>0</v>
      </c>
      <c r="M1279" s="10" t="n">
        <v>0</v>
      </c>
      <c r="N1279" s="10" t="n">
        <v>0</v>
      </c>
      <c r="P1279" s="10" t="n">
        <v>54.9</v>
      </c>
      <c r="Q1279" s="10">
        <f>A1279&amp;"|"&amp;B1279&amp;"|"&amp;C1279&amp;"|"&amp;D1279&amp;"|"&amp;E1279&amp;"|"&amp;F1279&amp;"|"&amp;G1279&amp;"|"&amp;H1279&amp;"|"&amp;I1279&amp;"|"&amp;J1279&amp;"|"&amp;K1279&amp;"|"&amp;L1279&amp;"|"&amp;M1279&amp;"|"&amp;N1279&amp;"|"&amp;O1279&amp;"|"&amp;P1279</f>
        <v/>
      </c>
      <c r="R1279" s="10">
        <f>IF(COUNTIF($Q$2:$Q$1409,Q1279)&gt;1,IF(COUNTIF($Q$2:Q1279,Q1279)=1,"Exact Duplicate - Keep First","Exact Duplicate - Remove"),"Unique")</f>
        <v/>
      </c>
    </row>
    <row r="1280" ht="15" customHeight="1" s="11">
      <c r="A1280" s="10" t="inlineStr">
        <is>
          <t>USR-101279</t>
        </is>
      </c>
      <c r="B1280" s="14" t="n">
        <v>45698</v>
      </c>
      <c r="C1280" s="10" t="inlineStr">
        <is>
          <t>Treatment</t>
        </is>
      </c>
      <c r="D1280" s="10" t="inlineStr">
        <is>
          <t>East</t>
        </is>
      </c>
      <c r="E1280" s="10" t="inlineStr">
        <is>
          <t>Desktop</t>
        </is>
      </c>
      <c r="F1280" s="10" t="inlineStr">
        <is>
          <t>Social</t>
        </is>
      </c>
      <c r="G1280" s="10" t="inlineStr">
        <is>
          <t>Free</t>
        </is>
      </c>
      <c r="H1280" s="10" t="n">
        <v>0</v>
      </c>
      <c r="I1280" s="10" t="n">
        <v>0</v>
      </c>
      <c r="J1280" s="10" t="n">
        <v>0</v>
      </c>
      <c r="K1280" s="10" t="n">
        <v>0</v>
      </c>
      <c r="L1280" s="10" t="n">
        <v>0</v>
      </c>
      <c r="M1280" s="10" t="n">
        <v>0</v>
      </c>
      <c r="N1280" s="10" t="n">
        <v>0</v>
      </c>
      <c r="P1280" s="10" t="n">
        <v>28.7</v>
      </c>
      <c r="Q1280" s="10">
        <f>A1280&amp;"|"&amp;B1280&amp;"|"&amp;C1280&amp;"|"&amp;D1280&amp;"|"&amp;E1280&amp;"|"&amp;F1280&amp;"|"&amp;G1280&amp;"|"&amp;H1280&amp;"|"&amp;I1280&amp;"|"&amp;J1280&amp;"|"&amp;K1280&amp;"|"&amp;L1280&amp;"|"&amp;M1280&amp;"|"&amp;N1280&amp;"|"&amp;O1280&amp;"|"&amp;P1280</f>
        <v/>
      </c>
      <c r="R1280" s="10">
        <f>IF(COUNTIF($Q$2:$Q$1409,Q1280)&gt;1,IF(COUNTIF($Q$2:Q1280,Q1280)=1,"Exact Duplicate - Keep First","Exact Duplicate - Remove"),"Unique")</f>
        <v/>
      </c>
    </row>
    <row r="1281" ht="15" customHeight="1" s="11">
      <c r="A1281" s="10" t="inlineStr">
        <is>
          <t>USR-101280</t>
        </is>
      </c>
      <c r="B1281" s="14" t="n">
        <v>45699</v>
      </c>
      <c r="C1281" s="10" t="inlineStr">
        <is>
          <t>Treatment</t>
        </is>
      </c>
      <c r="D1281" s="10" t="inlineStr">
        <is>
          <t>North</t>
        </is>
      </c>
      <c r="E1281" s="10" t="inlineStr">
        <is>
          <t>Mobile</t>
        </is>
      </c>
      <c r="F1281" s="10" t="inlineStr">
        <is>
          <t>Organic</t>
        </is>
      </c>
      <c r="G1281" s="10" t="inlineStr">
        <is>
          <t>Free</t>
        </is>
      </c>
      <c r="H1281" s="10" t="n">
        <v>0</v>
      </c>
      <c r="I1281" s="10" t="n">
        <v>0</v>
      </c>
      <c r="J1281" s="10" t="n">
        <v>0</v>
      </c>
      <c r="K1281" s="10" t="n">
        <v>0</v>
      </c>
      <c r="L1281" s="10" t="n">
        <v>0</v>
      </c>
      <c r="M1281" s="10" t="n">
        <v>0</v>
      </c>
      <c r="N1281" s="10" t="n">
        <v>0</v>
      </c>
      <c r="P1281" s="10" t="n">
        <v>68.8</v>
      </c>
      <c r="Q1281" s="10">
        <f>A1281&amp;"|"&amp;B1281&amp;"|"&amp;C1281&amp;"|"&amp;D1281&amp;"|"&amp;E1281&amp;"|"&amp;F1281&amp;"|"&amp;G1281&amp;"|"&amp;H1281&amp;"|"&amp;I1281&amp;"|"&amp;J1281&amp;"|"&amp;K1281&amp;"|"&amp;L1281&amp;"|"&amp;M1281&amp;"|"&amp;N1281&amp;"|"&amp;O1281&amp;"|"&amp;P1281</f>
        <v/>
      </c>
      <c r="R1281" s="10">
        <f>IF(COUNTIF($Q$2:$Q$1409,Q1281)&gt;1,IF(COUNTIF($Q$2:Q1281,Q1281)=1,"Exact Duplicate - Keep First","Exact Duplicate - Remove"),"Unique")</f>
        <v/>
      </c>
    </row>
    <row r="1282" ht="15" customHeight="1" s="11">
      <c r="A1282" s="10" t="inlineStr">
        <is>
          <t>USR-101281</t>
        </is>
      </c>
      <c r="B1282" s="14" t="n">
        <v>45678</v>
      </c>
      <c r="C1282" s="10" t="inlineStr">
        <is>
          <t>Treatment</t>
        </is>
      </c>
      <c r="D1282" s="10" t="inlineStr">
        <is>
          <t>East</t>
        </is>
      </c>
      <c r="E1282" s="10" t="inlineStr">
        <is>
          <t>Desktop</t>
        </is>
      </c>
      <c r="F1282" s="10" t="inlineStr">
        <is>
          <t>Paid Search</t>
        </is>
      </c>
      <c r="G1282" s="10" t="inlineStr">
        <is>
          <t>Free</t>
        </is>
      </c>
      <c r="H1282" s="10" t="n">
        <v>1</v>
      </c>
      <c r="I1282" s="10" t="n">
        <v>1</v>
      </c>
      <c r="J1282" s="10" t="n">
        <v>1</v>
      </c>
      <c r="K1282" s="10" t="n">
        <v>0</v>
      </c>
      <c r="L1282" s="10" t="n">
        <v>0</v>
      </c>
      <c r="M1282" s="10" t="n">
        <v>0</v>
      </c>
      <c r="N1282" s="10" t="n">
        <v>0</v>
      </c>
      <c r="P1282" s="10" t="n">
        <v>43.5</v>
      </c>
      <c r="Q1282" s="10">
        <f>A1282&amp;"|"&amp;B1282&amp;"|"&amp;C1282&amp;"|"&amp;D1282&amp;"|"&amp;E1282&amp;"|"&amp;F1282&amp;"|"&amp;G1282&amp;"|"&amp;H1282&amp;"|"&amp;I1282&amp;"|"&amp;J1282&amp;"|"&amp;K1282&amp;"|"&amp;L1282&amp;"|"&amp;M1282&amp;"|"&amp;N1282&amp;"|"&amp;O1282&amp;"|"&amp;P1282</f>
        <v/>
      </c>
      <c r="R1282" s="10">
        <f>IF(COUNTIF($Q$2:$Q$1409,Q1282)&gt;1,IF(COUNTIF($Q$2:Q1282,Q1282)=1,"Exact Duplicate - Keep First","Exact Duplicate - Remove"),"Unique")</f>
        <v/>
      </c>
    </row>
    <row r="1283" ht="15" customHeight="1" s="11">
      <c r="A1283" s="10" t="inlineStr">
        <is>
          <t>USR-101282</t>
        </is>
      </c>
      <c r="B1283" s="14" t="n">
        <v>45690</v>
      </c>
      <c r="C1283" s="10" t="inlineStr">
        <is>
          <t>Treatment</t>
        </is>
      </c>
      <c r="D1283" s="10" t="inlineStr">
        <is>
          <t>West</t>
        </is>
      </c>
      <c r="E1283" s="10" t="inlineStr">
        <is>
          <t>Desktop</t>
        </is>
      </c>
      <c r="F1283" s="10" t="inlineStr">
        <is>
          <t>Social</t>
        </is>
      </c>
      <c r="G1283" s="10" t="inlineStr">
        <is>
          <t>Free</t>
        </is>
      </c>
      <c r="H1283" s="10" t="n">
        <v>1</v>
      </c>
      <c r="I1283" s="10" t="n">
        <v>1</v>
      </c>
      <c r="J1283" s="10" t="n">
        <v>0</v>
      </c>
      <c r="K1283" s="10" t="n">
        <v>0</v>
      </c>
      <c r="L1283" s="10" t="n">
        <v>0</v>
      </c>
      <c r="M1283" s="10" t="n">
        <v>0</v>
      </c>
      <c r="N1283" s="10" t="n">
        <v>0</v>
      </c>
      <c r="P1283" s="10" t="n">
        <v>62.6</v>
      </c>
      <c r="Q1283" s="10">
        <f>A1283&amp;"|"&amp;B1283&amp;"|"&amp;C1283&amp;"|"&amp;D1283&amp;"|"&amp;E1283&amp;"|"&amp;F1283&amp;"|"&amp;G1283&amp;"|"&amp;H1283&amp;"|"&amp;I1283&amp;"|"&amp;J1283&amp;"|"&amp;K1283&amp;"|"&amp;L1283&amp;"|"&amp;M1283&amp;"|"&amp;N1283&amp;"|"&amp;O1283&amp;"|"&amp;P1283</f>
        <v/>
      </c>
      <c r="R1283" s="10">
        <f>IF(COUNTIF($Q$2:$Q$1409,Q1283)&gt;1,IF(COUNTIF($Q$2:Q1283,Q1283)=1,"Exact Duplicate - Keep First","Exact Duplicate - Remove"),"Unique")</f>
        <v/>
      </c>
    </row>
    <row r="1284" ht="15" customHeight="1" s="11">
      <c r="A1284" s="10" t="inlineStr">
        <is>
          <t>USR-101283</t>
        </is>
      </c>
      <c r="B1284" s="14" t="n">
        <v>45690</v>
      </c>
      <c r="C1284" s="10" t="inlineStr">
        <is>
          <t>Treatment</t>
        </is>
      </c>
      <c r="D1284" s="10" t="inlineStr">
        <is>
          <t>West</t>
        </is>
      </c>
      <c r="E1284" s="10" t="inlineStr">
        <is>
          <t>Mobile</t>
        </is>
      </c>
      <c r="F1284" s="10" t="inlineStr">
        <is>
          <t>Organic</t>
        </is>
      </c>
      <c r="G1284" s="10" t="inlineStr">
        <is>
          <t>Free</t>
        </is>
      </c>
      <c r="H1284" s="10" t="n">
        <v>0</v>
      </c>
      <c r="I1284" s="10" t="n">
        <v>0</v>
      </c>
      <c r="J1284" s="10" t="n">
        <v>0</v>
      </c>
      <c r="K1284" s="10" t="n">
        <v>0</v>
      </c>
      <c r="L1284" s="10" t="n">
        <v>0</v>
      </c>
      <c r="M1284" s="10" t="n">
        <v>1</v>
      </c>
      <c r="N1284" s="10" t="n">
        <v>0</v>
      </c>
      <c r="P1284" s="10" t="n">
        <v>54.1</v>
      </c>
      <c r="Q1284" s="10">
        <f>A1284&amp;"|"&amp;B1284&amp;"|"&amp;C1284&amp;"|"&amp;D1284&amp;"|"&amp;E1284&amp;"|"&amp;F1284&amp;"|"&amp;G1284&amp;"|"&amp;H1284&amp;"|"&amp;I1284&amp;"|"&amp;J1284&amp;"|"&amp;K1284&amp;"|"&amp;L1284&amp;"|"&amp;M1284&amp;"|"&amp;N1284&amp;"|"&amp;O1284&amp;"|"&amp;P1284</f>
        <v/>
      </c>
      <c r="R1284" s="10">
        <f>IF(COUNTIF($Q$2:$Q$1409,Q1284)&gt;1,IF(COUNTIF($Q$2:Q1284,Q1284)=1,"Exact Duplicate - Keep First","Exact Duplicate - Remove"),"Unique")</f>
        <v/>
      </c>
    </row>
    <row r="1285" ht="15" customHeight="1" s="11">
      <c r="A1285" s="10" t="inlineStr">
        <is>
          <t>USR-101284</t>
        </is>
      </c>
      <c r="B1285" s="14" t="n">
        <v>45714</v>
      </c>
      <c r="C1285" s="10" t="inlineStr">
        <is>
          <t>Treatment</t>
        </is>
      </c>
      <c r="D1285" s="10" t="inlineStr">
        <is>
          <t>West</t>
        </is>
      </c>
      <c r="E1285" s="10" t="inlineStr">
        <is>
          <t>Tablet</t>
        </is>
      </c>
      <c r="F1285" s="10" t="inlineStr">
        <is>
          <t>Social</t>
        </is>
      </c>
      <c r="G1285" s="10" t="inlineStr">
        <is>
          <t>Free</t>
        </is>
      </c>
      <c r="H1285" s="10" t="n">
        <v>1</v>
      </c>
      <c r="I1285" s="10" t="n">
        <v>1</v>
      </c>
      <c r="J1285" s="10" t="n">
        <v>1</v>
      </c>
      <c r="K1285" s="10" t="n">
        <v>0</v>
      </c>
      <c r="L1285" s="10" t="n">
        <v>0</v>
      </c>
      <c r="M1285" s="10" t="n">
        <v>0</v>
      </c>
      <c r="N1285" s="10" t="n">
        <v>0</v>
      </c>
      <c r="P1285" s="10" t="n">
        <v>80.09999999999999</v>
      </c>
      <c r="Q1285" s="10">
        <f>A1285&amp;"|"&amp;B1285&amp;"|"&amp;C1285&amp;"|"&amp;D1285&amp;"|"&amp;E1285&amp;"|"&amp;F1285&amp;"|"&amp;G1285&amp;"|"&amp;H1285&amp;"|"&amp;I1285&amp;"|"&amp;J1285&amp;"|"&amp;K1285&amp;"|"&amp;L1285&amp;"|"&amp;M1285&amp;"|"&amp;N1285&amp;"|"&amp;O1285&amp;"|"&amp;P1285</f>
        <v/>
      </c>
      <c r="R1285" s="10">
        <f>IF(COUNTIF($Q$2:$Q$1409,Q1285)&gt;1,IF(COUNTIF($Q$2:Q1285,Q1285)=1,"Exact Duplicate - Keep First","Exact Duplicate - Remove"),"Unique")</f>
        <v/>
      </c>
    </row>
    <row r="1286" ht="15" customHeight="1" s="11">
      <c r="A1286" s="10" t="inlineStr">
        <is>
          <t>USR-101285</t>
        </is>
      </c>
      <c r="B1286" s="14" t="n">
        <v>45769</v>
      </c>
      <c r="C1286" s="10" t="inlineStr">
        <is>
          <t>Treatment</t>
        </is>
      </c>
      <c r="D1286" s="10" t="inlineStr">
        <is>
          <t>North</t>
        </is>
      </c>
      <c r="E1286" s="10" t="inlineStr">
        <is>
          <t>Mobile</t>
        </is>
      </c>
      <c r="F1286" s="10" t="inlineStr">
        <is>
          <t>Social</t>
        </is>
      </c>
      <c r="G1286" s="10" t="inlineStr">
        <is>
          <t>Premium</t>
        </is>
      </c>
      <c r="H1286" s="10" t="n">
        <v>1</v>
      </c>
      <c r="I1286" s="10" t="n">
        <v>0</v>
      </c>
      <c r="J1286" s="10" t="n">
        <v>0</v>
      </c>
      <c r="K1286" s="10" t="n">
        <v>0</v>
      </c>
      <c r="L1286" s="10" t="n">
        <v>0</v>
      </c>
      <c r="M1286" s="10" t="n">
        <v>0</v>
      </c>
      <c r="N1286" s="10" t="n">
        <v>0</v>
      </c>
      <c r="P1286" s="10" t="n">
        <v>69.5</v>
      </c>
      <c r="Q1286" s="10">
        <f>A1286&amp;"|"&amp;B1286&amp;"|"&amp;C1286&amp;"|"&amp;D1286&amp;"|"&amp;E1286&amp;"|"&amp;F1286&amp;"|"&amp;G1286&amp;"|"&amp;H1286&amp;"|"&amp;I1286&amp;"|"&amp;J1286&amp;"|"&amp;K1286&amp;"|"&amp;L1286&amp;"|"&amp;M1286&amp;"|"&amp;N1286&amp;"|"&amp;O1286&amp;"|"&amp;P1286</f>
        <v/>
      </c>
      <c r="R1286" s="10">
        <f>IF(COUNTIF($Q$2:$Q$1409,Q1286)&gt;1,IF(COUNTIF($Q$2:Q1286,Q1286)=1,"Exact Duplicate - Keep First","Exact Duplicate - Remove"),"Unique")</f>
        <v/>
      </c>
    </row>
    <row r="1287" ht="15" customHeight="1" s="11">
      <c r="A1287" s="10" t="inlineStr">
        <is>
          <t>USR-101286</t>
        </is>
      </c>
      <c r="B1287" s="14" t="n">
        <v>45727</v>
      </c>
      <c r="C1287" s="10" t="inlineStr">
        <is>
          <t>Treatment</t>
        </is>
      </c>
      <c r="D1287" s="10" t="inlineStr">
        <is>
          <t>North</t>
        </is>
      </c>
      <c r="E1287" s="10" t="inlineStr">
        <is>
          <t>Desktop</t>
        </is>
      </c>
      <c r="F1287" s="10" t="inlineStr">
        <is>
          <t>Organic</t>
        </is>
      </c>
      <c r="G1287" s="10" t="inlineStr">
        <is>
          <t>Basic</t>
        </is>
      </c>
      <c r="H1287" s="10" t="n">
        <v>0</v>
      </c>
      <c r="I1287" s="10" t="n">
        <v>0</v>
      </c>
      <c r="J1287" s="10" t="n">
        <v>0</v>
      </c>
      <c r="K1287" s="10" t="n">
        <v>0</v>
      </c>
      <c r="L1287" s="10" t="n">
        <v>0</v>
      </c>
      <c r="M1287" s="10" t="n">
        <v>2</v>
      </c>
      <c r="N1287" s="10" t="n">
        <v>0</v>
      </c>
      <c r="P1287" s="10" t="n">
        <v>46.6</v>
      </c>
      <c r="Q1287" s="10">
        <f>A1287&amp;"|"&amp;B1287&amp;"|"&amp;C1287&amp;"|"&amp;D1287&amp;"|"&amp;E1287&amp;"|"&amp;F1287&amp;"|"&amp;G1287&amp;"|"&amp;H1287&amp;"|"&amp;I1287&amp;"|"&amp;J1287&amp;"|"&amp;K1287&amp;"|"&amp;L1287&amp;"|"&amp;M1287&amp;"|"&amp;N1287&amp;"|"&amp;O1287&amp;"|"&amp;P1287</f>
        <v/>
      </c>
      <c r="R1287" s="10">
        <f>IF(COUNTIF($Q$2:$Q$1409,Q1287)&gt;1,IF(COUNTIF($Q$2:Q1287,Q1287)=1,"Exact Duplicate - Keep First","Exact Duplicate - Remove"),"Unique")</f>
        <v/>
      </c>
    </row>
    <row r="1288" ht="15" customHeight="1" s="11">
      <c r="A1288" s="10" t="inlineStr">
        <is>
          <t>USR-101287</t>
        </is>
      </c>
      <c r="B1288" s="14" t="n">
        <v>45785</v>
      </c>
      <c r="C1288" s="10" t="inlineStr">
        <is>
          <t>Treatment</t>
        </is>
      </c>
      <c r="D1288" s="10" t="inlineStr">
        <is>
          <t>South</t>
        </is>
      </c>
      <c r="E1288" s="10" t="inlineStr">
        <is>
          <t>Mobile</t>
        </is>
      </c>
      <c r="F1288" s="10" t="inlineStr">
        <is>
          <t>Organic</t>
        </is>
      </c>
      <c r="G1288" s="10" t="inlineStr">
        <is>
          <t>Premium</t>
        </is>
      </c>
      <c r="H1288" s="10" t="n">
        <v>1</v>
      </c>
      <c r="I1288" s="10" t="n">
        <v>0</v>
      </c>
      <c r="J1288" s="10" t="n">
        <v>0</v>
      </c>
      <c r="K1288" s="10" t="n">
        <v>0</v>
      </c>
      <c r="L1288" s="10" t="n">
        <v>0</v>
      </c>
      <c r="M1288" s="10" t="n">
        <v>1</v>
      </c>
      <c r="N1288" s="10" t="n">
        <v>0</v>
      </c>
      <c r="P1288" s="10" t="n">
        <v>54.9</v>
      </c>
      <c r="Q1288" s="10">
        <f>A1288&amp;"|"&amp;B1288&amp;"|"&amp;C1288&amp;"|"&amp;D1288&amp;"|"&amp;E1288&amp;"|"&amp;F1288&amp;"|"&amp;G1288&amp;"|"&amp;H1288&amp;"|"&amp;I1288&amp;"|"&amp;J1288&amp;"|"&amp;K1288&amp;"|"&amp;L1288&amp;"|"&amp;M1288&amp;"|"&amp;N1288&amp;"|"&amp;O1288&amp;"|"&amp;P1288</f>
        <v/>
      </c>
      <c r="R1288" s="10">
        <f>IF(COUNTIF($Q$2:$Q$1409,Q1288)&gt;1,IF(COUNTIF($Q$2:Q1288,Q1288)=1,"Exact Duplicate - Keep First","Exact Duplicate - Remove"),"Unique")</f>
        <v/>
      </c>
    </row>
    <row r="1289" ht="15" customHeight="1" s="11">
      <c r="A1289" s="10" t="inlineStr">
        <is>
          <t>USR-101288</t>
        </is>
      </c>
      <c r="B1289" s="14" t="n">
        <v>45726</v>
      </c>
      <c r="C1289" s="10" t="inlineStr">
        <is>
          <t>Treatment</t>
        </is>
      </c>
      <c r="D1289" s="10" t="inlineStr">
        <is>
          <t>East</t>
        </is>
      </c>
      <c r="E1289" s="10" t="inlineStr">
        <is>
          <t>Desktop</t>
        </is>
      </c>
      <c r="F1289" s="10" t="inlineStr">
        <is>
          <t>Organic</t>
        </is>
      </c>
      <c r="G1289" s="10" t="inlineStr">
        <is>
          <t>Free</t>
        </is>
      </c>
      <c r="H1289" s="10" t="n">
        <v>0</v>
      </c>
      <c r="I1289" s="10" t="n">
        <v>0</v>
      </c>
      <c r="J1289" s="10" t="n">
        <v>0</v>
      </c>
      <c r="K1289" s="10" t="n">
        <v>0</v>
      </c>
      <c r="L1289" s="10" t="n">
        <v>0</v>
      </c>
      <c r="M1289" s="10" t="n">
        <v>0</v>
      </c>
      <c r="N1289" s="10" t="n">
        <v>0</v>
      </c>
      <c r="P1289" s="10" t="n">
        <v>100</v>
      </c>
      <c r="Q1289" s="10">
        <f>A1289&amp;"|"&amp;B1289&amp;"|"&amp;C1289&amp;"|"&amp;D1289&amp;"|"&amp;E1289&amp;"|"&amp;F1289&amp;"|"&amp;G1289&amp;"|"&amp;H1289&amp;"|"&amp;I1289&amp;"|"&amp;J1289&amp;"|"&amp;K1289&amp;"|"&amp;L1289&amp;"|"&amp;M1289&amp;"|"&amp;N1289&amp;"|"&amp;O1289&amp;"|"&amp;P1289</f>
        <v/>
      </c>
      <c r="R1289" s="10">
        <f>IF(COUNTIF($Q$2:$Q$1409,Q1289)&gt;1,IF(COUNTIF($Q$2:Q1289,Q1289)=1,"Exact Duplicate - Keep First","Exact Duplicate - Remove"),"Unique")</f>
        <v/>
      </c>
    </row>
    <row r="1290" ht="15" customHeight="1" s="11">
      <c r="A1290" s="10" t="inlineStr">
        <is>
          <t>USR-101289</t>
        </is>
      </c>
      <c r="B1290" s="14" t="n">
        <v>45763</v>
      </c>
      <c r="C1290" s="10" t="inlineStr">
        <is>
          <t>Treatment</t>
        </is>
      </c>
      <c r="D1290" s="10" t="inlineStr">
        <is>
          <t>East</t>
        </is>
      </c>
      <c r="E1290" s="10" t="inlineStr">
        <is>
          <t>Desktop</t>
        </is>
      </c>
      <c r="F1290" s="10" t="inlineStr">
        <is>
          <t>Paid Search</t>
        </is>
      </c>
      <c r="G1290" s="10" t="inlineStr">
        <is>
          <t>Free</t>
        </is>
      </c>
      <c r="H1290" s="10" t="n">
        <v>1</v>
      </c>
      <c r="I1290" s="10" t="n">
        <v>1</v>
      </c>
      <c r="J1290" s="10" t="n">
        <v>1</v>
      </c>
      <c r="K1290" s="10" t="n">
        <v>0</v>
      </c>
      <c r="L1290" s="10" t="n">
        <v>0</v>
      </c>
      <c r="M1290" s="10" t="n">
        <v>1</v>
      </c>
      <c r="N1290" s="10" t="n">
        <v>0</v>
      </c>
      <c r="P1290" s="10" t="n">
        <v>80.5</v>
      </c>
      <c r="Q1290" s="10">
        <f>A1290&amp;"|"&amp;B1290&amp;"|"&amp;C1290&amp;"|"&amp;D1290&amp;"|"&amp;E1290&amp;"|"&amp;F1290&amp;"|"&amp;G1290&amp;"|"&amp;H1290&amp;"|"&amp;I1290&amp;"|"&amp;J1290&amp;"|"&amp;K1290&amp;"|"&amp;L1290&amp;"|"&amp;M1290&amp;"|"&amp;N1290&amp;"|"&amp;O1290&amp;"|"&amp;P1290</f>
        <v/>
      </c>
      <c r="R1290" s="10">
        <f>IF(COUNTIF($Q$2:$Q$1409,Q1290)&gt;1,IF(COUNTIF($Q$2:Q1290,Q1290)=1,"Exact Duplicate - Keep First","Exact Duplicate - Remove"),"Unique")</f>
        <v/>
      </c>
    </row>
    <row r="1291" ht="15" customHeight="1" s="11">
      <c r="A1291" s="10" t="inlineStr">
        <is>
          <t>USR-101290</t>
        </is>
      </c>
      <c r="B1291" s="14" t="n">
        <v>45717</v>
      </c>
      <c r="C1291" s="10" t="inlineStr">
        <is>
          <t>Treatment</t>
        </is>
      </c>
      <c r="D1291" s="10" t="inlineStr">
        <is>
          <t>West</t>
        </is>
      </c>
      <c r="E1291" s="10" t="inlineStr">
        <is>
          <t>Tablet</t>
        </is>
      </c>
      <c r="F1291" s="10" t="inlineStr">
        <is>
          <t>Organic</t>
        </is>
      </c>
      <c r="G1291" s="10" t="inlineStr">
        <is>
          <t>Basic</t>
        </is>
      </c>
      <c r="H1291" s="10" t="n">
        <v>1</v>
      </c>
      <c r="I1291" s="10" t="n">
        <v>0</v>
      </c>
      <c r="J1291" s="10" t="n">
        <v>0</v>
      </c>
      <c r="K1291" s="10" t="n">
        <v>0</v>
      </c>
      <c r="L1291" s="10" t="n">
        <v>0</v>
      </c>
      <c r="M1291" s="10" t="n">
        <v>0</v>
      </c>
      <c r="N1291" s="10" t="n">
        <v>0</v>
      </c>
      <c r="P1291" s="10" t="n">
        <v>51.2</v>
      </c>
      <c r="Q1291" s="10">
        <f>A1291&amp;"|"&amp;B1291&amp;"|"&amp;C1291&amp;"|"&amp;D1291&amp;"|"&amp;E1291&amp;"|"&amp;F1291&amp;"|"&amp;G1291&amp;"|"&amp;H1291&amp;"|"&amp;I1291&amp;"|"&amp;J1291&amp;"|"&amp;K1291&amp;"|"&amp;L1291&amp;"|"&amp;M1291&amp;"|"&amp;N1291&amp;"|"&amp;O1291&amp;"|"&amp;P1291</f>
        <v/>
      </c>
      <c r="R1291" s="10">
        <f>IF(COUNTIF($Q$2:$Q$1409,Q1291)&gt;1,IF(COUNTIF($Q$2:Q1291,Q1291)=1,"Exact Duplicate - Keep First","Exact Duplicate - Remove"),"Unique")</f>
        <v/>
      </c>
    </row>
    <row r="1292" ht="15" customHeight="1" s="11">
      <c r="A1292" s="10" t="inlineStr">
        <is>
          <t>USR-101291</t>
        </is>
      </c>
      <c r="B1292" s="14" t="n">
        <v>45675</v>
      </c>
      <c r="C1292" s="10" t="inlineStr">
        <is>
          <t>Treatment</t>
        </is>
      </c>
      <c r="D1292" s="10" t="inlineStr">
        <is>
          <t>South</t>
        </is>
      </c>
      <c r="E1292" s="10" t="inlineStr">
        <is>
          <t>Desktop</t>
        </is>
      </c>
      <c r="F1292" s="10" t="inlineStr">
        <is>
          <t>Organic</t>
        </is>
      </c>
      <c r="G1292" s="10" t="inlineStr">
        <is>
          <t>Premium</t>
        </is>
      </c>
      <c r="H1292" s="10" t="n">
        <v>1</v>
      </c>
      <c r="I1292" s="10" t="n">
        <v>0</v>
      </c>
      <c r="J1292" s="10" t="n">
        <v>0</v>
      </c>
      <c r="K1292" s="10" t="n">
        <v>0</v>
      </c>
      <c r="L1292" s="10" t="n">
        <v>0</v>
      </c>
      <c r="M1292" s="10" t="n">
        <v>0</v>
      </c>
      <c r="N1292" s="10" t="n">
        <v>0</v>
      </c>
      <c r="P1292" s="10" t="n">
        <v>42.5</v>
      </c>
      <c r="Q1292" s="10">
        <f>A1292&amp;"|"&amp;B1292&amp;"|"&amp;C1292&amp;"|"&amp;D1292&amp;"|"&amp;E1292&amp;"|"&amp;F1292&amp;"|"&amp;G1292&amp;"|"&amp;H1292&amp;"|"&amp;I1292&amp;"|"&amp;J1292&amp;"|"&amp;K1292&amp;"|"&amp;L1292&amp;"|"&amp;M1292&amp;"|"&amp;N1292&amp;"|"&amp;O1292&amp;"|"&amp;P1292</f>
        <v/>
      </c>
      <c r="R1292" s="10">
        <f>IF(COUNTIF($Q$2:$Q$1409,Q1292)&gt;1,IF(COUNTIF($Q$2:Q1292,Q1292)=1,"Exact Duplicate - Keep First","Exact Duplicate - Remove"),"Unique")</f>
        <v/>
      </c>
    </row>
    <row r="1293" ht="15" customHeight="1" s="11">
      <c r="A1293" s="10" t="inlineStr">
        <is>
          <t>USR-101292</t>
        </is>
      </c>
      <c r="B1293" s="14" t="n">
        <v>45746</v>
      </c>
      <c r="C1293" s="10" t="inlineStr">
        <is>
          <t>Treatment</t>
        </is>
      </c>
      <c r="D1293" s="10" t="inlineStr">
        <is>
          <t>North</t>
        </is>
      </c>
      <c r="E1293" s="10" t="inlineStr">
        <is>
          <t>Mobile</t>
        </is>
      </c>
      <c r="F1293" s="10" t="inlineStr">
        <is>
          <t>Paid Search</t>
        </is>
      </c>
      <c r="G1293" s="10" t="inlineStr">
        <is>
          <t>Free</t>
        </is>
      </c>
      <c r="H1293" s="10" t="n">
        <v>0</v>
      </c>
      <c r="I1293" s="10" t="n">
        <v>0</v>
      </c>
      <c r="J1293" s="10" t="n">
        <v>0</v>
      </c>
      <c r="K1293" s="10" t="n">
        <v>0</v>
      </c>
      <c r="L1293" s="10" t="n">
        <v>0</v>
      </c>
      <c r="M1293" s="10" t="n">
        <v>0</v>
      </c>
      <c r="N1293" s="10" t="n">
        <v>0</v>
      </c>
      <c r="P1293" s="10" t="n">
        <v>72.5</v>
      </c>
      <c r="Q1293" s="10">
        <f>A1293&amp;"|"&amp;B1293&amp;"|"&amp;C1293&amp;"|"&amp;D1293&amp;"|"&amp;E1293&amp;"|"&amp;F1293&amp;"|"&amp;G1293&amp;"|"&amp;H1293&amp;"|"&amp;I1293&amp;"|"&amp;J1293&amp;"|"&amp;K1293&amp;"|"&amp;L1293&amp;"|"&amp;M1293&amp;"|"&amp;N1293&amp;"|"&amp;O1293&amp;"|"&amp;P1293</f>
        <v/>
      </c>
      <c r="R1293" s="10">
        <f>IF(COUNTIF($Q$2:$Q$1409,Q1293)&gt;1,IF(COUNTIF($Q$2:Q1293,Q1293)=1,"Exact Duplicate - Keep First","Exact Duplicate - Remove"),"Unique")</f>
        <v/>
      </c>
    </row>
    <row r="1294" ht="15" customHeight="1" s="11">
      <c r="A1294" s="10" t="inlineStr">
        <is>
          <t>USR-101293</t>
        </is>
      </c>
      <c r="B1294" s="14" t="n">
        <v>45803</v>
      </c>
      <c r="C1294" s="10" t="inlineStr">
        <is>
          <t>Treatment</t>
        </is>
      </c>
      <c r="D1294" s="10" t="inlineStr">
        <is>
          <t>West</t>
        </is>
      </c>
      <c r="E1294" s="10" t="inlineStr">
        <is>
          <t>Mobile</t>
        </is>
      </c>
      <c r="F1294" s="10" t="inlineStr">
        <is>
          <t>Social</t>
        </is>
      </c>
      <c r="G1294" s="10" t="inlineStr">
        <is>
          <t>Premium</t>
        </is>
      </c>
      <c r="H1294" s="10" t="n">
        <v>0</v>
      </c>
      <c r="I1294" s="10" t="n">
        <v>0</v>
      </c>
      <c r="J1294" s="10" t="n">
        <v>0</v>
      </c>
      <c r="K1294" s="10" t="n">
        <v>0</v>
      </c>
      <c r="L1294" s="10" t="n">
        <v>0</v>
      </c>
      <c r="M1294" s="10" t="n">
        <v>0</v>
      </c>
      <c r="N1294" s="10" t="n">
        <v>0</v>
      </c>
      <c r="P1294" s="10" t="n">
        <v>74.40000000000001</v>
      </c>
      <c r="Q1294" s="10">
        <f>A1294&amp;"|"&amp;B1294&amp;"|"&amp;C1294&amp;"|"&amp;D1294&amp;"|"&amp;E1294&amp;"|"&amp;F1294&amp;"|"&amp;G1294&amp;"|"&amp;H1294&amp;"|"&amp;I1294&amp;"|"&amp;J1294&amp;"|"&amp;K1294&amp;"|"&amp;L1294&amp;"|"&amp;M1294&amp;"|"&amp;N1294&amp;"|"&amp;O1294&amp;"|"&amp;P1294</f>
        <v/>
      </c>
      <c r="R1294" s="10">
        <f>IF(COUNTIF($Q$2:$Q$1409,Q1294)&gt;1,IF(COUNTIF($Q$2:Q1294,Q1294)=1,"Exact Duplicate - Keep First","Exact Duplicate - Remove"),"Unique")</f>
        <v/>
      </c>
    </row>
    <row r="1295" ht="15" customHeight="1" s="11">
      <c r="A1295" s="10" t="inlineStr">
        <is>
          <t>USR-101294</t>
        </is>
      </c>
      <c r="B1295" s="14" t="n">
        <v>45735</v>
      </c>
      <c r="C1295" s="10" t="inlineStr">
        <is>
          <t>Treatment</t>
        </is>
      </c>
      <c r="D1295" s="10" t="inlineStr">
        <is>
          <t>East</t>
        </is>
      </c>
      <c r="E1295" s="10" t="inlineStr">
        <is>
          <t>Desktop</t>
        </is>
      </c>
      <c r="F1295" s="10" t="inlineStr">
        <is>
          <t>Social</t>
        </is>
      </c>
      <c r="G1295" s="10" t="inlineStr">
        <is>
          <t>Free</t>
        </is>
      </c>
      <c r="H1295" s="10" t="n">
        <v>0</v>
      </c>
      <c r="I1295" s="10" t="n">
        <v>0</v>
      </c>
      <c r="J1295" s="10" t="n">
        <v>0</v>
      </c>
      <c r="K1295" s="10" t="n">
        <v>0</v>
      </c>
      <c r="L1295" s="10" t="n">
        <v>0</v>
      </c>
      <c r="M1295" s="10" t="n">
        <v>0</v>
      </c>
      <c r="N1295" s="10" t="n">
        <v>0</v>
      </c>
      <c r="P1295" s="10" t="n">
        <v>78.40000000000001</v>
      </c>
      <c r="Q1295" s="10">
        <f>A1295&amp;"|"&amp;B1295&amp;"|"&amp;C1295&amp;"|"&amp;D1295&amp;"|"&amp;E1295&amp;"|"&amp;F1295&amp;"|"&amp;G1295&amp;"|"&amp;H1295&amp;"|"&amp;I1295&amp;"|"&amp;J1295&amp;"|"&amp;K1295&amp;"|"&amp;L1295&amp;"|"&amp;M1295&amp;"|"&amp;N1295&amp;"|"&amp;O1295&amp;"|"&amp;P1295</f>
        <v/>
      </c>
      <c r="R1295" s="10">
        <f>IF(COUNTIF($Q$2:$Q$1409,Q1295)&gt;1,IF(COUNTIF($Q$2:Q1295,Q1295)=1,"Exact Duplicate - Keep First","Exact Duplicate - Remove"),"Unique")</f>
        <v/>
      </c>
    </row>
    <row r="1296" ht="15" customHeight="1" s="11">
      <c r="A1296" s="10" t="inlineStr">
        <is>
          <t>USR-101295</t>
        </is>
      </c>
      <c r="B1296" s="14" t="n">
        <v>45744</v>
      </c>
      <c r="C1296" s="10" t="inlineStr">
        <is>
          <t>Treatment</t>
        </is>
      </c>
      <c r="D1296" s="10" t="inlineStr">
        <is>
          <t>North</t>
        </is>
      </c>
      <c r="E1296" s="10" t="inlineStr">
        <is>
          <t>Desktop</t>
        </is>
      </c>
      <c r="F1296" s="10" t="inlineStr">
        <is>
          <t>Referral</t>
        </is>
      </c>
      <c r="G1296" s="10" t="inlineStr">
        <is>
          <t>Free</t>
        </is>
      </c>
      <c r="H1296" s="10" t="n">
        <v>1</v>
      </c>
      <c r="I1296" s="10" t="n">
        <v>0</v>
      </c>
      <c r="J1296" s="10" t="n">
        <v>0</v>
      </c>
      <c r="K1296" s="10" t="n">
        <v>0</v>
      </c>
      <c r="L1296" s="10" t="n">
        <v>0</v>
      </c>
      <c r="M1296" s="10" t="n">
        <v>0</v>
      </c>
      <c r="N1296" s="10" t="n">
        <v>0</v>
      </c>
      <c r="P1296" s="10" t="n">
        <v>71.5</v>
      </c>
      <c r="Q1296" s="10">
        <f>A1296&amp;"|"&amp;B1296&amp;"|"&amp;C1296&amp;"|"&amp;D1296&amp;"|"&amp;E1296&amp;"|"&amp;F1296&amp;"|"&amp;G1296&amp;"|"&amp;H1296&amp;"|"&amp;I1296&amp;"|"&amp;J1296&amp;"|"&amp;K1296&amp;"|"&amp;L1296&amp;"|"&amp;M1296&amp;"|"&amp;N1296&amp;"|"&amp;O1296&amp;"|"&amp;P1296</f>
        <v/>
      </c>
      <c r="R1296" s="10">
        <f>IF(COUNTIF($Q$2:$Q$1409,Q1296)&gt;1,IF(COUNTIF($Q$2:Q1296,Q1296)=1,"Exact Duplicate - Keep First","Exact Duplicate - Remove"),"Unique")</f>
        <v/>
      </c>
    </row>
    <row r="1297" ht="15" customHeight="1" s="11">
      <c r="A1297" s="10" t="inlineStr">
        <is>
          <t>USR-101296</t>
        </is>
      </c>
      <c r="B1297" s="14" t="n">
        <v>45805</v>
      </c>
      <c r="C1297" s="10" t="inlineStr">
        <is>
          <t>Treatment</t>
        </is>
      </c>
      <c r="D1297" s="10" t="inlineStr">
        <is>
          <t>South</t>
        </is>
      </c>
      <c r="E1297" s="10" t="inlineStr">
        <is>
          <t>Desktop</t>
        </is>
      </c>
      <c r="F1297" s="10" t="inlineStr">
        <is>
          <t>Social</t>
        </is>
      </c>
      <c r="G1297" s="10" t="inlineStr">
        <is>
          <t>Free</t>
        </is>
      </c>
      <c r="H1297" s="10" t="n">
        <v>1</v>
      </c>
      <c r="I1297" s="10" t="n">
        <v>0</v>
      </c>
      <c r="J1297" s="10" t="n">
        <v>0</v>
      </c>
      <c r="K1297" s="10" t="n">
        <v>0</v>
      </c>
      <c r="L1297" s="10" t="n">
        <v>0</v>
      </c>
      <c r="M1297" s="10" t="n">
        <v>0</v>
      </c>
      <c r="N1297" s="10" t="n">
        <v>0</v>
      </c>
      <c r="P1297" s="10" t="n">
        <v>66.7</v>
      </c>
      <c r="Q1297" s="10">
        <f>A1297&amp;"|"&amp;B1297&amp;"|"&amp;C1297&amp;"|"&amp;D1297&amp;"|"&amp;E1297&amp;"|"&amp;F1297&amp;"|"&amp;G1297&amp;"|"&amp;H1297&amp;"|"&amp;I1297&amp;"|"&amp;J1297&amp;"|"&amp;K1297&amp;"|"&amp;L1297&amp;"|"&amp;M1297&amp;"|"&amp;N1297&amp;"|"&amp;O1297&amp;"|"&amp;P1297</f>
        <v/>
      </c>
      <c r="R1297" s="10">
        <f>IF(COUNTIF($Q$2:$Q$1409,Q1297)&gt;1,IF(COUNTIF($Q$2:Q1297,Q1297)=1,"Exact Duplicate - Keep First","Exact Duplicate - Remove"),"Unique")</f>
        <v/>
      </c>
    </row>
    <row r="1298" ht="15" customHeight="1" s="11">
      <c r="A1298" s="10" t="inlineStr">
        <is>
          <t>USR-101297</t>
        </is>
      </c>
      <c r="B1298" s="14" t="n">
        <v>45808</v>
      </c>
      <c r="C1298" s="10" t="inlineStr">
        <is>
          <t>Treatment</t>
        </is>
      </c>
      <c r="D1298" s="10" t="inlineStr">
        <is>
          <t>South</t>
        </is>
      </c>
      <c r="E1298" s="10" t="inlineStr">
        <is>
          <t>Desktop</t>
        </is>
      </c>
      <c r="F1298" s="10" t="inlineStr">
        <is>
          <t>Referral</t>
        </is>
      </c>
      <c r="G1298" s="10" t="inlineStr">
        <is>
          <t>Premium</t>
        </is>
      </c>
      <c r="H1298" s="10" t="n">
        <v>1</v>
      </c>
      <c r="I1298" s="10" t="n">
        <v>1</v>
      </c>
      <c r="J1298" s="10" t="n">
        <v>1</v>
      </c>
      <c r="K1298" s="10" t="n">
        <v>1</v>
      </c>
      <c r="L1298" s="10" t="n">
        <v>1496.09</v>
      </c>
      <c r="M1298" s="10" t="n">
        <v>0</v>
      </c>
      <c r="N1298" s="10" t="n">
        <v>0</v>
      </c>
      <c r="O1298" s="10" t="n">
        <v>7</v>
      </c>
      <c r="P1298" s="10" t="n">
        <v>60.4</v>
      </c>
      <c r="Q1298" s="10">
        <f>A1298&amp;"|"&amp;B1298&amp;"|"&amp;C1298&amp;"|"&amp;D1298&amp;"|"&amp;E1298&amp;"|"&amp;F1298&amp;"|"&amp;G1298&amp;"|"&amp;H1298&amp;"|"&amp;I1298&amp;"|"&amp;J1298&amp;"|"&amp;K1298&amp;"|"&amp;L1298&amp;"|"&amp;M1298&amp;"|"&amp;N1298&amp;"|"&amp;O1298&amp;"|"&amp;P1298</f>
        <v/>
      </c>
      <c r="R1298" s="10">
        <f>IF(COUNTIF($Q$2:$Q$1409,Q1298)&gt;1,IF(COUNTIF($Q$2:Q1298,Q1298)=1,"Exact Duplicate - Keep First","Exact Duplicate - Remove"),"Unique")</f>
        <v/>
      </c>
    </row>
    <row r="1299" ht="15" customHeight="1" s="11">
      <c r="A1299" s="10" t="inlineStr">
        <is>
          <t>USR-101298</t>
        </is>
      </c>
      <c r="B1299" s="14" t="n">
        <v>45787</v>
      </c>
      <c r="C1299" s="10" t="inlineStr">
        <is>
          <t>Treatment</t>
        </is>
      </c>
      <c r="D1299" s="10" t="inlineStr">
        <is>
          <t>North</t>
        </is>
      </c>
      <c r="E1299" s="10" t="inlineStr">
        <is>
          <t>Mobile</t>
        </is>
      </c>
      <c r="F1299" s="10" t="inlineStr">
        <is>
          <t>Referral</t>
        </is>
      </c>
      <c r="G1299" s="10" t="inlineStr">
        <is>
          <t>Free</t>
        </is>
      </c>
      <c r="H1299" s="10" t="n">
        <v>0</v>
      </c>
      <c r="I1299" s="10" t="n">
        <v>0</v>
      </c>
      <c r="J1299" s="10" t="n">
        <v>0</v>
      </c>
      <c r="K1299" s="10" t="n">
        <v>0</v>
      </c>
      <c r="L1299" s="10" t="n">
        <v>0</v>
      </c>
      <c r="M1299" s="10" t="n">
        <v>1</v>
      </c>
      <c r="N1299" s="10" t="n">
        <v>0</v>
      </c>
      <c r="P1299" s="10" t="n">
        <v>72.90000000000001</v>
      </c>
      <c r="Q1299" s="10">
        <f>A1299&amp;"|"&amp;B1299&amp;"|"&amp;C1299&amp;"|"&amp;D1299&amp;"|"&amp;E1299&amp;"|"&amp;F1299&amp;"|"&amp;G1299&amp;"|"&amp;H1299&amp;"|"&amp;I1299&amp;"|"&amp;J1299&amp;"|"&amp;K1299&amp;"|"&amp;L1299&amp;"|"&amp;M1299&amp;"|"&amp;N1299&amp;"|"&amp;O1299&amp;"|"&amp;P1299</f>
        <v/>
      </c>
      <c r="R1299" s="10">
        <f>IF(COUNTIF($Q$2:$Q$1409,Q1299)&gt;1,IF(COUNTIF($Q$2:Q1299,Q1299)=1,"Exact Duplicate - Keep First","Exact Duplicate - Remove"),"Unique")</f>
        <v/>
      </c>
    </row>
    <row r="1300" ht="15" customHeight="1" s="11">
      <c r="A1300" s="10" t="inlineStr">
        <is>
          <t>USR-101299</t>
        </is>
      </c>
      <c r="B1300" s="14" t="n">
        <v>45794</v>
      </c>
      <c r="C1300" s="10" t="inlineStr">
        <is>
          <t>Treatment</t>
        </is>
      </c>
      <c r="D1300" s="10" t="inlineStr">
        <is>
          <t>West</t>
        </is>
      </c>
      <c r="E1300" s="10" t="inlineStr">
        <is>
          <t>Mobile</t>
        </is>
      </c>
      <c r="F1300" s="10" t="inlineStr">
        <is>
          <t>Organic</t>
        </is>
      </c>
      <c r="G1300" s="10" t="inlineStr">
        <is>
          <t>Free</t>
        </is>
      </c>
      <c r="H1300" s="10" t="n">
        <v>0</v>
      </c>
      <c r="I1300" s="10" t="n">
        <v>0</v>
      </c>
      <c r="J1300" s="10" t="n">
        <v>0</v>
      </c>
      <c r="K1300" s="10" t="n">
        <v>0</v>
      </c>
      <c r="L1300" s="10" t="n">
        <v>0</v>
      </c>
      <c r="M1300" s="10" t="n">
        <v>3</v>
      </c>
      <c r="N1300" s="10" t="n">
        <v>0</v>
      </c>
      <c r="Q1300" s="10">
        <f>A1300&amp;"|"&amp;B1300&amp;"|"&amp;C1300&amp;"|"&amp;D1300&amp;"|"&amp;E1300&amp;"|"&amp;F1300&amp;"|"&amp;G1300&amp;"|"&amp;H1300&amp;"|"&amp;I1300&amp;"|"&amp;J1300&amp;"|"&amp;K1300&amp;"|"&amp;L1300&amp;"|"&amp;M1300&amp;"|"&amp;N1300&amp;"|"&amp;O1300&amp;"|"&amp;P1300</f>
        <v/>
      </c>
      <c r="R1300" s="10">
        <f>IF(COUNTIF($Q$2:$Q$1409,Q1300)&gt;1,IF(COUNTIF($Q$2:Q1300,Q1300)=1,"Exact Duplicate - Keep First","Exact Duplicate - Remove"),"Unique")</f>
        <v/>
      </c>
    </row>
    <row r="1301" ht="15" customHeight="1" s="11">
      <c r="A1301" s="10" t="inlineStr">
        <is>
          <t>USR-101300</t>
        </is>
      </c>
      <c r="B1301" s="14" t="n">
        <v>45675</v>
      </c>
      <c r="C1301" s="10" t="inlineStr">
        <is>
          <t>Treatment</t>
        </is>
      </c>
      <c r="D1301" s="10" t="inlineStr">
        <is>
          <t>South</t>
        </is>
      </c>
      <c r="E1301" s="10" t="inlineStr">
        <is>
          <t>Mobile</t>
        </is>
      </c>
      <c r="F1301" s="10" t="inlineStr">
        <is>
          <t>Organic</t>
        </is>
      </c>
      <c r="G1301" s="10" t="inlineStr">
        <is>
          <t>Premium</t>
        </is>
      </c>
      <c r="H1301" s="10" t="n">
        <v>1</v>
      </c>
      <c r="I1301" s="10" t="n">
        <v>0</v>
      </c>
      <c r="J1301" s="10" t="n">
        <v>0</v>
      </c>
      <c r="K1301" s="10" t="n">
        <v>0</v>
      </c>
      <c r="L1301" s="10" t="n">
        <v>0</v>
      </c>
      <c r="M1301" s="10" t="n">
        <v>0</v>
      </c>
      <c r="N1301" s="10" t="n">
        <v>0</v>
      </c>
      <c r="P1301" s="10" t="n">
        <v>55.2</v>
      </c>
      <c r="Q1301" s="10">
        <f>A1301&amp;"|"&amp;B1301&amp;"|"&amp;C1301&amp;"|"&amp;D1301&amp;"|"&amp;E1301&amp;"|"&amp;F1301&amp;"|"&amp;G1301&amp;"|"&amp;H1301&amp;"|"&amp;I1301&amp;"|"&amp;J1301&amp;"|"&amp;K1301&amp;"|"&amp;L1301&amp;"|"&amp;M1301&amp;"|"&amp;N1301&amp;"|"&amp;O1301&amp;"|"&amp;P1301</f>
        <v/>
      </c>
      <c r="R1301" s="10">
        <f>IF(COUNTIF($Q$2:$Q$1409,Q1301)&gt;1,IF(COUNTIF($Q$2:Q1301,Q1301)=1,"Exact Duplicate - Keep First","Exact Duplicate - Remove"),"Unique")</f>
        <v/>
      </c>
    </row>
    <row r="1302" ht="15" customHeight="1" s="11">
      <c r="A1302" s="10" t="inlineStr">
        <is>
          <t>USR-101301</t>
        </is>
      </c>
      <c r="B1302" s="14" t="n">
        <v>45781</v>
      </c>
      <c r="C1302" s="10" t="inlineStr">
        <is>
          <t>Treatment</t>
        </is>
      </c>
      <c r="D1302" s="10" t="inlineStr">
        <is>
          <t>West</t>
        </is>
      </c>
      <c r="E1302" s="10" t="inlineStr">
        <is>
          <t>Mobile</t>
        </is>
      </c>
      <c r="F1302" s="10" t="inlineStr">
        <is>
          <t>Social</t>
        </is>
      </c>
      <c r="G1302" s="10" t="inlineStr">
        <is>
          <t>Free</t>
        </is>
      </c>
      <c r="H1302" s="10" t="n">
        <v>1</v>
      </c>
      <c r="I1302" s="10" t="n">
        <v>0</v>
      </c>
      <c r="J1302" s="10" t="n">
        <v>0</v>
      </c>
      <c r="K1302" s="10" t="n">
        <v>0</v>
      </c>
      <c r="L1302" s="10" t="n">
        <v>0</v>
      </c>
      <c r="M1302" s="10" t="n">
        <v>0</v>
      </c>
      <c r="N1302" s="10" t="n">
        <v>0</v>
      </c>
      <c r="P1302" s="10" t="n">
        <v>67.8</v>
      </c>
      <c r="Q1302" s="10">
        <f>A1302&amp;"|"&amp;B1302&amp;"|"&amp;C1302&amp;"|"&amp;D1302&amp;"|"&amp;E1302&amp;"|"&amp;F1302&amp;"|"&amp;G1302&amp;"|"&amp;H1302&amp;"|"&amp;I1302&amp;"|"&amp;J1302&amp;"|"&amp;K1302&amp;"|"&amp;L1302&amp;"|"&amp;M1302&amp;"|"&amp;N1302&amp;"|"&amp;O1302&amp;"|"&amp;P1302</f>
        <v/>
      </c>
      <c r="R1302" s="10">
        <f>IF(COUNTIF($Q$2:$Q$1409,Q1302)&gt;1,IF(COUNTIF($Q$2:Q1302,Q1302)=1,"Exact Duplicate - Keep First","Exact Duplicate - Remove"),"Unique")</f>
        <v/>
      </c>
    </row>
    <row r="1303" ht="15" customHeight="1" s="11">
      <c r="A1303" s="10" t="inlineStr">
        <is>
          <t>USR-101302</t>
        </is>
      </c>
      <c r="B1303" s="14" t="n">
        <v>45741</v>
      </c>
      <c r="C1303" s="10" t="inlineStr">
        <is>
          <t>Treatment</t>
        </is>
      </c>
      <c r="D1303" s="10" t="inlineStr">
        <is>
          <t>North</t>
        </is>
      </c>
      <c r="E1303" s="10" t="inlineStr">
        <is>
          <t>Mobile</t>
        </is>
      </c>
      <c r="F1303" s="10" t="inlineStr">
        <is>
          <t>Organic</t>
        </is>
      </c>
      <c r="G1303" s="10" t="inlineStr">
        <is>
          <t>Free</t>
        </is>
      </c>
      <c r="H1303" s="10" t="n">
        <v>1</v>
      </c>
      <c r="I1303" s="10" t="n">
        <v>0</v>
      </c>
      <c r="J1303" s="10" t="n">
        <v>0</v>
      </c>
      <c r="K1303" s="10" t="n">
        <v>0</v>
      </c>
      <c r="L1303" s="10" t="n">
        <v>0</v>
      </c>
      <c r="M1303" s="10" t="n">
        <v>2</v>
      </c>
      <c r="N1303" s="10" t="n">
        <v>0</v>
      </c>
      <c r="P1303" s="10" t="n">
        <v>70</v>
      </c>
      <c r="Q1303" s="10">
        <f>A1303&amp;"|"&amp;B1303&amp;"|"&amp;C1303&amp;"|"&amp;D1303&amp;"|"&amp;E1303&amp;"|"&amp;F1303&amp;"|"&amp;G1303&amp;"|"&amp;H1303&amp;"|"&amp;I1303&amp;"|"&amp;J1303&amp;"|"&amp;K1303&amp;"|"&amp;L1303&amp;"|"&amp;M1303&amp;"|"&amp;N1303&amp;"|"&amp;O1303&amp;"|"&amp;P1303</f>
        <v/>
      </c>
      <c r="R1303" s="10">
        <f>IF(COUNTIF($Q$2:$Q$1409,Q1303)&gt;1,IF(COUNTIF($Q$2:Q1303,Q1303)=1,"Exact Duplicate - Keep First","Exact Duplicate - Remove"),"Unique")</f>
        <v/>
      </c>
    </row>
    <row r="1304" ht="15" customHeight="1" s="11">
      <c r="A1304" s="10" t="inlineStr">
        <is>
          <t>USR-101303</t>
        </is>
      </c>
      <c r="B1304" s="14" t="n">
        <v>45715</v>
      </c>
      <c r="C1304" s="10" t="inlineStr">
        <is>
          <t>Treatment</t>
        </is>
      </c>
      <c r="D1304" s="10" t="inlineStr">
        <is>
          <t>North</t>
        </is>
      </c>
      <c r="E1304" s="10" t="inlineStr">
        <is>
          <t>Mobile</t>
        </is>
      </c>
      <c r="F1304" s="10" t="inlineStr">
        <is>
          <t>Social</t>
        </is>
      </c>
      <c r="G1304" s="10" t="inlineStr">
        <is>
          <t>Basic</t>
        </is>
      </c>
      <c r="H1304" s="10" t="n">
        <v>1</v>
      </c>
      <c r="I1304" s="10" t="n">
        <v>1</v>
      </c>
      <c r="J1304" s="10" t="n">
        <v>1</v>
      </c>
      <c r="K1304" s="10" t="n">
        <v>0</v>
      </c>
      <c r="L1304" s="10" t="n">
        <v>0</v>
      </c>
      <c r="M1304" s="10" t="n">
        <v>0</v>
      </c>
      <c r="N1304" s="10" t="n">
        <v>0</v>
      </c>
      <c r="P1304" s="10" t="n">
        <v>51.1</v>
      </c>
      <c r="Q1304" s="10">
        <f>A1304&amp;"|"&amp;B1304&amp;"|"&amp;C1304&amp;"|"&amp;D1304&amp;"|"&amp;E1304&amp;"|"&amp;F1304&amp;"|"&amp;G1304&amp;"|"&amp;H1304&amp;"|"&amp;I1304&amp;"|"&amp;J1304&amp;"|"&amp;K1304&amp;"|"&amp;L1304&amp;"|"&amp;M1304&amp;"|"&amp;N1304&amp;"|"&amp;O1304&amp;"|"&amp;P1304</f>
        <v/>
      </c>
      <c r="R1304" s="10">
        <f>IF(COUNTIF($Q$2:$Q$1409,Q1304)&gt;1,IF(COUNTIF($Q$2:Q1304,Q1304)=1,"Exact Duplicate - Keep First","Exact Duplicate - Remove"),"Unique")</f>
        <v/>
      </c>
    </row>
    <row r="1305" ht="15" customHeight="1" s="11">
      <c r="A1305" s="10" t="inlineStr">
        <is>
          <t>USR-101304</t>
        </is>
      </c>
      <c r="B1305" s="14" t="n">
        <v>45671</v>
      </c>
      <c r="C1305" s="10" t="inlineStr">
        <is>
          <t>Treatment</t>
        </is>
      </c>
      <c r="D1305" s="10" t="inlineStr">
        <is>
          <t>West</t>
        </is>
      </c>
      <c r="E1305" s="10" t="inlineStr">
        <is>
          <t>Mobile</t>
        </is>
      </c>
      <c r="F1305" s="10" t="inlineStr">
        <is>
          <t>Paid Search</t>
        </is>
      </c>
      <c r="G1305" s="10" t="inlineStr">
        <is>
          <t>Basic</t>
        </is>
      </c>
      <c r="H1305" s="10" t="n">
        <v>1</v>
      </c>
      <c r="I1305" s="10" t="n">
        <v>1</v>
      </c>
      <c r="J1305" s="10" t="n">
        <v>1</v>
      </c>
      <c r="K1305" s="10" t="n">
        <v>0</v>
      </c>
      <c r="L1305" s="10" t="n">
        <v>0</v>
      </c>
      <c r="M1305" s="10" t="n">
        <v>0</v>
      </c>
      <c r="N1305" s="10" t="n">
        <v>0</v>
      </c>
      <c r="P1305" s="10" t="n">
        <v>57</v>
      </c>
      <c r="Q1305" s="10">
        <f>A1305&amp;"|"&amp;B1305&amp;"|"&amp;C1305&amp;"|"&amp;D1305&amp;"|"&amp;E1305&amp;"|"&amp;F1305&amp;"|"&amp;G1305&amp;"|"&amp;H1305&amp;"|"&amp;I1305&amp;"|"&amp;J1305&amp;"|"&amp;K1305&amp;"|"&amp;L1305&amp;"|"&amp;M1305&amp;"|"&amp;N1305&amp;"|"&amp;O1305&amp;"|"&amp;P1305</f>
        <v/>
      </c>
      <c r="R1305" s="10">
        <f>IF(COUNTIF($Q$2:$Q$1409,Q1305)&gt;1,IF(COUNTIF($Q$2:Q1305,Q1305)=1,"Exact Duplicate - Keep First","Exact Duplicate - Remove"),"Unique")</f>
        <v/>
      </c>
    </row>
    <row r="1306" ht="15" customHeight="1" s="11">
      <c r="A1306" s="10" t="inlineStr">
        <is>
          <t>USR-101305</t>
        </is>
      </c>
      <c r="B1306" s="14" t="n">
        <v>45758</v>
      </c>
      <c r="C1306" s="10" t="inlineStr">
        <is>
          <t>Treatment</t>
        </is>
      </c>
      <c r="D1306" s="10" t="inlineStr">
        <is>
          <t>East</t>
        </is>
      </c>
      <c r="E1306" s="10" t="inlineStr">
        <is>
          <t>Mobile</t>
        </is>
      </c>
      <c r="F1306" s="10" t="inlineStr">
        <is>
          <t>Social</t>
        </is>
      </c>
      <c r="G1306" s="10" t="inlineStr">
        <is>
          <t>Free</t>
        </is>
      </c>
      <c r="H1306" s="10" t="n">
        <v>0</v>
      </c>
      <c r="I1306" s="10" t="n">
        <v>0</v>
      </c>
      <c r="J1306" s="10" t="n">
        <v>0</v>
      </c>
      <c r="K1306" s="10" t="n">
        <v>0</v>
      </c>
      <c r="L1306" s="10" t="n">
        <v>0</v>
      </c>
      <c r="M1306" s="10" t="n">
        <v>1</v>
      </c>
      <c r="N1306" s="10" t="n">
        <v>0</v>
      </c>
      <c r="P1306" s="10" t="n">
        <v>47.1</v>
      </c>
      <c r="Q1306" s="10">
        <f>A1306&amp;"|"&amp;B1306&amp;"|"&amp;C1306&amp;"|"&amp;D1306&amp;"|"&amp;E1306&amp;"|"&amp;F1306&amp;"|"&amp;G1306&amp;"|"&amp;H1306&amp;"|"&amp;I1306&amp;"|"&amp;J1306&amp;"|"&amp;K1306&amp;"|"&amp;L1306&amp;"|"&amp;M1306&amp;"|"&amp;N1306&amp;"|"&amp;O1306&amp;"|"&amp;P1306</f>
        <v/>
      </c>
      <c r="R1306" s="10">
        <f>IF(COUNTIF($Q$2:$Q$1409,Q1306)&gt;1,IF(COUNTIF($Q$2:Q1306,Q1306)=1,"Exact Duplicate - Keep First","Exact Duplicate - Remove"),"Unique")</f>
        <v/>
      </c>
    </row>
    <row r="1307" ht="15" customHeight="1" s="11">
      <c r="A1307" s="10" t="inlineStr">
        <is>
          <t>USR-101306</t>
        </is>
      </c>
      <c r="B1307" s="14" t="n">
        <v>45742</v>
      </c>
      <c r="C1307" s="10" t="inlineStr">
        <is>
          <t>Treatment</t>
        </is>
      </c>
      <c r="D1307" s="10" t="inlineStr">
        <is>
          <t>East</t>
        </is>
      </c>
      <c r="E1307" s="10" t="inlineStr">
        <is>
          <t>Desktop</t>
        </is>
      </c>
      <c r="F1307" s="10" t="inlineStr">
        <is>
          <t>Social</t>
        </is>
      </c>
      <c r="G1307" s="10" t="inlineStr">
        <is>
          <t>Basic</t>
        </is>
      </c>
      <c r="H1307" s="10" t="n">
        <v>0</v>
      </c>
      <c r="I1307" s="10" t="n">
        <v>0</v>
      </c>
      <c r="J1307" s="10" t="n">
        <v>0</v>
      </c>
      <c r="K1307" s="10" t="n">
        <v>0</v>
      </c>
      <c r="L1307" s="10" t="n">
        <v>0</v>
      </c>
      <c r="M1307" s="10" t="n">
        <v>0</v>
      </c>
      <c r="N1307" s="10" t="n">
        <v>0</v>
      </c>
      <c r="P1307" s="10" t="n">
        <v>30.7</v>
      </c>
      <c r="Q1307" s="10">
        <f>A1307&amp;"|"&amp;B1307&amp;"|"&amp;C1307&amp;"|"&amp;D1307&amp;"|"&amp;E1307&amp;"|"&amp;F1307&amp;"|"&amp;G1307&amp;"|"&amp;H1307&amp;"|"&amp;I1307&amp;"|"&amp;J1307&amp;"|"&amp;K1307&amp;"|"&amp;L1307&amp;"|"&amp;M1307&amp;"|"&amp;N1307&amp;"|"&amp;O1307&amp;"|"&amp;P1307</f>
        <v/>
      </c>
      <c r="R1307" s="10">
        <f>IF(COUNTIF($Q$2:$Q$1409,Q1307)&gt;1,IF(COUNTIF($Q$2:Q1307,Q1307)=1,"Exact Duplicate - Keep First","Exact Duplicate - Remove"),"Unique")</f>
        <v/>
      </c>
    </row>
    <row r="1308" ht="15" customHeight="1" s="11">
      <c r="A1308" s="10" t="inlineStr">
        <is>
          <t>USR-101307</t>
        </is>
      </c>
      <c r="B1308" s="14" t="n">
        <v>45700</v>
      </c>
      <c r="C1308" s="10" t="inlineStr">
        <is>
          <t>Treatment</t>
        </is>
      </c>
      <c r="D1308" s="10" t="inlineStr">
        <is>
          <t>West</t>
        </is>
      </c>
      <c r="E1308" s="10" t="inlineStr">
        <is>
          <t>Desktop</t>
        </is>
      </c>
      <c r="F1308" s="10" t="inlineStr">
        <is>
          <t>Social</t>
        </is>
      </c>
      <c r="G1308" s="10" t="inlineStr">
        <is>
          <t>Free</t>
        </is>
      </c>
      <c r="H1308" s="10" t="n">
        <v>1</v>
      </c>
      <c r="I1308" s="10" t="n">
        <v>0</v>
      </c>
      <c r="J1308" s="10" t="n">
        <v>0</v>
      </c>
      <c r="K1308" s="10" t="n">
        <v>0</v>
      </c>
      <c r="L1308" s="10" t="n">
        <v>0</v>
      </c>
      <c r="M1308" s="10" t="n">
        <v>0</v>
      </c>
      <c r="N1308" s="10" t="n">
        <v>0</v>
      </c>
      <c r="P1308" s="10" t="n">
        <v>57.3</v>
      </c>
      <c r="Q1308" s="10">
        <f>A1308&amp;"|"&amp;B1308&amp;"|"&amp;C1308&amp;"|"&amp;D1308&amp;"|"&amp;E1308&amp;"|"&amp;F1308&amp;"|"&amp;G1308&amp;"|"&amp;H1308&amp;"|"&amp;I1308&amp;"|"&amp;J1308&amp;"|"&amp;K1308&amp;"|"&amp;L1308&amp;"|"&amp;M1308&amp;"|"&amp;N1308&amp;"|"&amp;O1308&amp;"|"&amp;P1308</f>
        <v/>
      </c>
      <c r="R1308" s="10">
        <f>IF(COUNTIF($Q$2:$Q$1409,Q1308)&gt;1,IF(COUNTIF($Q$2:Q1308,Q1308)=1,"Exact Duplicate - Keep First","Exact Duplicate - Remove"),"Unique")</f>
        <v/>
      </c>
    </row>
    <row r="1309" ht="15" customHeight="1" s="11">
      <c r="A1309" s="10" t="inlineStr">
        <is>
          <t>USR-101308</t>
        </is>
      </c>
      <c r="B1309" s="14" t="n">
        <v>45706</v>
      </c>
      <c r="C1309" s="10" t="inlineStr">
        <is>
          <t>Treatment</t>
        </is>
      </c>
      <c r="D1309" s="10" t="inlineStr">
        <is>
          <t>West</t>
        </is>
      </c>
      <c r="E1309" s="10" t="inlineStr">
        <is>
          <t>Tablet</t>
        </is>
      </c>
      <c r="F1309" s="10" t="inlineStr">
        <is>
          <t>Paid Search</t>
        </is>
      </c>
      <c r="G1309" s="10" t="inlineStr">
        <is>
          <t>Basic</t>
        </is>
      </c>
      <c r="H1309" s="10" t="n">
        <v>1</v>
      </c>
      <c r="I1309" s="10" t="n">
        <v>0</v>
      </c>
      <c r="J1309" s="10" t="n">
        <v>0</v>
      </c>
      <c r="K1309" s="10" t="n">
        <v>0</v>
      </c>
      <c r="L1309" s="10" t="n">
        <v>0</v>
      </c>
      <c r="M1309" s="10" t="n">
        <v>0</v>
      </c>
      <c r="N1309" s="10" t="n">
        <v>0</v>
      </c>
      <c r="P1309" s="10" t="n">
        <v>70</v>
      </c>
      <c r="Q1309" s="10">
        <f>A1309&amp;"|"&amp;B1309&amp;"|"&amp;C1309&amp;"|"&amp;D1309&amp;"|"&amp;E1309&amp;"|"&amp;F1309&amp;"|"&amp;G1309&amp;"|"&amp;H1309&amp;"|"&amp;I1309&amp;"|"&amp;J1309&amp;"|"&amp;K1309&amp;"|"&amp;L1309&amp;"|"&amp;M1309&amp;"|"&amp;N1309&amp;"|"&amp;O1309&amp;"|"&amp;P1309</f>
        <v/>
      </c>
      <c r="R1309" s="10">
        <f>IF(COUNTIF($Q$2:$Q$1409,Q1309)&gt;1,IF(COUNTIF($Q$2:Q1309,Q1309)=1,"Exact Duplicate - Keep First","Exact Duplicate - Remove"),"Unique")</f>
        <v/>
      </c>
    </row>
    <row r="1310" ht="15" customHeight="1" s="11">
      <c r="A1310" s="10" t="inlineStr">
        <is>
          <t>USR-101309</t>
        </is>
      </c>
      <c r="B1310" s="14" t="n">
        <v>45802</v>
      </c>
      <c r="C1310" s="10" t="inlineStr">
        <is>
          <t>Treatment</t>
        </is>
      </c>
      <c r="D1310" s="10" t="inlineStr">
        <is>
          <t>East</t>
        </is>
      </c>
      <c r="E1310" s="10" t="inlineStr">
        <is>
          <t>Desktop</t>
        </is>
      </c>
      <c r="F1310" s="10" t="inlineStr">
        <is>
          <t>Social</t>
        </is>
      </c>
      <c r="G1310" s="10" t="inlineStr">
        <is>
          <t>Free</t>
        </is>
      </c>
      <c r="H1310" s="10" t="n">
        <v>1</v>
      </c>
      <c r="I1310" s="10" t="n">
        <v>1</v>
      </c>
      <c r="J1310" s="10" t="n">
        <v>1</v>
      </c>
      <c r="K1310" s="10" t="n">
        <v>0</v>
      </c>
      <c r="L1310" s="10" t="n">
        <v>0</v>
      </c>
      <c r="M1310" s="10" t="n">
        <v>0</v>
      </c>
      <c r="N1310" s="10" t="n">
        <v>0</v>
      </c>
      <c r="P1310" s="10" t="n">
        <v>59.7</v>
      </c>
      <c r="Q1310" s="10">
        <f>A1310&amp;"|"&amp;B1310&amp;"|"&amp;C1310&amp;"|"&amp;D1310&amp;"|"&amp;E1310&amp;"|"&amp;F1310&amp;"|"&amp;G1310&amp;"|"&amp;H1310&amp;"|"&amp;I1310&amp;"|"&amp;J1310&amp;"|"&amp;K1310&amp;"|"&amp;L1310&amp;"|"&amp;M1310&amp;"|"&amp;N1310&amp;"|"&amp;O1310&amp;"|"&amp;P1310</f>
        <v/>
      </c>
      <c r="R1310" s="10">
        <f>IF(COUNTIF($Q$2:$Q$1409,Q1310)&gt;1,IF(COUNTIF($Q$2:Q1310,Q1310)=1,"Exact Duplicate - Keep First","Exact Duplicate - Remove"),"Unique")</f>
        <v/>
      </c>
    </row>
    <row r="1311" ht="15" customHeight="1" s="11">
      <c r="A1311" s="10" t="inlineStr">
        <is>
          <t>USR-101310</t>
        </is>
      </c>
      <c r="B1311" s="14" t="n">
        <v>45800</v>
      </c>
      <c r="C1311" s="10" t="inlineStr">
        <is>
          <t>Treatment</t>
        </is>
      </c>
      <c r="D1311" s="10" t="inlineStr">
        <is>
          <t>East</t>
        </is>
      </c>
      <c r="E1311" s="10" t="inlineStr">
        <is>
          <t>Desktop</t>
        </is>
      </c>
      <c r="F1311" s="10" t="inlineStr">
        <is>
          <t>Paid Search</t>
        </is>
      </c>
      <c r="G1311" s="10" t="inlineStr">
        <is>
          <t>Basic</t>
        </is>
      </c>
      <c r="H1311" s="10" t="n">
        <v>1</v>
      </c>
      <c r="I1311" s="10" t="n">
        <v>0</v>
      </c>
      <c r="J1311" s="10" t="n">
        <v>0</v>
      </c>
      <c r="K1311" s="10" t="n">
        <v>0</v>
      </c>
      <c r="L1311" s="10" t="n">
        <v>0</v>
      </c>
      <c r="M1311" s="10" t="n">
        <v>0</v>
      </c>
      <c r="N1311" s="10" t="n">
        <v>0</v>
      </c>
      <c r="P1311" s="10" t="n">
        <v>68.8</v>
      </c>
      <c r="Q1311" s="10">
        <f>A1311&amp;"|"&amp;B1311&amp;"|"&amp;C1311&amp;"|"&amp;D1311&amp;"|"&amp;E1311&amp;"|"&amp;F1311&amp;"|"&amp;G1311&amp;"|"&amp;H1311&amp;"|"&amp;I1311&amp;"|"&amp;J1311&amp;"|"&amp;K1311&amp;"|"&amp;L1311&amp;"|"&amp;M1311&amp;"|"&amp;N1311&amp;"|"&amp;O1311&amp;"|"&amp;P1311</f>
        <v/>
      </c>
      <c r="R1311" s="10">
        <f>IF(COUNTIF($Q$2:$Q$1409,Q1311)&gt;1,IF(COUNTIF($Q$2:Q1311,Q1311)=1,"Exact Duplicate - Keep First","Exact Duplicate - Remove"),"Unique")</f>
        <v/>
      </c>
    </row>
    <row r="1312" ht="15" customHeight="1" s="11">
      <c r="A1312" s="10" t="inlineStr">
        <is>
          <t>USR-101311</t>
        </is>
      </c>
      <c r="B1312" s="14" t="n">
        <v>45673</v>
      </c>
      <c r="C1312" s="10" t="inlineStr">
        <is>
          <t>Treatment</t>
        </is>
      </c>
      <c r="D1312" s="10" t="inlineStr">
        <is>
          <t>North</t>
        </is>
      </c>
      <c r="E1312" s="10" t="inlineStr">
        <is>
          <t>Desktop</t>
        </is>
      </c>
      <c r="F1312" s="10" t="inlineStr">
        <is>
          <t>Organic</t>
        </is>
      </c>
      <c r="G1312" s="10" t="inlineStr">
        <is>
          <t>Free</t>
        </is>
      </c>
      <c r="H1312" s="10" t="n">
        <v>1</v>
      </c>
      <c r="I1312" s="10" t="n">
        <v>1</v>
      </c>
      <c r="J1312" s="10" t="n">
        <v>1</v>
      </c>
      <c r="K1312" s="10" t="n">
        <v>1</v>
      </c>
      <c r="L1312" s="10" t="n">
        <v>428.37</v>
      </c>
      <c r="M1312" s="10" t="n">
        <v>0</v>
      </c>
      <c r="N1312" s="10" t="n">
        <v>0</v>
      </c>
      <c r="O1312" s="10" t="n">
        <v>9</v>
      </c>
      <c r="P1312" s="10" t="n">
        <v>88.3</v>
      </c>
      <c r="Q1312" s="10">
        <f>A1312&amp;"|"&amp;B1312&amp;"|"&amp;C1312&amp;"|"&amp;D1312&amp;"|"&amp;E1312&amp;"|"&amp;F1312&amp;"|"&amp;G1312&amp;"|"&amp;H1312&amp;"|"&amp;I1312&amp;"|"&amp;J1312&amp;"|"&amp;K1312&amp;"|"&amp;L1312&amp;"|"&amp;M1312&amp;"|"&amp;N1312&amp;"|"&amp;O1312&amp;"|"&amp;P1312</f>
        <v/>
      </c>
      <c r="R1312" s="10">
        <f>IF(COUNTIF($Q$2:$Q$1409,Q1312)&gt;1,IF(COUNTIF($Q$2:Q1312,Q1312)=1,"Exact Duplicate - Keep First","Exact Duplicate - Remove"),"Unique")</f>
        <v/>
      </c>
    </row>
    <row r="1313" ht="15" customHeight="1" s="11">
      <c r="A1313" s="10" t="inlineStr">
        <is>
          <t>USR-101312</t>
        </is>
      </c>
      <c r="B1313" s="14" t="n">
        <v>45676</v>
      </c>
      <c r="C1313" s="10" t="inlineStr">
        <is>
          <t>Treatment</t>
        </is>
      </c>
      <c r="D1313" s="10" t="inlineStr">
        <is>
          <t>West</t>
        </is>
      </c>
      <c r="E1313" s="10" t="inlineStr">
        <is>
          <t>Desktop</t>
        </is>
      </c>
      <c r="F1313" s="10" t="inlineStr">
        <is>
          <t>Email</t>
        </is>
      </c>
      <c r="G1313" s="10" t="inlineStr">
        <is>
          <t>Basic</t>
        </is>
      </c>
      <c r="H1313" s="10" t="n">
        <v>0</v>
      </c>
      <c r="I1313" s="10" t="n">
        <v>0</v>
      </c>
      <c r="J1313" s="10" t="n">
        <v>0</v>
      </c>
      <c r="K1313" s="10" t="n">
        <v>0</v>
      </c>
      <c r="L1313" s="10" t="n">
        <v>0</v>
      </c>
      <c r="M1313" s="10" t="n">
        <v>0</v>
      </c>
      <c r="N1313" s="10" t="n">
        <v>0</v>
      </c>
      <c r="P1313" s="10" t="n">
        <v>83.40000000000001</v>
      </c>
      <c r="Q1313" s="10">
        <f>A1313&amp;"|"&amp;B1313&amp;"|"&amp;C1313&amp;"|"&amp;D1313&amp;"|"&amp;E1313&amp;"|"&amp;F1313&amp;"|"&amp;G1313&amp;"|"&amp;H1313&amp;"|"&amp;I1313&amp;"|"&amp;J1313&amp;"|"&amp;K1313&amp;"|"&amp;L1313&amp;"|"&amp;M1313&amp;"|"&amp;N1313&amp;"|"&amp;O1313&amp;"|"&amp;P1313</f>
        <v/>
      </c>
      <c r="R1313" s="10">
        <f>IF(COUNTIF($Q$2:$Q$1409,Q1313)&gt;1,IF(COUNTIF($Q$2:Q1313,Q1313)=1,"Exact Duplicate - Keep First","Exact Duplicate - Remove"),"Unique")</f>
        <v/>
      </c>
    </row>
    <row r="1314" ht="15" customHeight="1" s="11">
      <c r="A1314" s="10" t="inlineStr">
        <is>
          <t>USR-101313</t>
        </is>
      </c>
      <c r="B1314" s="14" t="n">
        <v>45795</v>
      </c>
      <c r="C1314" s="10" t="inlineStr">
        <is>
          <t>Treatment</t>
        </is>
      </c>
      <c r="D1314" s="10" t="inlineStr">
        <is>
          <t>South</t>
        </is>
      </c>
      <c r="E1314" s="10" t="inlineStr">
        <is>
          <t>Mobile</t>
        </is>
      </c>
      <c r="F1314" s="10" t="inlineStr">
        <is>
          <t>Referral</t>
        </is>
      </c>
      <c r="G1314" s="10" t="inlineStr">
        <is>
          <t>Free</t>
        </is>
      </c>
      <c r="H1314" s="10" t="n">
        <v>0</v>
      </c>
      <c r="I1314" s="10" t="n">
        <v>0</v>
      </c>
      <c r="J1314" s="10" t="n">
        <v>0</v>
      </c>
      <c r="K1314" s="10" t="n">
        <v>0</v>
      </c>
      <c r="L1314" s="10" t="n">
        <v>0</v>
      </c>
      <c r="M1314" s="10" t="n">
        <v>1</v>
      </c>
      <c r="N1314" s="10" t="n">
        <v>0</v>
      </c>
      <c r="P1314" s="10" t="n">
        <v>81.59999999999999</v>
      </c>
      <c r="Q1314" s="10">
        <f>A1314&amp;"|"&amp;B1314&amp;"|"&amp;C1314&amp;"|"&amp;D1314&amp;"|"&amp;E1314&amp;"|"&amp;F1314&amp;"|"&amp;G1314&amp;"|"&amp;H1314&amp;"|"&amp;I1314&amp;"|"&amp;J1314&amp;"|"&amp;K1314&amp;"|"&amp;L1314&amp;"|"&amp;M1314&amp;"|"&amp;N1314&amp;"|"&amp;O1314&amp;"|"&amp;P1314</f>
        <v/>
      </c>
      <c r="R1314" s="10">
        <f>IF(COUNTIF($Q$2:$Q$1409,Q1314)&gt;1,IF(COUNTIF($Q$2:Q1314,Q1314)=1,"Exact Duplicate - Keep First","Exact Duplicate - Remove"),"Unique")</f>
        <v/>
      </c>
    </row>
    <row r="1315" ht="15" customHeight="1" s="11">
      <c r="A1315" s="10" t="inlineStr">
        <is>
          <t>USR-101314</t>
        </is>
      </c>
      <c r="B1315" s="14" t="n">
        <v>45680</v>
      </c>
      <c r="C1315" s="10" t="inlineStr">
        <is>
          <t>Treatment</t>
        </is>
      </c>
      <c r="D1315" s="10" t="inlineStr">
        <is>
          <t>East</t>
        </is>
      </c>
      <c r="E1315" s="10" t="inlineStr">
        <is>
          <t>Tablet</t>
        </is>
      </c>
      <c r="F1315" s="10" t="inlineStr">
        <is>
          <t>Social</t>
        </is>
      </c>
      <c r="G1315" s="10" t="inlineStr">
        <is>
          <t>Premium</t>
        </is>
      </c>
      <c r="H1315" s="10" t="n">
        <v>1</v>
      </c>
      <c r="I1315" s="10" t="n">
        <v>0</v>
      </c>
      <c r="J1315" s="10" t="n">
        <v>0</v>
      </c>
      <c r="K1315" s="10" t="n">
        <v>0</v>
      </c>
      <c r="L1315" s="10" t="n">
        <v>0</v>
      </c>
      <c r="M1315" s="10" t="n">
        <v>0</v>
      </c>
      <c r="N1315" s="10" t="n">
        <v>0</v>
      </c>
      <c r="P1315" s="10" t="n">
        <v>91.59999999999999</v>
      </c>
      <c r="Q1315" s="10">
        <f>A1315&amp;"|"&amp;B1315&amp;"|"&amp;C1315&amp;"|"&amp;D1315&amp;"|"&amp;E1315&amp;"|"&amp;F1315&amp;"|"&amp;G1315&amp;"|"&amp;H1315&amp;"|"&amp;I1315&amp;"|"&amp;J1315&amp;"|"&amp;K1315&amp;"|"&amp;L1315&amp;"|"&amp;M1315&amp;"|"&amp;N1315&amp;"|"&amp;O1315&amp;"|"&amp;P1315</f>
        <v/>
      </c>
      <c r="R1315" s="10">
        <f>IF(COUNTIF($Q$2:$Q$1409,Q1315)&gt;1,IF(COUNTIF($Q$2:Q1315,Q1315)=1,"Exact Duplicate - Keep First","Exact Duplicate - Remove"),"Unique")</f>
        <v/>
      </c>
    </row>
    <row r="1316" ht="15" customHeight="1" s="11">
      <c r="A1316" s="10" t="inlineStr">
        <is>
          <t>USR-101315</t>
        </is>
      </c>
      <c r="B1316" s="14" t="n">
        <v>45665</v>
      </c>
      <c r="C1316" s="10" t="inlineStr">
        <is>
          <t>Treatment</t>
        </is>
      </c>
      <c r="D1316" s="10" t="inlineStr">
        <is>
          <t>East</t>
        </is>
      </c>
      <c r="E1316" s="10" t="inlineStr">
        <is>
          <t>Tablet</t>
        </is>
      </c>
      <c r="G1316" s="10" t="inlineStr">
        <is>
          <t>Premium</t>
        </is>
      </c>
      <c r="H1316" s="10" t="n">
        <v>1</v>
      </c>
      <c r="I1316" s="10" t="n">
        <v>1</v>
      </c>
      <c r="J1316" s="10" t="n">
        <v>1</v>
      </c>
      <c r="K1316" s="10" t="n">
        <v>0</v>
      </c>
      <c r="L1316" s="10" t="n">
        <v>0</v>
      </c>
      <c r="M1316" s="10" t="n">
        <v>1</v>
      </c>
      <c r="N1316" s="10" t="n">
        <v>0</v>
      </c>
      <c r="P1316" s="10" t="n">
        <v>61.5</v>
      </c>
      <c r="Q1316" s="10">
        <f>A1316&amp;"|"&amp;B1316&amp;"|"&amp;C1316&amp;"|"&amp;D1316&amp;"|"&amp;E1316&amp;"|"&amp;F1316&amp;"|"&amp;G1316&amp;"|"&amp;H1316&amp;"|"&amp;I1316&amp;"|"&amp;J1316&amp;"|"&amp;K1316&amp;"|"&amp;L1316&amp;"|"&amp;M1316&amp;"|"&amp;N1316&amp;"|"&amp;O1316&amp;"|"&amp;P1316</f>
        <v/>
      </c>
      <c r="R1316" s="10">
        <f>IF(COUNTIF($Q$2:$Q$1409,Q1316)&gt;1,IF(COUNTIF($Q$2:Q1316,Q1316)=1,"Exact Duplicate - Keep First","Exact Duplicate - Remove"),"Unique")</f>
        <v/>
      </c>
    </row>
    <row r="1317" ht="15" customHeight="1" s="11">
      <c r="A1317" s="10" t="inlineStr">
        <is>
          <t>USR-101316</t>
        </is>
      </c>
      <c r="B1317" s="14" t="n">
        <v>45707</v>
      </c>
      <c r="C1317" s="10" t="inlineStr">
        <is>
          <t>Treatment</t>
        </is>
      </c>
      <c r="D1317" s="10" t="inlineStr">
        <is>
          <t>North</t>
        </is>
      </c>
      <c r="E1317" s="10" t="inlineStr">
        <is>
          <t>Mobile</t>
        </is>
      </c>
      <c r="F1317" s="10" t="inlineStr">
        <is>
          <t>Organic</t>
        </is>
      </c>
      <c r="G1317" s="10" t="inlineStr">
        <is>
          <t>Premium</t>
        </is>
      </c>
      <c r="H1317" s="10" t="n">
        <v>0</v>
      </c>
      <c r="I1317" s="10" t="n">
        <v>0</v>
      </c>
      <c r="J1317" s="10" t="n">
        <v>0</v>
      </c>
      <c r="K1317" s="10" t="n">
        <v>0</v>
      </c>
      <c r="L1317" s="10" t="n">
        <v>0</v>
      </c>
      <c r="M1317" s="10" t="n">
        <v>0</v>
      </c>
      <c r="N1317" s="10" t="n">
        <v>0</v>
      </c>
      <c r="Q1317" s="10">
        <f>A1317&amp;"|"&amp;B1317&amp;"|"&amp;C1317&amp;"|"&amp;D1317&amp;"|"&amp;E1317&amp;"|"&amp;F1317&amp;"|"&amp;G1317&amp;"|"&amp;H1317&amp;"|"&amp;I1317&amp;"|"&amp;J1317&amp;"|"&amp;K1317&amp;"|"&amp;L1317&amp;"|"&amp;M1317&amp;"|"&amp;N1317&amp;"|"&amp;O1317&amp;"|"&amp;P1317</f>
        <v/>
      </c>
      <c r="R1317" s="10">
        <f>IF(COUNTIF($Q$2:$Q$1409,Q1317)&gt;1,IF(COUNTIF($Q$2:Q1317,Q1317)=1,"Exact Duplicate - Keep First","Exact Duplicate - Remove"),"Unique")</f>
        <v/>
      </c>
    </row>
    <row r="1318" ht="15" customHeight="1" s="11">
      <c r="A1318" s="10" t="inlineStr">
        <is>
          <t>USR-101317</t>
        </is>
      </c>
      <c r="B1318" s="14" t="n">
        <v>45698</v>
      </c>
      <c r="C1318" s="10" t="inlineStr">
        <is>
          <t>Treatment</t>
        </is>
      </c>
      <c r="D1318" s="10" t="inlineStr">
        <is>
          <t>South</t>
        </is>
      </c>
      <c r="E1318" s="10" t="inlineStr">
        <is>
          <t>Mobile</t>
        </is>
      </c>
      <c r="F1318" s="10" t="inlineStr">
        <is>
          <t>Organic</t>
        </is>
      </c>
      <c r="G1318" s="10" t="inlineStr">
        <is>
          <t>Free</t>
        </is>
      </c>
      <c r="H1318" s="10" t="n">
        <v>1</v>
      </c>
      <c r="I1318" s="10" t="n">
        <v>0</v>
      </c>
      <c r="J1318" s="10" t="n">
        <v>0</v>
      </c>
      <c r="K1318" s="10" t="n">
        <v>0</v>
      </c>
      <c r="L1318" s="10" t="n">
        <v>0</v>
      </c>
      <c r="M1318" s="10" t="n">
        <v>0</v>
      </c>
      <c r="N1318" s="10" t="n">
        <v>0</v>
      </c>
      <c r="P1318" s="10" t="n">
        <v>32.6</v>
      </c>
      <c r="Q1318" s="10">
        <f>A1318&amp;"|"&amp;B1318&amp;"|"&amp;C1318&amp;"|"&amp;D1318&amp;"|"&amp;E1318&amp;"|"&amp;F1318&amp;"|"&amp;G1318&amp;"|"&amp;H1318&amp;"|"&amp;I1318&amp;"|"&amp;J1318&amp;"|"&amp;K1318&amp;"|"&amp;L1318&amp;"|"&amp;M1318&amp;"|"&amp;N1318&amp;"|"&amp;O1318&amp;"|"&amp;P1318</f>
        <v/>
      </c>
      <c r="R1318" s="10">
        <f>IF(COUNTIF($Q$2:$Q$1409,Q1318)&gt;1,IF(COUNTIF($Q$2:Q1318,Q1318)=1,"Exact Duplicate - Keep First","Exact Duplicate - Remove"),"Unique")</f>
        <v/>
      </c>
    </row>
    <row r="1319" ht="15" customHeight="1" s="11">
      <c r="A1319" s="10" t="inlineStr">
        <is>
          <t>USR-101318</t>
        </is>
      </c>
      <c r="B1319" s="14" t="n">
        <v>45760</v>
      </c>
      <c r="C1319" s="10" t="inlineStr">
        <is>
          <t>Treatment</t>
        </is>
      </c>
      <c r="D1319" s="10" t="inlineStr">
        <is>
          <t>South</t>
        </is>
      </c>
      <c r="E1319" s="10" t="inlineStr">
        <is>
          <t>Mobile</t>
        </is>
      </c>
      <c r="F1319" s="10" t="inlineStr">
        <is>
          <t>Paid Search</t>
        </is>
      </c>
      <c r="G1319" s="10" t="inlineStr">
        <is>
          <t>Free</t>
        </is>
      </c>
      <c r="H1319" s="10" t="n">
        <v>1</v>
      </c>
      <c r="I1319" s="10" t="n">
        <v>0</v>
      </c>
      <c r="J1319" s="10" t="n">
        <v>0</v>
      </c>
      <c r="K1319" s="10" t="n">
        <v>0</v>
      </c>
      <c r="L1319" s="10" t="n">
        <v>0</v>
      </c>
      <c r="M1319" s="10" t="n">
        <v>0</v>
      </c>
      <c r="N1319" s="10" t="n">
        <v>0</v>
      </c>
      <c r="P1319" s="10" t="n">
        <v>73.90000000000001</v>
      </c>
      <c r="Q1319" s="10">
        <f>A1319&amp;"|"&amp;B1319&amp;"|"&amp;C1319&amp;"|"&amp;D1319&amp;"|"&amp;E1319&amp;"|"&amp;F1319&amp;"|"&amp;G1319&amp;"|"&amp;H1319&amp;"|"&amp;I1319&amp;"|"&amp;J1319&amp;"|"&amp;K1319&amp;"|"&amp;L1319&amp;"|"&amp;M1319&amp;"|"&amp;N1319&amp;"|"&amp;O1319&amp;"|"&amp;P1319</f>
        <v/>
      </c>
      <c r="R1319" s="10">
        <f>IF(COUNTIF($Q$2:$Q$1409,Q1319)&gt;1,IF(COUNTIF($Q$2:Q1319,Q1319)=1,"Exact Duplicate - Keep First","Exact Duplicate - Remove"),"Unique")</f>
        <v/>
      </c>
    </row>
    <row r="1320" ht="15" customHeight="1" s="11">
      <c r="A1320" s="10" t="inlineStr">
        <is>
          <t>USR-101319</t>
        </is>
      </c>
      <c r="B1320" s="14" t="n">
        <v>45797</v>
      </c>
      <c r="C1320" s="10" t="inlineStr">
        <is>
          <t>Treatment</t>
        </is>
      </c>
      <c r="D1320" s="10" t="inlineStr">
        <is>
          <t>East</t>
        </is>
      </c>
      <c r="E1320" s="10" t="inlineStr">
        <is>
          <t>Mobile</t>
        </is>
      </c>
      <c r="F1320" s="10" t="inlineStr">
        <is>
          <t>Organic</t>
        </is>
      </c>
      <c r="G1320" s="10" t="inlineStr">
        <is>
          <t>Free</t>
        </is>
      </c>
      <c r="H1320" s="10" t="n">
        <v>1</v>
      </c>
      <c r="I1320" s="10" t="n">
        <v>1</v>
      </c>
      <c r="J1320" s="10" t="n">
        <v>1</v>
      </c>
      <c r="K1320" s="10" t="n">
        <v>1</v>
      </c>
      <c r="L1320" s="10" t="n">
        <v>444.06</v>
      </c>
      <c r="M1320" s="10" t="n">
        <v>0</v>
      </c>
      <c r="N1320" s="10" t="n">
        <v>0</v>
      </c>
      <c r="O1320" s="10" t="n">
        <v>9</v>
      </c>
      <c r="P1320" s="10" t="n">
        <v>99.90000000000001</v>
      </c>
      <c r="Q1320" s="10">
        <f>A1320&amp;"|"&amp;B1320&amp;"|"&amp;C1320&amp;"|"&amp;D1320&amp;"|"&amp;E1320&amp;"|"&amp;F1320&amp;"|"&amp;G1320&amp;"|"&amp;H1320&amp;"|"&amp;I1320&amp;"|"&amp;J1320&amp;"|"&amp;K1320&amp;"|"&amp;L1320&amp;"|"&amp;M1320&amp;"|"&amp;N1320&amp;"|"&amp;O1320&amp;"|"&amp;P1320</f>
        <v/>
      </c>
      <c r="R1320" s="10">
        <f>IF(COUNTIF($Q$2:$Q$1409,Q1320)&gt;1,IF(COUNTIF($Q$2:Q1320,Q1320)=1,"Exact Duplicate - Keep First","Exact Duplicate - Remove"),"Unique")</f>
        <v/>
      </c>
    </row>
    <row r="1321" ht="15" customHeight="1" s="11">
      <c r="A1321" s="10" t="inlineStr">
        <is>
          <t>USR-101320</t>
        </is>
      </c>
      <c r="B1321" s="14" t="n">
        <v>45790</v>
      </c>
      <c r="C1321" s="10" t="inlineStr">
        <is>
          <t>Treatment</t>
        </is>
      </c>
      <c r="D1321" s="10" t="inlineStr">
        <is>
          <t>South</t>
        </is>
      </c>
      <c r="E1321" s="10" t="inlineStr">
        <is>
          <t>Mobile</t>
        </is>
      </c>
      <c r="F1321" s="10" t="inlineStr">
        <is>
          <t>Paid Search</t>
        </is>
      </c>
      <c r="G1321" s="10" t="inlineStr">
        <is>
          <t>Basic</t>
        </is>
      </c>
      <c r="H1321" s="10" t="n">
        <v>1</v>
      </c>
      <c r="I1321" s="10" t="n">
        <v>1</v>
      </c>
      <c r="J1321" s="10" t="n">
        <v>0</v>
      </c>
      <c r="K1321" s="10" t="n">
        <v>0</v>
      </c>
      <c r="L1321" s="10" t="n">
        <v>0</v>
      </c>
      <c r="M1321" s="10" t="n">
        <v>1</v>
      </c>
      <c r="N1321" s="10" t="n">
        <v>0</v>
      </c>
      <c r="P1321" s="10" t="n">
        <v>62.4</v>
      </c>
      <c r="Q1321" s="10">
        <f>A1321&amp;"|"&amp;B1321&amp;"|"&amp;C1321&amp;"|"&amp;D1321&amp;"|"&amp;E1321&amp;"|"&amp;F1321&amp;"|"&amp;G1321&amp;"|"&amp;H1321&amp;"|"&amp;I1321&amp;"|"&amp;J1321&amp;"|"&amp;K1321&amp;"|"&amp;L1321&amp;"|"&amp;M1321&amp;"|"&amp;N1321&amp;"|"&amp;O1321&amp;"|"&amp;P1321</f>
        <v/>
      </c>
      <c r="R1321" s="10">
        <f>IF(COUNTIF($Q$2:$Q$1409,Q1321)&gt;1,IF(COUNTIF($Q$2:Q1321,Q1321)=1,"Exact Duplicate - Keep First","Exact Duplicate - Remove"),"Unique")</f>
        <v/>
      </c>
    </row>
    <row r="1322" ht="15" customHeight="1" s="11">
      <c r="A1322" s="10" t="inlineStr">
        <is>
          <t>USR-101321</t>
        </is>
      </c>
      <c r="B1322" s="14" t="n">
        <v>45805</v>
      </c>
      <c r="C1322" s="10" t="inlineStr">
        <is>
          <t>Treatment</t>
        </is>
      </c>
      <c r="D1322" s="10" t="inlineStr">
        <is>
          <t>South</t>
        </is>
      </c>
      <c r="E1322" s="10" t="inlineStr">
        <is>
          <t>Desktop</t>
        </is>
      </c>
      <c r="F1322" s="10" t="inlineStr">
        <is>
          <t>Paid Search</t>
        </is>
      </c>
      <c r="G1322" s="10" t="inlineStr">
        <is>
          <t>Basic</t>
        </is>
      </c>
      <c r="H1322" s="10" t="n">
        <v>1</v>
      </c>
      <c r="I1322" s="10" t="n">
        <v>0</v>
      </c>
      <c r="J1322" s="10" t="n">
        <v>0</v>
      </c>
      <c r="K1322" s="10" t="n">
        <v>0</v>
      </c>
      <c r="L1322" s="10" t="n">
        <v>0</v>
      </c>
      <c r="M1322" s="10" t="n">
        <v>0</v>
      </c>
      <c r="N1322" s="10" t="n">
        <v>0</v>
      </c>
      <c r="P1322" s="10" t="n">
        <v>46.1</v>
      </c>
      <c r="Q1322" s="10">
        <f>A1322&amp;"|"&amp;B1322&amp;"|"&amp;C1322&amp;"|"&amp;D1322&amp;"|"&amp;E1322&amp;"|"&amp;F1322&amp;"|"&amp;G1322&amp;"|"&amp;H1322&amp;"|"&amp;I1322&amp;"|"&amp;J1322&amp;"|"&amp;K1322&amp;"|"&amp;L1322&amp;"|"&amp;M1322&amp;"|"&amp;N1322&amp;"|"&amp;O1322&amp;"|"&amp;P1322</f>
        <v/>
      </c>
      <c r="R1322" s="10">
        <f>IF(COUNTIF($Q$2:$Q$1409,Q1322)&gt;1,IF(COUNTIF($Q$2:Q1322,Q1322)=1,"Exact Duplicate - Keep First","Exact Duplicate - Remove"),"Unique")</f>
        <v/>
      </c>
    </row>
    <row r="1323" ht="15" customHeight="1" s="11">
      <c r="A1323" s="10" t="inlineStr">
        <is>
          <t>USR-101322</t>
        </is>
      </c>
      <c r="B1323" s="14" t="n">
        <v>45735</v>
      </c>
      <c r="C1323" s="10" t="inlineStr">
        <is>
          <t>Treatment</t>
        </is>
      </c>
      <c r="D1323" s="10" t="inlineStr">
        <is>
          <t>West</t>
        </is>
      </c>
      <c r="E1323" s="10" t="inlineStr">
        <is>
          <t>Mobile</t>
        </is>
      </c>
      <c r="F1323" s="10" t="inlineStr">
        <is>
          <t>Organic</t>
        </is>
      </c>
      <c r="G1323" s="10" t="inlineStr">
        <is>
          <t>Free</t>
        </is>
      </c>
      <c r="H1323" s="10" t="n">
        <v>1</v>
      </c>
      <c r="I1323" s="10" t="n">
        <v>1</v>
      </c>
      <c r="J1323" s="10" t="n">
        <v>1</v>
      </c>
      <c r="K1323" s="10" t="n">
        <v>1</v>
      </c>
      <c r="L1323" s="10" t="n">
        <v>2660.21</v>
      </c>
      <c r="M1323" s="10" t="n">
        <v>0</v>
      </c>
      <c r="N1323" s="10" t="n">
        <v>0</v>
      </c>
      <c r="O1323" s="10" t="n">
        <v>3</v>
      </c>
      <c r="P1323" s="10" t="n">
        <v>73.90000000000001</v>
      </c>
      <c r="Q1323" s="10">
        <f>A1323&amp;"|"&amp;B1323&amp;"|"&amp;C1323&amp;"|"&amp;D1323&amp;"|"&amp;E1323&amp;"|"&amp;F1323&amp;"|"&amp;G1323&amp;"|"&amp;H1323&amp;"|"&amp;I1323&amp;"|"&amp;J1323&amp;"|"&amp;K1323&amp;"|"&amp;L1323&amp;"|"&amp;M1323&amp;"|"&amp;N1323&amp;"|"&amp;O1323&amp;"|"&amp;P1323</f>
        <v/>
      </c>
      <c r="R1323" s="10">
        <f>IF(COUNTIF($Q$2:$Q$1409,Q1323)&gt;1,IF(COUNTIF($Q$2:Q1323,Q1323)=1,"Exact Duplicate - Keep First","Exact Duplicate - Remove"),"Unique")</f>
        <v/>
      </c>
    </row>
    <row r="1324" ht="15" customHeight="1" s="11">
      <c r="A1324" s="10" t="inlineStr">
        <is>
          <t>USR-101323</t>
        </is>
      </c>
      <c r="B1324" s="14" t="n">
        <v>45691</v>
      </c>
      <c r="C1324" s="10" t="inlineStr">
        <is>
          <t>Treatment</t>
        </is>
      </c>
      <c r="D1324" s="10" t="inlineStr">
        <is>
          <t>North</t>
        </is>
      </c>
      <c r="E1324" s="10" t="inlineStr">
        <is>
          <t>Mobile</t>
        </is>
      </c>
      <c r="F1324" s="10" t="inlineStr">
        <is>
          <t>Email</t>
        </is>
      </c>
      <c r="G1324" s="10" t="inlineStr">
        <is>
          <t>Premium</t>
        </is>
      </c>
      <c r="H1324" s="10" t="n">
        <v>0</v>
      </c>
      <c r="I1324" s="10" t="n">
        <v>0</v>
      </c>
      <c r="J1324" s="10" t="n">
        <v>0</v>
      </c>
      <c r="K1324" s="10" t="n">
        <v>0</v>
      </c>
      <c r="L1324" s="10" t="n">
        <v>0</v>
      </c>
      <c r="M1324" s="10" t="n">
        <v>0</v>
      </c>
      <c r="N1324" s="10" t="n">
        <v>0</v>
      </c>
      <c r="P1324" s="10" t="n">
        <v>90</v>
      </c>
      <c r="Q1324" s="10">
        <f>A1324&amp;"|"&amp;B1324&amp;"|"&amp;C1324&amp;"|"&amp;D1324&amp;"|"&amp;E1324&amp;"|"&amp;F1324&amp;"|"&amp;G1324&amp;"|"&amp;H1324&amp;"|"&amp;I1324&amp;"|"&amp;J1324&amp;"|"&amp;K1324&amp;"|"&amp;L1324&amp;"|"&amp;M1324&amp;"|"&amp;N1324&amp;"|"&amp;O1324&amp;"|"&amp;P1324</f>
        <v/>
      </c>
      <c r="R1324" s="10">
        <f>IF(COUNTIF($Q$2:$Q$1409,Q1324)&gt;1,IF(COUNTIF($Q$2:Q1324,Q1324)=1,"Exact Duplicate - Keep First","Exact Duplicate - Remove"),"Unique")</f>
        <v/>
      </c>
    </row>
    <row r="1325" ht="15" customHeight="1" s="11">
      <c r="A1325" s="10" t="inlineStr">
        <is>
          <t>USR-101324</t>
        </is>
      </c>
      <c r="B1325" s="14" t="n">
        <v>45714</v>
      </c>
      <c r="C1325" s="10" t="inlineStr">
        <is>
          <t>Treatment</t>
        </is>
      </c>
      <c r="D1325" s="10" t="inlineStr">
        <is>
          <t>South</t>
        </is>
      </c>
      <c r="E1325" s="10" t="inlineStr">
        <is>
          <t>Mobile</t>
        </is>
      </c>
      <c r="F1325" s="10" t="inlineStr">
        <is>
          <t>Email</t>
        </is>
      </c>
      <c r="G1325" s="10" t="inlineStr">
        <is>
          <t>Basic</t>
        </is>
      </c>
      <c r="H1325" s="10" t="n">
        <v>1</v>
      </c>
      <c r="I1325" s="10" t="n">
        <v>0</v>
      </c>
      <c r="J1325" s="10" t="n">
        <v>0</v>
      </c>
      <c r="K1325" s="10" t="n">
        <v>0</v>
      </c>
      <c r="L1325" s="10" t="n">
        <v>0</v>
      </c>
      <c r="M1325" s="10" t="n">
        <v>1</v>
      </c>
      <c r="N1325" s="10" t="n">
        <v>0</v>
      </c>
      <c r="P1325" s="10" t="n">
        <v>68.8</v>
      </c>
      <c r="Q1325" s="10">
        <f>A1325&amp;"|"&amp;B1325&amp;"|"&amp;C1325&amp;"|"&amp;D1325&amp;"|"&amp;E1325&amp;"|"&amp;F1325&amp;"|"&amp;G1325&amp;"|"&amp;H1325&amp;"|"&amp;I1325&amp;"|"&amp;J1325&amp;"|"&amp;K1325&amp;"|"&amp;L1325&amp;"|"&amp;M1325&amp;"|"&amp;N1325&amp;"|"&amp;O1325&amp;"|"&amp;P1325</f>
        <v/>
      </c>
      <c r="R1325" s="10">
        <f>IF(COUNTIF($Q$2:$Q$1409,Q1325)&gt;1,IF(COUNTIF($Q$2:Q1325,Q1325)=1,"Exact Duplicate - Keep First","Exact Duplicate - Remove"),"Unique")</f>
        <v/>
      </c>
    </row>
    <row r="1326" ht="15" customHeight="1" s="11">
      <c r="A1326" s="10" t="inlineStr">
        <is>
          <t>USR-101325</t>
        </is>
      </c>
      <c r="B1326" s="14" t="n">
        <v>45683</v>
      </c>
      <c r="C1326" s="10" t="inlineStr">
        <is>
          <t>Treatment</t>
        </is>
      </c>
      <c r="D1326" s="10" t="inlineStr">
        <is>
          <t>West</t>
        </is>
      </c>
      <c r="E1326" s="10" t="inlineStr">
        <is>
          <t>Mobile</t>
        </is>
      </c>
      <c r="F1326" s="10" t="inlineStr">
        <is>
          <t>Paid Search</t>
        </is>
      </c>
      <c r="G1326" s="10" t="inlineStr">
        <is>
          <t>Free</t>
        </is>
      </c>
      <c r="H1326" s="10" t="n">
        <v>1</v>
      </c>
      <c r="I1326" s="10" t="n">
        <v>0</v>
      </c>
      <c r="J1326" s="10" t="n">
        <v>0</v>
      </c>
      <c r="K1326" s="10" t="n">
        <v>0</v>
      </c>
      <c r="L1326" s="10" t="n">
        <v>0</v>
      </c>
      <c r="M1326" s="10" t="n">
        <v>0</v>
      </c>
      <c r="N1326" s="10" t="n">
        <v>0</v>
      </c>
      <c r="P1326" s="10" t="n">
        <v>66.59999999999999</v>
      </c>
      <c r="Q1326" s="10">
        <f>A1326&amp;"|"&amp;B1326&amp;"|"&amp;C1326&amp;"|"&amp;D1326&amp;"|"&amp;E1326&amp;"|"&amp;F1326&amp;"|"&amp;G1326&amp;"|"&amp;H1326&amp;"|"&amp;I1326&amp;"|"&amp;J1326&amp;"|"&amp;K1326&amp;"|"&amp;L1326&amp;"|"&amp;M1326&amp;"|"&amp;N1326&amp;"|"&amp;O1326&amp;"|"&amp;P1326</f>
        <v/>
      </c>
      <c r="R1326" s="10">
        <f>IF(COUNTIF($Q$2:$Q$1409,Q1326)&gt;1,IF(COUNTIF($Q$2:Q1326,Q1326)=1,"Exact Duplicate - Keep First","Exact Duplicate - Remove"),"Unique")</f>
        <v/>
      </c>
    </row>
    <row r="1327" ht="15" customHeight="1" s="11">
      <c r="A1327" s="10" t="inlineStr">
        <is>
          <t>USR-101326</t>
        </is>
      </c>
      <c r="B1327" s="14" t="n">
        <v>45790</v>
      </c>
      <c r="C1327" s="10" t="inlineStr">
        <is>
          <t>Treatment</t>
        </is>
      </c>
      <c r="D1327" s="10" t="inlineStr">
        <is>
          <t>North</t>
        </is>
      </c>
      <c r="E1327" s="10" t="inlineStr">
        <is>
          <t>Mobile</t>
        </is>
      </c>
      <c r="F1327" s="10" t="inlineStr">
        <is>
          <t>Organic</t>
        </is>
      </c>
      <c r="G1327" s="10" t="inlineStr">
        <is>
          <t>Premium</t>
        </is>
      </c>
      <c r="H1327" s="10" t="n">
        <v>1</v>
      </c>
      <c r="I1327" s="10" t="n">
        <v>0</v>
      </c>
      <c r="J1327" s="10" t="n">
        <v>0</v>
      </c>
      <c r="K1327" s="10" t="n">
        <v>0</v>
      </c>
      <c r="L1327" s="10" t="n">
        <v>0</v>
      </c>
      <c r="M1327" s="10" t="n">
        <v>0</v>
      </c>
      <c r="N1327" s="10" t="n">
        <v>0</v>
      </c>
      <c r="P1327" s="10" t="n">
        <v>49.7</v>
      </c>
      <c r="Q1327" s="10">
        <f>A1327&amp;"|"&amp;B1327&amp;"|"&amp;C1327&amp;"|"&amp;D1327&amp;"|"&amp;E1327&amp;"|"&amp;F1327&amp;"|"&amp;G1327&amp;"|"&amp;H1327&amp;"|"&amp;I1327&amp;"|"&amp;J1327&amp;"|"&amp;K1327&amp;"|"&amp;L1327&amp;"|"&amp;M1327&amp;"|"&amp;N1327&amp;"|"&amp;O1327&amp;"|"&amp;P1327</f>
        <v/>
      </c>
      <c r="R1327" s="10">
        <f>IF(COUNTIF($Q$2:$Q$1409,Q1327)&gt;1,IF(COUNTIF($Q$2:Q1327,Q1327)=1,"Exact Duplicate - Keep First","Exact Duplicate - Remove"),"Unique")</f>
        <v/>
      </c>
    </row>
    <row r="1328" ht="15" customHeight="1" s="11">
      <c r="A1328" s="10" t="inlineStr">
        <is>
          <t>USR-101327</t>
        </is>
      </c>
      <c r="B1328" s="14" t="n">
        <v>45690</v>
      </c>
      <c r="C1328" s="10" t="inlineStr">
        <is>
          <t>Treatment</t>
        </is>
      </c>
      <c r="D1328" s="10" t="inlineStr">
        <is>
          <t>South</t>
        </is>
      </c>
      <c r="E1328" s="10" t="inlineStr">
        <is>
          <t>Mobile</t>
        </is>
      </c>
      <c r="F1328" s="10" t="inlineStr">
        <is>
          <t>Paid Search</t>
        </is>
      </c>
      <c r="G1328" s="10" t="inlineStr">
        <is>
          <t>Basic</t>
        </is>
      </c>
      <c r="H1328" s="10" t="n">
        <v>0</v>
      </c>
      <c r="I1328" s="10" t="n">
        <v>0</v>
      </c>
      <c r="J1328" s="10" t="n">
        <v>0</v>
      </c>
      <c r="K1328" s="10" t="n">
        <v>0</v>
      </c>
      <c r="L1328" s="10" t="n">
        <v>0</v>
      </c>
      <c r="M1328" s="10" t="n">
        <v>0</v>
      </c>
      <c r="N1328" s="10" t="n">
        <v>0</v>
      </c>
      <c r="P1328" s="10" t="n">
        <v>67.90000000000001</v>
      </c>
      <c r="Q1328" s="10">
        <f>A1328&amp;"|"&amp;B1328&amp;"|"&amp;C1328&amp;"|"&amp;D1328&amp;"|"&amp;E1328&amp;"|"&amp;F1328&amp;"|"&amp;G1328&amp;"|"&amp;H1328&amp;"|"&amp;I1328&amp;"|"&amp;J1328&amp;"|"&amp;K1328&amp;"|"&amp;L1328&amp;"|"&amp;M1328&amp;"|"&amp;N1328&amp;"|"&amp;O1328&amp;"|"&amp;P1328</f>
        <v/>
      </c>
      <c r="R1328" s="10">
        <f>IF(COUNTIF($Q$2:$Q$1409,Q1328)&gt;1,IF(COUNTIF($Q$2:Q1328,Q1328)=1,"Exact Duplicate - Keep First","Exact Duplicate - Remove"),"Unique")</f>
        <v/>
      </c>
    </row>
    <row r="1329" ht="15" customHeight="1" s="11">
      <c r="A1329" s="10" t="inlineStr">
        <is>
          <t>USR-101328</t>
        </is>
      </c>
      <c r="B1329" s="14" t="n">
        <v>45777</v>
      </c>
      <c r="C1329" s="10" t="inlineStr">
        <is>
          <t>Treatment</t>
        </is>
      </c>
      <c r="D1329" s="10" t="inlineStr">
        <is>
          <t>West</t>
        </is>
      </c>
      <c r="E1329" s="10" t="inlineStr">
        <is>
          <t>Mobile</t>
        </is>
      </c>
      <c r="G1329" s="10" t="inlineStr">
        <is>
          <t>Basic</t>
        </is>
      </c>
      <c r="H1329" s="10" t="n">
        <v>0</v>
      </c>
      <c r="I1329" s="10" t="n">
        <v>0</v>
      </c>
      <c r="J1329" s="10" t="n">
        <v>0</v>
      </c>
      <c r="K1329" s="10" t="n">
        <v>0</v>
      </c>
      <c r="L1329" s="10" t="n">
        <v>0</v>
      </c>
      <c r="M1329" s="10" t="n">
        <v>0</v>
      </c>
      <c r="N1329" s="10" t="n">
        <v>0</v>
      </c>
      <c r="P1329" s="10" t="n">
        <v>66.90000000000001</v>
      </c>
      <c r="Q1329" s="10">
        <f>A1329&amp;"|"&amp;B1329&amp;"|"&amp;C1329&amp;"|"&amp;D1329&amp;"|"&amp;E1329&amp;"|"&amp;F1329&amp;"|"&amp;G1329&amp;"|"&amp;H1329&amp;"|"&amp;I1329&amp;"|"&amp;J1329&amp;"|"&amp;K1329&amp;"|"&amp;L1329&amp;"|"&amp;M1329&amp;"|"&amp;N1329&amp;"|"&amp;O1329&amp;"|"&amp;P1329</f>
        <v/>
      </c>
      <c r="R1329" s="10">
        <f>IF(COUNTIF($Q$2:$Q$1409,Q1329)&gt;1,IF(COUNTIF($Q$2:Q1329,Q1329)=1,"Exact Duplicate - Keep First","Exact Duplicate - Remove"),"Unique")</f>
        <v/>
      </c>
    </row>
    <row r="1330" ht="15" customHeight="1" s="11">
      <c r="A1330" s="10" t="inlineStr">
        <is>
          <t>USR-101329</t>
        </is>
      </c>
      <c r="B1330" s="14" t="n">
        <v>45745</v>
      </c>
      <c r="C1330" s="10" t="inlineStr">
        <is>
          <t>Treatment</t>
        </is>
      </c>
      <c r="D1330" s="10" t="inlineStr">
        <is>
          <t>East</t>
        </is>
      </c>
      <c r="E1330" s="10" t="inlineStr">
        <is>
          <t>Mobile</t>
        </is>
      </c>
      <c r="F1330" s="10" t="inlineStr">
        <is>
          <t>Organic</t>
        </is>
      </c>
      <c r="G1330" s="10" t="inlineStr">
        <is>
          <t>Free</t>
        </is>
      </c>
      <c r="H1330" s="10" t="n">
        <v>0</v>
      </c>
      <c r="I1330" s="10" t="n">
        <v>0</v>
      </c>
      <c r="J1330" s="10" t="n">
        <v>0</v>
      </c>
      <c r="K1330" s="10" t="n">
        <v>0</v>
      </c>
      <c r="L1330" s="10" t="n">
        <v>0</v>
      </c>
      <c r="M1330" s="10" t="n">
        <v>0</v>
      </c>
      <c r="N1330" s="10" t="n">
        <v>0</v>
      </c>
      <c r="P1330" s="10" t="n">
        <v>46.1</v>
      </c>
      <c r="Q1330" s="10">
        <f>A1330&amp;"|"&amp;B1330&amp;"|"&amp;C1330&amp;"|"&amp;D1330&amp;"|"&amp;E1330&amp;"|"&amp;F1330&amp;"|"&amp;G1330&amp;"|"&amp;H1330&amp;"|"&amp;I1330&amp;"|"&amp;J1330&amp;"|"&amp;K1330&amp;"|"&amp;L1330&amp;"|"&amp;M1330&amp;"|"&amp;N1330&amp;"|"&amp;O1330&amp;"|"&amp;P1330</f>
        <v/>
      </c>
      <c r="R1330" s="10">
        <f>IF(COUNTIF($Q$2:$Q$1409,Q1330)&gt;1,IF(COUNTIF($Q$2:Q1330,Q1330)=1,"Exact Duplicate - Keep First","Exact Duplicate - Remove"),"Unique")</f>
        <v/>
      </c>
    </row>
    <row r="1331" ht="15" customHeight="1" s="11">
      <c r="A1331" s="10" t="inlineStr">
        <is>
          <t>USR-101330</t>
        </is>
      </c>
      <c r="B1331" s="14" t="n">
        <v>45756</v>
      </c>
      <c r="C1331" s="10" t="inlineStr">
        <is>
          <t>Treatment</t>
        </is>
      </c>
      <c r="D1331" s="10" t="inlineStr">
        <is>
          <t>West</t>
        </is>
      </c>
      <c r="E1331" s="10" t="inlineStr">
        <is>
          <t>Desktop</t>
        </is>
      </c>
      <c r="F1331" s="10" t="inlineStr">
        <is>
          <t>Referral</t>
        </is>
      </c>
      <c r="G1331" s="10" t="inlineStr">
        <is>
          <t>Premium</t>
        </is>
      </c>
      <c r="H1331" s="10" t="n">
        <v>1</v>
      </c>
      <c r="I1331" s="10" t="n">
        <v>0</v>
      </c>
      <c r="J1331" s="10" t="n">
        <v>0</v>
      </c>
      <c r="K1331" s="10" t="n">
        <v>0</v>
      </c>
      <c r="L1331" s="10" t="n">
        <v>0</v>
      </c>
      <c r="M1331" s="10" t="n">
        <v>0</v>
      </c>
      <c r="N1331" s="10" t="n">
        <v>0</v>
      </c>
      <c r="P1331" s="10" t="n">
        <v>85.59999999999999</v>
      </c>
      <c r="Q1331" s="10">
        <f>A1331&amp;"|"&amp;B1331&amp;"|"&amp;C1331&amp;"|"&amp;D1331&amp;"|"&amp;E1331&amp;"|"&amp;F1331&amp;"|"&amp;G1331&amp;"|"&amp;H1331&amp;"|"&amp;I1331&amp;"|"&amp;J1331&amp;"|"&amp;K1331&amp;"|"&amp;L1331&amp;"|"&amp;M1331&amp;"|"&amp;N1331&amp;"|"&amp;O1331&amp;"|"&amp;P1331</f>
        <v/>
      </c>
      <c r="R1331" s="10">
        <f>IF(COUNTIF($Q$2:$Q$1409,Q1331)&gt;1,IF(COUNTIF($Q$2:Q1331,Q1331)=1,"Exact Duplicate - Keep First","Exact Duplicate - Remove"),"Unique")</f>
        <v/>
      </c>
    </row>
    <row r="1332" ht="15" customHeight="1" s="11">
      <c r="A1332" s="10" t="inlineStr">
        <is>
          <t>USR-101331</t>
        </is>
      </c>
      <c r="B1332" s="14" t="n">
        <v>45679</v>
      </c>
      <c r="C1332" s="10" t="inlineStr">
        <is>
          <t>Treatment</t>
        </is>
      </c>
      <c r="D1332" s="10" t="inlineStr">
        <is>
          <t>South</t>
        </is>
      </c>
      <c r="E1332" s="10" t="inlineStr">
        <is>
          <t>Tablet</t>
        </is>
      </c>
      <c r="F1332" s="10" t="inlineStr">
        <is>
          <t>Organic</t>
        </is>
      </c>
      <c r="G1332" s="10" t="inlineStr">
        <is>
          <t>Free</t>
        </is>
      </c>
      <c r="H1332" s="10" t="n">
        <v>0</v>
      </c>
      <c r="I1332" s="10" t="n">
        <v>0</v>
      </c>
      <c r="J1332" s="10" t="n">
        <v>0</v>
      </c>
      <c r="K1332" s="10" t="n">
        <v>0</v>
      </c>
      <c r="L1332" s="10" t="n">
        <v>0</v>
      </c>
      <c r="M1332" s="10" t="n">
        <v>0</v>
      </c>
      <c r="N1332" s="10" t="n">
        <v>0</v>
      </c>
      <c r="P1332" s="10" t="n">
        <v>39.6</v>
      </c>
      <c r="Q1332" s="10">
        <f>A1332&amp;"|"&amp;B1332&amp;"|"&amp;C1332&amp;"|"&amp;D1332&amp;"|"&amp;E1332&amp;"|"&amp;F1332&amp;"|"&amp;G1332&amp;"|"&amp;H1332&amp;"|"&amp;I1332&amp;"|"&amp;J1332&amp;"|"&amp;K1332&amp;"|"&amp;L1332&amp;"|"&amp;M1332&amp;"|"&amp;N1332&amp;"|"&amp;O1332&amp;"|"&amp;P1332</f>
        <v/>
      </c>
      <c r="R1332" s="10">
        <f>IF(COUNTIF($Q$2:$Q$1409,Q1332)&gt;1,IF(COUNTIF($Q$2:Q1332,Q1332)=1,"Exact Duplicate - Keep First","Exact Duplicate - Remove"),"Unique")</f>
        <v/>
      </c>
    </row>
    <row r="1333" ht="15" customHeight="1" s="11">
      <c r="A1333" s="10" t="inlineStr">
        <is>
          <t>USR-101332</t>
        </is>
      </c>
      <c r="B1333" s="14" t="n">
        <v>45684</v>
      </c>
      <c r="C1333" s="10" t="inlineStr">
        <is>
          <t>Treatment</t>
        </is>
      </c>
      <c r="D1333" s="10" t="inlineStr">
        <is>
          <t>South</t>
        </is>
      </c>
      <c r="E1333" s="10" t="inlineStr">
        <is>
          <t>Mobile</t>
        </is>
      </c>
      <c r="F1333" s="10" t="inlineStr">
        <is>
          <t>Organic</t>
        </is>
      </c>
      <c r="G1333" s="10" t="inlineStr">
        <is>
          <t>Basic</t>
        </is>
      </c>
      <c r="H1333" s="10" t="n">
        <v>1</v>
      </c>
      <c r="I1333" s="10" t="n">
        <v>0</v>
      </c>
      <c r="J1333" s="10" t="n">
        <v>0</v>
      </c>
      <c r="K1333" s="10" t="n">
        <v>0</v>
      </c>
      <c r="L1333" s="10" t="n">
        <v>0</v>
      </c>
      <c r="M1333" s="10" t="n">
        <v>0</v>
      </c>
      <c r="N1333" s="10" t="n">
        <v>0</v>
      </c>
      <c r="P1333" s="10" t="n">
        <v>52.5</v>
      </c>
      <c r="Q1333" s="10">
        <f>A1333&amp;"|"&amp;B1333&amp;"|"&amp;C1333&amp;"|"&amp;D1333&amp;"|"&amp;E1333&amp;"|"&amp;F1333&amp;"|"&amp;G1333&amp;"|"&amp;H1333&amp;"|"&amp;I1333&amp;"|"&amp;J1333&amp;"|"&amp;K1333&amp;"|"&amp;L1333&amp;"|"&amp;M1333&amp;"|"&amp;N1333&amp;"|"&amp;O1333&amp;"|"&amp;P1333</f>
        <v/>
      </c>
      <c r="R1333" s="10">
        <f>IF(COUNTIF($Q$2:$Q$1409,Q1333)&gt;1,IF(COUNTIF($Q$2:Q1333,Q1333)=1,"Exact Duplicate - Keep First","Exact Duplicate - Remove"),"Unique")</f>
        <v/>
      </c>
    </row>
    <row r="1334" ht="15" customHeight="1" s="11">
      <c r="A1334" s="10" t="inlineStr">
        <is>
          <t>USR-101333</t>
        </is>
      </c>
      <c r="B1334" s="14" t="n">
        <v>45679</v>
      </c>
      <c r="C1334" s="10" t="inlineStr">
        <is>
          <t>Treatment</t>
        </is>
      </c>
      <c r="D1334" s="10" t="inlineStr">
        <is>
          <t>East</t>
        </is>
      </c>
      <c r="E1334" s="10" t="inlineStr">
        <is>
          <t>Mobile</t>
        </is>
      </c>
      <c r="F1334" s="10" t="inlineStr">
        <is>
          <t>Social</t>
        </is>
      </c>
      <c r="G1334" s="10" t="inlineStr">
        <is>
          <t>Premium</t>
        </is>
      </c>
      <c r="H1334" s="10" t="n">
        <v>1</v>
      </c>
      <c r="I1334" s="10" t="n">
        <v>0</v>
      </c>
      <c r="J1334" s="10" t="n">
        <v>0</v>
      </c>
      <c r="K1334" s="10" t="n">
        <v>0</v>
      </c>
      <c r="L1334" s="10" t="n">
        <v>0</v>
      </c>
      <c r="M1334" s="10" t="n">
        <v>0</v>
      </c>
      <c r="N1334" s="10" t="n">
        <v>0</v>
      </c>
      <c r="P1334" s="10" t="n">
        <v>73.5</v>
      </c>
      <c r="Q1334" s="10">
        <f>A1334&amp;"|"&amp;B1334&amp;"|"&amp;C1334&amp;"|"&amp;D1334&amp;"|"&amp;E1334&amp;"|"&amp;F1334&amp;"|"&amp;G1334&amp;"|"&amp;H1334&amp;"|"&amp;I1334&amp;"|"&amp;J1334&amp;"|"&amp;K1334&amp;"|"&amp;L1334&amp;"|"&amp;M1334&amp;"|"&amp;N1334&amp;"|"&amp;O1334&amp;"|"&amp;P1334</f>
        <v/>
      </c>
      <c r="R1334" s="10">
        <f>IF(COUNTIF($Q$2:$Q$1409,Q1334)&gt;1,IF(COUNTIF($Q$2:Q1334,Q1334)=1,"Exact Duplicate - Keep First","Exact Duplicate - Remove"),"Unique")</f>
        <v/>
      </c>
    </row>
    <row r="1335" ht="15" customHeight="1" s="11">
      <c r="A1335" s="10" t="inlineStr">
        <is>
          <t>USR-101334</t>
        </is>
      </c>
      <c r="B1335" s="14" t="n">
        <v>45663</v>
      </c>
      <c r="C1335" s="10" t="inlineStr">
        <is>
          <t>Treatment</t>
        </is>
      </c>
      <c r="D1335" s="10" t="inlineStr">
        <is>
          <t>West</t>
        </is>
      </c>
      <c r="E1335" s="10" t="inlineStr">
        <is>
          <t>Desktop</t>
        </is>
      </c>
      <c r="F1335" s="10" t="inlineStr">
        <is>
          <t>Paid Search</t>
        </is>
      </c>
      <c r="G1335" s="10" t="inlineStr">
        <is>
          <t>Free</t>
        </is>
      </c>
      <c r="H1335" s="10" t="n">
        <v>0</v>
      </c>
      <c r="I1335" s="10" t="n">
        <v>0</v>
      </c>
      <c r="J1335" s="10" t="n">
        <v>0</v>
      </c>
      <c r="K1335" s="10" t="n">
        <v>0</v>
      </c>
      <c r="L1335" s="10" t="n">
        <v>0</v>
      </c>
      <c r="M1335" s="10" t="n">
        <v>0</v>
      </c>
      <c r="N1335" s="10" t="n">
        <v>0</v>
      </c>
      <c r="P1335" s="10" t="n">
        <v>62.5</v>
      </c>
      <c r="Q1335" s="10">
        <f>A1335&amp;"|"&amp;B1335&amp;"|"&amp;C1335&amp;"|"&amp;D1335&amp;"|"&amp;E1335&amp;"|"&amp;F1335&amp;"|"&amp;G1335&amp;"|"&amp;H1335&amp;"|"&amp;I1335&amp;"|"&amp;J1335&amp;"|"&amp;K1335&amp;"|"&amp;L1335&amp;"|"&amp;M1335&amp;"|"&amp;N1335&amp;"|"&amp;O1335&amp;"|"&amp;P1335</f>
        <v/>
      </c>
      <c r="R1335" s="10">
        <f>IF(COUNTIF($Q$2:$Q$1409,Q1335)&gt;1,IF(COUNTIF($Q$2:Q1335,Q1335)=1,"Exact Duplicate - Keep First","Exact Duplicate - Remove"),"Unique")</f>
        <v/>
      </c>
    </row>
    <row r="1336" ht="15" customHeight="1" s="11">
      <c r="A1336" s="10" t="inlineStr">
        <is>
          <t>USR-101335</t>
        </is>
      </c>
      <c r="B1336" s="14" t="n">
        <v>45763</v>
      </c>
      <c r="C1336" s="10" t="inlineStr">
        <is>
          <t>Treatment</t>
        </is>
      </c>
      <c r="D1336" s="10" t="inlineStr">
        <is>
          <t>South</t>
        </is>
      </c>
      <c r="F1336" s="10" t="inlineStr">
        <is>
          <t>Organic</t>
        </is>
      </c>
      <c r="G1336" s="10" t="inlineStr">
        <is>
          <t>Free</t>
        </is>
      </c>
      <c r="H1336" s="10" t="n">
        <v>1</v>
      </c>
      <c r="I1336" s="10" t="n">
        <v>0</v>
      </c>
      <c r="J1336" s="10" t="n">
        <v>0</v>
      </c>
      <c r="K1336" s="10" t="n">
        <v>0</v>
      </c>
      <c r="L1336" s="10" t="n">
        <v>0</v>
      </c>
      <c r="M1336" s="10" t="n">
        <v>0</v>
      </c>
      <c r="N1336" s="10" t="n">
        <v>0</v>
      </c>
      <c r="P1336" s="10" t="n">
        <v>76.90000000000001</v>
      </c>
      <c r="Q1336" s="10">
        <f>A1336&amp;"|"&amp;B1336&amp;"|"&amp;C1336&amp;"|"&amp;D1336&amp;"|"&amp;E1336&amp;"|"&amp;F1336&amp;"|"&amp;G1336&amp;"|"&amp;H1336&amp;"|"&amp;I1336&amp;"|"&amp;J1336&amp;"|"&amp;K1336&amp;"|"&amp;L1336&amp;"|"&amp;M1336&amp;"|"&amp;N1336&amp;"|"&amp;O1336&amp;"|"&amp;P1336</f>
        <v/>
      </c>
      <c r="R1336" s="10">
        <f>IF(COUNTIF($Q$2:$Q$1409,Q1336)&gt;1,IF(COUNTIF($Q$2:Q1336,Q1336)=1,"Exact Duplicate - Keep First","Exact Duplicate - Remove"),"Unique")</f>
        <v/>
      </c>
    </row>
    <row r="1337" ht="15" customHeight="1" s="11">
      <c r="A1337" s="10" t="inlineStr">
        <is>
          <t>USR-101336</t>
        </is>
      </c>
      <c r="B1337" s="14" t="n">
        <v>45761</v>
      </c>
      <c r="C1337" s="10" t="inlineStr">
        <is>
          <t>Treatment</t>
        </is>
      </c>
      <c r="D1337" s="10" t="inlineStr">
        <is>
          <t>South</t>
        </is>
      </c>
      <c r="E1337" s="10" t="inlineStr">
        <is>
          <t>Mobile</t>
        </is>
      </c>
      <c r="F1337" s="10" t="inlineStr">
        <is>
          <t>Organic</t>
        </is>
      </c>
      <c r="G1337" s="10" t="inlineStr">
        <is>
          <t>Free</t>
        </is>
      </c>
      <c r="H1337" s="10" t="n">
        <v>1</v>
      </c>
      <c r="I1337" s="10" t="n">
        <v>0</v>
      </c>
      <c r="J1337" s="10" t="n">
        <v>0</v>
      </c>
      <c r="K1337" s="10" t="n">
        <v>0</v>
      </c>
      <c r="L1337" s="10" t="n">
        <v>0</v>
      </c>
      <c r="M1337" s="10" t="n">
        <v>0</v>
      </c>
      <c r="N1337" s="10" t="n">
        <v>0</v>
      </c>
      <c r="P1337" s="10" t="n">
        <v>51.4</v>
      </c>
      <c r="Q1337" s="10">
        <f>A1337&amp;"|"&amp;B1337&amp;"|"&amp;C1337&amp;"|"&amp;D1337&amp;"|"&amp;E1337&amp;"|"&amp;F1337&amp;"|"&amp;G1337&amp;"|"&amp;H1337&amp;"|"&amp;I1337&amp;"|"&amp;J1337&amp;"|"&amp;K1337&amp;"|"&amp;L1337&amp;"|"&amp;M1337&amp;"|"&amp;N1337&amp;"|"&amp;O1337&amp;"|"&amp;P1337</f>
        <v/>
      </c>
      <c r="R1337" s="10">
        <f>IF(COUNTIF($Q$2:$Q$1409,Q1337)&gt;1,IF(COUNTIF($Q$2:Q1337,Q1337)=1,"Exact Duplicate - Keep First","Exact Duplicate - Remove"),"Unique")</f>
        <v/>
      </c>
    </row>
    <row r="1338" ht="15" customHeight="1" s="11">
      <c r="A1338" s="10" t="inlineStr">
        <is>
          <t>USR-101337</t>
        </is>
      </c>
      <c r="B1338" s="14" t="n">
        <v>45710</v>
      </c>
      <c r="C1338" s="10" t="inlineStr">
        <is>
          <t>Treatment</t>
        </is>
      </c>
      <c r="D1338" s="10" t="inlineStr">
        <is>
          <t>West</t>
        </is>
      </c>
      <c r="E1338" s="10" t="inlineStr">
        <is>
          <t>Mobile</t>
        </is>
      </c>
      <c r="F1338" s="10" t="inlineStr">
        <is>
          <t>Paid Search</t>
        </is>
      </c>
      <c r="G1338" s="10" t="inlineStr">
        <is>
          <t>Basic</t>
        </is>
      </c>
      <c r="H1338" s="10" t="n">
        <v>1</v>
      </c>
      <c r="I1338" s="10" t="n">
        <v>0</v>
      </c>
      <c r="J1338" s="10" t="n">
        <v>0</v>
      </c>
      <c r="K1338" s="10" t="n">
        <v>0</v>
      </c>
      <c r="L1338" s="10" t="n">
        <v>0</v>
      </c>
      <c r="M1338" s="10" t="n">
        <v>0</v>
      </c>
      <c r="N1338" s="10" t="n">
        <v>0</v>
      </c>
      <c r="P1338" s="10" t="n">
        <v>59.3</v>
      </c>
      <c r="Q1338" s="10">
        <f>A1338&amp;"|"&amp;B1338&amp;"|"&amp;C1338&amp;"|"&amp;D1338&amp;"|"&amp;E1338&amp;"|"&amp;F1338&amp;"|"&amp;G1338&amp;"|"&amp;H1338&amp;"|"&amp;I1338&amp;"|"&amp;J1338&amp;"|"&amp;K1338&amp;"|"&amp;L1338&amp;"|"&amp;M1338&amp;"|"&amp;N1338&amp;"|"&amp;O1338&amp;"|"&amp;P1338</f>
        <v/>
      </c>
      <c r="R1338" s="10">
        <f>IF(COUNTIF($Q$2:$Q$1409,Q1338)&gt;1,IF(COUNTIF($Q$2:Q1338,Q1338)=1,"Exact Duplicate - Keep First","Exact Duplicate - Remove"),"Unique")</f>
        <v/>
      </c>
    </row>
    <row r="1339" ht="15" customHeight="1" s="11">
      <c r="A1339" s="10" t="inlineStr">
        <is>
          <t>USR-101338</t>
        </is>
      </c>
      <c r="B1339" s="14" t="n">
        <v>45725</v>
      </c>
      <c r="C1339" s="10" t="inlineStr">
        <is>
          <t>Treatment</t>
        </is>
      </c>
      <c r="D1339" s="10" t="inlineStr">
        <is>
          <t>North</t>
        </is>
      </c>
      <c r="E1339" s="10" t="inlineStr">
        <is>
          <t>Mobile</t>
        </is>
      </c>
      <c r="F1339" s="10" t="inlineStr">
        <is>
          <t>Organic</t>
        </is>
      </c>
      <c r="G1339" s="10" t="inlineStr">
        <is>
          <t>Basic</t>
        </is>
      </c>
      <c r="H1339" s="10" t="n">
        <v>0</v>
      </c>
      <c r="I1339" s="10" t="n">
        <v>0</v>
      </c>
      <c r="J1339" s="10" t="n">
        <v>0</v>
      </c>
      <c r="K1339" s="10" t="n">
        <v>0</v>
      </c>
      <c r="L1339" s="10" t="n">
        <v>0</v>
      </c>
      <c r="M1339" s="10" t="n">
        <v>0</v>
      </c>
      <c r="N1339" s="10" t="n">
        <v>0</v>
      </c>
      <c r="P1339" s="10" t="n">
        <v>74.90000000000001</v>
      </c>
      <c r="Q1339" s="10">
        <f>A1339&amp;"|"&amp;B1339&amp;"|"&amp;C1339&amp;"|"&amp;D1339&amp;"|"&amp;E1339&amp;"|"&amp;F1339&amp;"|"&amp;G1339&amp;"|"&amp;H1339&amp;"|"&amp;I1339&amp;"|"&amp;J1339&amp;"|"&amp;K1339&amp;"|"&amp;L1339&amp;"|"&amp;M1339&amp;"|"&amp;N1339&amp;"|"&amp;O1339&amp;"|"&amp;P1339</f>
        <v/>
      </c>
      <c r="R1339" s="10">
        <f>IF(COUNTIF($Q$2:$Q$1409,Q1339)&gt;1,IF(COUNTIF($Q$2:Q1339,Q1339)=1,"Exact Duplicate - Keep First","Exact Duplicate - Remove"),"Unique")</f>
        <v/>
      </c>
    </row>
    <row r="1340" ht="15" customHeight="1" s="11">
      <c r="A1340" s="10" t="inlineStr">
        <is>
          <t>USR-101339</t>
        </is>
      </c>
      <c r="B1340" s="14" t="n">
        <v>45767</v>
      </c>
      <c r="C1340" s="10" t="inlineStr">
        <is>
          <t>Treatment</t>
        </is>
      </c>
      <c r="D1340" s="10" t="inlineStr">
        <is>
          <t>West</t>
        </is>
      </c>
      <c r="E1340" s="10" t="inlineStr">
        <is>
          <t>Desktop</t>
        </is>
      </c>
      <c r="F1340" s="10" t="inlineStr">
        <is>
          <t>Organic</t>
        </is>
      </c>
      <c r="G1340" s="10" t="inlineStr">
        <is>
          <t>Free</t>
        </is>
      </c>
      <c r="H1340" s="10" t="n">
        <v>1</v>
      </c>
      <c r="I1340" s="10" t="n">
        <v>0</v>
      </c>
      <c r="J1340" s="10" t="n">
        <v>0</v>
      </c>
      <c r="K1340" s="10" t="n">
        <v>0</v>
      </c>
      <c r="L1340" s="10" t="n">
        <v>0</v>
      </c>
      <c r="M1340" s="10" t="n">
        <v>0</v>
      </c>
      <c r="N1340" s="10" t="n">
        <v>0</v>
      </c>
      <c r="P1340" s="10" t="n">
        <v>67</v>
      </c>
      <c r="Q1340" s="10">
        <f>A1340&amp;"|"&amp;B1340&amp;"|"&amp;C1340&amp;"|"&amp;D1340&amp;"|"&amp;E1340&amp;"|"&amp;F1340&amp;"|"&amp;G1340&amp;"|"&amp;H1340&amp;"|"&amp;I1340&amp;"|"&amp;J1340&amp;"|"&amp;K1340&amp;"|"&amp;L1340&amp;"|"&amp;M1340&amp;"|"&amp;N1340&amp;"|"&amp;O1340&amp;"|"&amp;P1340</f>
        <v/>
      </c>
      <c r="R1340" s="10">
        <f>IF(COUNTIF($Q$2:$Q$1409,Q1340)&gt;1,IF(COUNTIF($Q$2:Q1340,Q1340)=1,"Exact Duplicate - Keep First","Exact Duplicate - Remove"),"Unique")</f>
        <v/>
      </c>
    </row>
    <row r="1341" ht="15" customHeight="1" s="11">
      <c r="A1341" s="10" t="inlineStr">
        <is>
          <t>USR-101340</t>
        </is>
      </c>
      <c r="B1341" s="14" t="n">
        <v>45726</v>
      </c>
      <c r="C1341" s="10" t="inlineStr">
        <is>
          <t>Treatment</t>
        </is>
      </c>
      <c r="D1341" s="10" t="inlineStr">
        <is>
          <t>South</t>
        </is>
      </c>
      <c r="E1341" s="10" t="inlineStr">
        <is>
          <t>Mobile</t>
        </is>
      </c>
      <c r="F1341" s="10" t="inlineStr">
        <is>
          <t>Email</t>
        </is>
      </c>
      <c r="G1341" s="10" t="inlineStr">
        <is>
          <t>Free</t>
        </is>
      </c>
      <c r="H1341" s="10" t="n">
        <v>0</v>
      </c>
      <c r="I1341" s="10" t="n">
        <v>0</v>
      </c>
      <c r="J1341" s="10" t="n">
        <v>0</v>
      </c>
      <c r="K1341" s="10" t="n">
        <v>0</v>
      </c>
      <c r="L1341" s="10" t="n">
        <v>0</v>
      </c>
      <c r="M1341" s="10" t="n">
        <v>0</v>
      </c>
      <c r="N1341" s="10" t="n">
        <v>0</v>
      </c>
      <c r="P1341" s="10" t="n">
        <v>63.6</v>
      </c>
      <c r="Q1341" s="10">
        <f>A1341&amp;"|"&amp;B1341&amp;"|"&amp;C1341&amp;"|"&amp;D1341&amp;"|"&amp;E1341&amp;"|"&amp;F1341&amp;"|"&amp;G1341&amp;"|"&amp;H1341&amp;"|"&amp;I1341&amp;"|"&amp;J1341&amp;"|"&amp;K1341&amp;"|"&amp;L1341&amp;"|"&amp;M1341&amp;"|"&amp;N1341&amp;"|"&amp;O1341&amp;"|"&amp;P1341</f>
        <v/>
      </c>
      <c r="R1341" s="10">
        <f>IF(COUNTIF($Q$2:$Q$1409,Q1341)&gt;1,IF(COUNTIF($Q$2:Q1341,Q1341)=1,"Exact Duplicate - Keep First","Exact Duplicate - Remove"),"Unique")</f>
        <v/>
      </c>
    </row>
    <row r="1342" ht="15" customHeight="1" s="11">
      <c r="A1342" s="10" t="inlineStr">
        <is>
          <t>USR-101341</t>
        </is>
      </c>
      <c r="B1342" s="14" t="n">
        <v>45709</v>
      </c>
      <c r="C1342" s="10" t="inlineStr">
        <is>
          <t>Treatment</t>
        </is>
      </c>
      <c r="D1342" s="10" t="inlineStr">
        <is>
          <t>South</t>
        </is>
      </c>
      <c r="E1342" s="10" t="inlineStr">
        <is>
          <t>Mobile</t>
        </is>
      </c>
      <c r="F1342" s="10" t="inlineStr">
        <is>
          <t>Email</t>
        </is>
      </c>
      <c r="G1342" s="10" t="inlineStr">
        <is>
          <t>Free</t>
        </is>
      </c>
      <c r="H1342" s="10" t="n">
        <v>1</v>
      </c>
      <c r="I1342" s="10" t="n">
        <v>1</v>
      </c>
      <c r="J1342" s="10" t="n">
        <v>0</v>
      </c>
      <c r="K1342" s="10" t="n">
        <v>0</v>
      </c>
      <c r="L1342" s="10" t="n">
        <v>0</v>
      </c>
      <c r="M1342" s="10" t="n">
        <v>1</v>
      </c>
      <c r="N1342" s="10" t="n">
        <v>0</v>
      </c>
      <c r="P1342" s="10" t="n">
        <v>58.4</v>
      </c>
      <c r="Q1342" s="10">
        <f>A1342&amp;"|"&amp;B1342&amp;"|"&amp;C1342&amp;"|"&amp;D1342&amp;"|"&amp;E1342&amp;"|"&amp;F1342&amp;"|"&amp;G1342&amp;"|"&amp;H1342&amp;"|"&amp;I1342&amp;"|"&amp;J1342&amp;"|"&amp;K1342&amp;"|"&amp;L1342&amp;"|"&amp;M1342&amp;"|"&amp;N1342&amp;"|"&amp;O1342&amp;"|"&amp;P1342</f>
        <v/>
      </c>
      <c r="R1342" s="10">
        <f>IF(COUNTIF($Q$2:$Q$1409,Q1342)&gt;1,IF(COUNTIF($Q$2:Q1342,Q1342)=1,"Exact Duplicate - Keep First","Exact Duplicate - Remove"),"Unique")</f>
        <v/>
      </c>
    </row>
    <row r="1343" ht="15" customHeight="1" s="11">
      <c r="A1343" s="10" t="inlineStr">
        <is>
          <t>USR-101342</t>
        </is>
      </c>
      <c r="B1343" s="14" t="n">
        <v>45663</v>
      </c>
      <c r="C1343" s="10" t="inlineStr">
        <is>
          <t>Treatment</t>
        </is>
      </c>
      <c r="D1343" s="10" t="inlineStr">
        <is>
          <t>North</t>
        </is>
      </c>
      <c r="E1343" s="10" t="inlineStr">
        <is>
          <t>Desktop</t>
        </is>
      </c>
      <c r="F1343" s="10" t="inlineStr">
        <is>
          <t>Social</t>
        </is>
      </c>
      <c r="G1343" s="10" t="inlineStr">
        <is>
          <t>Free</t>
        </is>
      </c>
      <c r="H1343" s="10" t="n">
        <v>1</v>
      </c>
      <c r="I1343" s="10" t="n">
        <v>0</v>
      </c>
      <c r="J1343" s="10" t="n">
        <v>0</v>
      </c>
      <c r="K1343" s="10" t="n">
        <v>0</v>
      </c>
      <c r="L1343" s="10" t="n">
        <v>0</v>
      </c>
      <c r="M1343" s="10" t="n">
        <v>0</v>
      </c>
      <c r="N1343" s="10" t="n">
        <v>0</v>
      </c>
      <c r="P1343" s="10" t="n">
        <v>36.8</v>
      </c>
      <c r="Q1343" s="10">
        <f>A1343&amp;"|"&amp;B1343&amp;"|"&amp;C1343&amp;"|"&amp;D1343&amp;"|"&amp;E1343&amp;"|"&amp;F1343&amp;"|"&amp;G1343&amp;"|"&amp;H1343&amp;"|"&amp;I1343&amp;"|"&amp;J1343&amp;"|"&amp;K1343&amp;"|"&amp;L1343&amp;"|"&amp;M1343&amp;"|"&amp;N1343&amp;"|"&amp;O1343&amp;"|"&amp;P1343</f>
        <v/>
      </c>
      <c r="R1343" s="10">
        <f>IF(COUNTIF($Q$2:$Q$1409,Q1343)&gt;1,IF(COUNTIF($Q$2:Q1343,Q1343)=1,"Exact Duplicate - Keep First","Exact Duplicate - Remove"),"Unique")</f>
        <v/>
      </c>
    </row>
    <row r="1344" ht="15" customHeight="1" s="11">
      <c r="A1344" s="10" t="inlineStr">
        <is>
          <t>USR-101343</t>
        </is>
      </c>
      <c r="B1344" s="14" t="n">
        <v>45764</v>
      </c>
      <c r="C1344" s="10" t="inlineStr">
        <is>
          <t>Treatment</t>
        </is>
      </c>
      <c r="D1344" s="10" t="inlineStr">
        <is>
          <t>South</t>
        </is>
      </c>
      <c r="E1344" s="10" t="inlineStr">
        <is>
          <t>Mobile</t>
        </is>
      </c>
      <c r="F1344" s="10" t="inlineStr">
        <is>
          <t>Organic</t>
        </is>
      </c>
      <c r="G1344" s="10" t="inlineStr">
        <is>
          <t>Premium</t>
        </is>
      </c>
      <c r="H1344" s="10" t="n">
        <v>1</v>
      </c>
      <c r="I1344" s="10" t="n">
        <v>0</v>
      </c>
      <c r="J1344" s="10" t="n">
        <v>0</v>
      </c>
      <c r="K1344" s="10" t="n">
        <v>0</v>
      </c>
      <c r="L1344" s="10" t="n">
        <v>0</v>
      </c>
      <c r="M1344" s="10" t="n">
        <v>0</v>
      </c>
      <c r="N1344" s="10" t="n">
        <v>0</v>
      </c>
      <c r="P1344" s="10" t="n">
        <v>71.59999999999999</v>
      </c>
      <c r="Q1344" s="10">
        <f>A1344&amp;"|"&amp;B1344&amp;"|"&amp;C1344&amp;"|"&amp;D1344&amp;"|"&amp;E1344&amp;"|"&amp;F1344&amp;"|"&amp;G1344&amp;"|"&amp;H1344&amp;"|"&amp;I1344&amp;"|"&amp;J1344&amp;"|"&amp;K1344&amp;"|"&amp;L1344&amp;"|"&amp;M1344&amp;"|"&amp;N1344&amp;"|"&amp;O1344&amp;"|"&amp;P1344</f>
        <v/>
      </c>
      <c r="R1344" s="10">
        <f>IF(COUNTIF($Q$2:$Q$1409,Q1344)&gt;1,IF(COUNTIF($Q$2:Q1344,Q1344)=1,"Exact Duplicate - Keep First","Exact Duplicate - Remove"),"Unique")</f>
        <v/>
      </c>
    </row>
    <row r="1345" ht="15" customHeight="1" s="11">
      <c r="A1345" s="10" t="inlineStr">
        <is>
          <t>USR-101344</t>
        </is>
      </c>
      <c r="B1345" s="14" t="n">
        <v>45800</v>
      </c>
      <c r="C1345" s="10" t="inlineStr">
        <is>
          <t>Treatment</t>
        </is>
      </c>
      <c r="D1345" s="10" t="inlineStr">
        <is>
          <t>South</t>
        </is>
      </c>
      <c r="E1345" s="10" t="inlineStr">
        <is>
          <t>Mobile</t>
        </is>
      </c>
      <c r="F1345" s="10" t="inlineStr">
        <is>
          <t>Email</t>
        </is>
      </c>
      <c r="G1345" s="10" t="inlineStr">
        <is>
          <t>Basic</t>
        </is>
      </c>
      <c r="H1345" s="10" t="n">
        <v>1</v>
      </c>
      <c r="I1345" s="10" t="n">
        <v>1</v>
      </c>
      <c r="J1345" s="10" t="n">
        <v>0</v>
      </c>
      <c r="K1345" s="10" t="n">
        <v>0</v>
      </c>
      <c r="L1345" s="10" t="n">
        <v>0</v>
      </c>
      <c r="M1345" s="10" t="n">
        <v>1</v>
      </c>
      <c r="N1345" s="10" t="n">
        <v>0</v>
      </c>
      <c r="P1345" s="10" t="n">
        <v>79.7</v>
      </c>
      <c r="Q1345" s="10">
        <f>A1345&amp;"|"&amp;B1345&amp;"|"&amp;C1345&amp;"|"&amp;D1345&amp;"|"&amp;E1345&amp;"|"&amp;F1345&amp;"|"&amp;G1345&amp;"|"&amp;H1345&amp;"|"&amp;I1345&amp;"|"&amp;J1345&amp;"|"&amp;K1345&amp;"|"&amp;L1345&amp;"|"&amp;M1345&amp;"|"&amp;N1345&amp;"|"&amp;O1345&amp;"|"&amp;P1345</f>
        <v/>
      </c>
      <c r="R1345" s="10">
        <f>IF(COUNTIF($Q$2:$Q$1409,Q1345)&gt;1,IF(COUNTIF($Q$2:Q1345,Q1345)=1,"Exact Duplicate - Keep First","Exact Duplicate - Remove"),"Unique")</f>
        <v/>
      </c>
    </row>
    <row r="1346" ht="15" customHeight="1" s="11">
      <c r="A1346" s="10" t="inlineStr">
        <is>
          <t>USR-101345</t>
        </is>
      </c>
      <c r="B1346" s="14" t="n">
        <v>45730</v>
      </c>
      <c r="C1346" s="10" t="inlineStr">
        <is>
          <t>Treatment</t>
        </is>
      </c>
      <c r="D1346" s="10" t="inlineStr">
        <is>
          <t>West</t>
        </is>
      </c>
      <c r="E1346" s="10" t="inlineStr">
        <is>
          <t>Desktop</t>
        </is>
      </c>
      <c r="F1346" s="10" t="inlineStr">
        <is>
          <t>Organic</t>
        </is>
      </c>
      <c r="G1346" s="10" t="inlineStr">
        <is>
          <t>Basic</t>
        </is>
      </c>
      <c r="H1346" s="10" t="n">
        <v>1</v>
      </c>
      <c r="I1346" s="10" t="n">
        <v>0</v>
      </c>
      <c r="J1346" s="10" t="n">
        <v>0</v>
      </c>
      <c r="K1346" s="10" t="n">
        <v>0</v>
      </c>
      <c r="L1346" s="10" t="n">
        <v>0</v>
      </c>
      <c r="M1346" s="10" t="n">
        <v>1</v>
      </c>
      <c r="N1346" s="10" t="n">
        <v>0</v>
      </c>
      <c r="P1346" s="10" t="n">
        <v>56.5</v>
      </c>
      <c r="Q1346" s="10">
        <f>A1346&amp;"|"&amp;B1346&amp;"|"&amp;C1346&amp;"|"&amp;D1346&amp;"|"&amp;E1346&amp;"|"&amp;F1346&amp;"|"&amp;G1346&amp;"|"&amp;H1346&amp;"|"&amp;I1346&amp;"|"&amp;J1346&amp;"|"&amp;K1346&amp;"|"&amp;L1346&amp;"|"&amp;M1346&amp;"|"&amp;N1346&amp;"|"&amp;O1346&amp;"|"&amp;P1346</f>
        <v/>
      </c>
      <c r="R1346" s="10">
        <f>IF(COUNTIF($Q$2:$Q$1409,Q1346)&gt;1,IF(COUNTIF($Q$2:Q1346,Q1346)=1,"Exact Duplicate - Keep First","Exact Duplicate - Remove"),"Unique")</f>
        <v/>
      </c>
    </row>
    <row r="1347" ht="15" customHeight="1" s="11">
      <c r="A1347" s="10" t="inlineStr">
        <is>
          <t>USR-101346</t>
        </is>
      </c>
      <c r="B1347" s="14" t="n">
        <v>45768</v>
      </c>
      <c r="C1347" s="10" t="inlineStr">
        <is>
          <t>Treatment</t>
        </is>
      </c>
      <c r="D1347" s="10" t="inlineStr">
        <is>
          <t>North</t>
        </is>
      </c>
      <c r="E1347" s="10" t="inlineStr">
        <is>
          <t>Mobile</t>
        </is>
      </c>
      <c r="F1347" s="10" t="inlineStr">
        <is>
          <t>Social</t>
        </is>
      </c>
      <c r="G1347" s="10" t="inlineStr">
        <is>
          <t>Premium</t>
        </is>
      </c>
      <c r="H1347" s="10" t="n">
        <v>1</v>
      </c>
      <c r="I1347" s="10" t="n">
        <v>0</v>
      </c>
      <c r="J1347" s="10" t="n">
        <v>0</v>
      </c>
      <c r="K1347" s="10" t="n">
        <v>0</v>
      </c>
      <c r="L1347" s="10" t="n">
        <v>0</v>
      </c>
      <c r="M1347" s="10" t="n">
        <v>0</v>
      </c>
      <c r="N1347" s="10" t="n">
        <v>0</v>
      </c>
      <c r="P1347" s="10" t="n">
        <v>44.7</v>
      </c>
      <c r="Q1347" s="10">
        <f>A1347&amp;"|"&amp;B1347&amp;"|"&amp;C1347&amp;"|"&amp;D1347&amp;"|"&amp;E1347&amp;"|"&amp;F1347&amp;"|"&amp;G1347&amp;"|"&amp;H1347&amp;"|"&amp;I1347&amp;"|"&amp;J1347&amp;"|"&amp;K1347&amp;"|"&amp;L1347&amp;"|"&amp;M1347&amp;"|"&amp;N1347&amp;"|"&amp;O1347&amp;"|"&amp;P1347</f>
        <v/>
      </c>
      <c r="R1347" s="10">
        <f>IF(COUNTIF($Q$2:$Q$1409,Q1347)&gt;1,IF(COUNTIF($Q$2:Q1347,Q1347)=1,"Exact Duplicate - Keep First","Exact Duplicate - Remove"),"Unique")</f>
        <v/>
      </c>
    </row>
    <row r="1348" ht="15" customHeight="1" s="11">
      <c r="A1348" s="10" t="inlineStr">
        <is>
          <t>USR-101347</t>
        </is>
      </c>
      <c r="B1348" s="14" t="n">
        <v>45660</v>
      </c>
      <c r="C1348" s="10" t="inlineStr">
        <is>
          <t>Treatment</t>
        </is>
      </c>
      <c r="D1348" s="10" t="inlineStr">
        <is>
          <t>South</t>
        </is>
      </c>
      <c r="E1348" s="10" t="inlineStr">
        <is>
          <t>Mobile</t>
        </is>
      </c>
      <c r="F1348" s="10" t="inlineStr">
        <is>
          <t>Social</t>
        </is>
      </c>
      <c r="G1348" s="10" t="inlineStr">
        <is>
          <t>Free</t>
        </is>
      </c>
      <c r="H1348" s="10" t="n">
        <v>1</v>
      </c>
      <c r="I1348" s="10" t="n">
        <v>1</v>
      </c>
      <c r="J1348" s="10" t="n">
        <v>1</v>
      </c>
      <c r="K1348" s="10" t="n">
        <v>0</v>
      </c>
      <c r="L1348" s="10" t="n">
        <v>0</v>
      </c>
      <c r="M1348" s="10" t="n">
        <v>1</v>
      </c>
      <c r="N1348" s="10" t="n">
        <v>0</v>
      </c>
      <c r="P1348" s="10" t="n">
        <v>66</v>
      </c>
      <c r="Q1348" s="10">
        <f>A1348&amp;"|"&amp;B1348&amp;"|"&amp;C1348&amp;"|"&amp;D1348&amp;"|"&amp;E1348&amp;"|"&amp;F1348&amp;"|"&amp;G1348&amp;"|"&amp;H1348&amp;"|"&amp;I1348&amp;"|"&amp;J1348&amp;"|"&amp;K1348&amp;"|"&amp;L1348&amp;"|"&amp;M1348&amp;"|"&amp;N1348&amp;"|"&amp;O1348&amp;"|"&amp;P1348</f>
        <v/>
      </c>
      <c r="R1348" s="10">
        <f>IF(COUNTIF($Q$2:$Q$1409,Q1348)&gt;1,IF(COUNTIF($Q$2:Q1348,Q1348)=1,"Exact Duplicate - Keep First","Exact Duplicate - Remove"),"Unique")</f>
        <v/>
      </c>
    </row>
    <row r="1349" ht="15" customHeight="1" s="11">
      <c r="A1349" s="10" t="inlineStr">
        <is>
          <t>USR-101348</t>
        </is>
      </c>
      <c r="B1349" s="14" t="n">
        <v>45786</v>
      </c>
      <c r="C1349" s="10" t="inlineStr">
        <is>
          <t>Treatment</t>
        </is>
      </c>
      <c r="D1349" s="10" t="inlineStr">
        <is>
          <t>North</t>
        </is>
      </c>
      <c r="E1349" s="10" t="inlineStr">
        <is>
          <t>Desktop</t>
        </is>
      </c>
      <c r="F1349" s="10" t="inlineStr">
        <is>
          <t>Organic</t>
        </is>
      </c>
      <c r="G1349" s="10" t="inlineStr">
        <is>
          <t>Basic</t>
        </is>
      </c>
      <c r="H1349" s="10" t="n">
        <v>1</v>
      </c>
      <c r="I1349" s="10" t="n">
        <v>0</v>
      </c>
      <c r="J1349" s="10" t="n">
        <v>0</v>
      </c>
      <c r="K1349" s="10" t="n">
        <v>0</v>
      </c>
      <c r="L1349" s="10" t="n">
        <v>0</v>
      </c>
      <c r="M1349" s="10" t="n">
        <v>0</v>
      </c>
      <c r="N1349" s="10" t="n">
        <v>0</v>
      </c>
      <c r="P1349" s="10" t="n">
        <v>73</v>
      </c>
      <c r="Q1349" s="10">
        <f>A1349&amp;"|"&amp;B1349&amp;"|"&amp;C1349&amp;"|"&amp;D1349&amp;"|"&amp;E1349&amp;"|"&amp;F1349&amp;"|"&amp;G1349&amp;"|"&amp;H1349&amp;"|"&amp;I1349&amp;"|"&amp;J1349&amp;"|"&amp;K1349&amp;"|"&amp;L1349&amp;"|"&amp;M1349&amp;"|"&amp;N1349&amp;"|"&amp;O1349&amp;"|"&amp;P1349</f>
        <v/>
      </c>
      <c r="R1349" s="10">
        <f>IF(COUNTIF($Q$2:$Q$1409,Q1349)&gt;1,IF(COUNTIF($Q$2:Q1349,Q1349)=1,"Exact Duplicate - Keep First","Exact Duplicate - Remove"),"Unique")</f>
        <v/>
      </c>
    </row>
    <row r="1350" ht="15" customHeight="1" s="11">
      <c r="A1350" s="10" t="inlineStr">
        <is>
          <t>USR-101349</t>
        </is>
      </c>
      <c r="B1350" s="14" t="n">
        <v>45799</v>
      </c>
      <c r="C1350" s="10" t="inlineStr">
        <is>
          <t>Treatment</t>
        </is>
      </c>
      <c r="D1350" s="10" t="inlineStr">
        <is>
          <t>South</t>
        </is>
      </c>
      <c r="E1350" s="10" t="inlineStr">
        <is>
          <t>Mobile</t>
        </is>
      </c>
      <c r="F1350" s="10" t="inlineStr">
        <is>
          <t>Organic</t>
        </is>
      </c>
      <c r="G1350" s="10" t="inlineStr">
        <is>
          <t>Basic</t>
        </is>
      </c>
      <c r="H1350" s="10" t="n">
        <v>1</v>
      </c>
      <c r="I1350" s="10" t="n">
        <v>1</v>
      </c>
      <c r="J1350" s="10" t="n">
        <v>1</v>
      </c>
      <c r="K1350" s="10" t="n">
        <v>0</v>
      </c>
      <c r="L1350" s="10" t="n">
        <v>0</v>
      </c>
      <c r="M1350" s="10" t="n">
        <v>1</v>
      </c>
      <c r="N1350" s="10" t="n">
        <v>0</v>
      </c>
      <c r="P1350" s="10" t="n">
        <v>72.5</v>
      </c>
      <c r="Q1350" s="10">
        <f>A1350&amp;"|"&amp;B1350&amp;"|"&amp;C1350&amp;"|"&amp;D1350&amp;"|"&amp;E1350&amp;"|"&amp;F1350&amp;"|"&amp;G1350&amp;"|"&amp;H1350&amp;"|"&amp;I1350&amp;"|"&amp;J1350&amp;"|"&amp;K1350&amp;"|"&amp;L1350&amp;"|"&amp;M1350&amp;"|"&amp;N1350&amp;"|"&amp;O1350&amp;"|"&amp;P1350</f>
        <v/>
      </c>
      <c r="R1350" s="10">
        <f>IF(COUNTIF($Q$2:$Q$1409,Q1350)&gt;1,IF(COUNTIF($Q$2:Q1350,Q1350)=1,"Exact Duplicate - Keep First","Exact Duplicate - Remove"),"Unique")</f>
        <v/>
      </c>
    </row>
    <row r="1351" ht="15" customHeight="1" s="11">
      <c r="A1351" s="10" t="inlineStr">
        <is>
          <t>USR-101350</t>
        </is>
      </c>
      <c r="B1351" s="14" t="n">
        <v>45784</v>
      </c>
      <c r="C1351" s="10" t="inlineStr">
        <is>
          <t>Treatment</t>
        </is>
      </c>
      <c r="D1351" s="10" t="inlineStr">
        <is>
          <t>South</t>
        </is>
      </c>
      <c r="E1351" s="10" t="inlineStr">
        <is>
          <t>Desktop</t>
        </is>
      </c>
      <c r="F1351" s="10" t="inlineStr">
        <is>
          <t>Paid Search</t>
        </is>
      </c>
      <c r="G1351" s="10" t="inlineStr">
        <is>
          <t>Free</t>
        </is>
      </c>
      <c r="H1351" s="10" t="n">
        <v>1</v>
      </c>
      <c r="I1351" s="10" t="n">
        <v>1</v>
      </c>
      <c r="J1351" s="10" t="n">
        <v>1</v>
      </c>
      <c r="K1351" s="10" t="n">
        <v>1</v>
      </c>
      <c r="L1351" s="10" t="n">
        <v>323.6</v>
      </c>
      <c r="M1351" s="10" t="n">
        <v>0</v>
      </c>
      <c r="N1351" s="10" t="n">
        <v>0</v>
      </c>
      <c r="O1351" s="10" t="n">
        <v>6</v>
      </c>
      <c r="P1351" s="10" t="n">
        <v>100</v>
      </c>
      <c r="Q1351" s="10">
        <f>A1351&amp;"|"&amp;B1351&amp;"|"&amp;C1351&amp;"|"&amp;D1351&amp;"|"&amp;E1351&amp;"|"&amp;F1351&amp;"|"&amp;G1351&amp;"|"&amp;H1351&amp;"|"&amp;I1351&amp;"|"&amp;J1351&amp;"|"&amp;K1351&amp;"|"&amp;L1351&amp;"|"&amp;M1351&amp;"|"&amp;N1351&amp;"|"&amp;O1351&amp;"|"&amp;P1351</f>
        <v/>
      </c>
      <c r="R1351" s="10">
        <f>IF(COUNTIF($Q$2:$Q$1409,Q1351)&gt;1,IF(COUNTIF($Q$2:Q1351,Q1351)=1,"Exact Duplicate - Keep First","Exact Duplicate - Remove"),"Unique")</f>
        <v/>
      </c>
    </row>
    <row r="1352" ht="15" customHeight="1" s="11">
      <c r="A1352" s="10" t="inlineStr">
        <is>
          <t>USR-101351</t>
        </is>
      </c>
      <c r="B1352" s="14" t="n">
        <v>45696</v>
      </c>
      <c r="C1352" s="10" t="inlineStr">
        <is>
          <t>Treatment</t>
        </is>
      </c>
      <c r="D1352" s="10" t="inlineStr">
        <is>
          <t>East</t>
        </is>
      </c>
      <c r="E1352" s="10" t="inlineStr">
        <is>
          <t>Mobile</t>
        </is>
      </c>
      <c r="F1352" s="10" t="inlineStr">
        <is>
          <t>Social</t>
        </is>
      </c>
      <c r="G1352" s="10" t="inlineStr">
        <is>
          <t>Free</t>
        </is>
      </c>
      <c r="H1352" s="10" t="n">
        <v>0</v>
      </c>
      <c r="I1352" s="10" t="n">
        <v>0</v>
      </c>
      <c r="J1352" s="10" t="n">
        <v>0</v>
      </c>
      <c r="K1352" s="10" t="n">
        <v>0</v>
      </c>
      <c r="L1352" s="10" t="n">
        <v>0</v>
      </c>
      <c r="M1352" s="10" t="n">
        <v>1</v>
      </c>
      <c r="N1352" s="10" t="n">
        <v>0</v>
      </c>
      <c r="P1352" s="10" t="n">
        <v>90.5</v>
      </c>
      <c r="Q1352" s="10">
        <f>A1352&amp;"|"&amp;B1352&amp;"|"&amp;C1352&amp;"|"&amp;D1352&amp;"|"&amp;E1352&amp;"|"&amp;F1352&amp;"|"&amp;G1352&amp;"|"&amp;H1352&amp;"|"&amp;I1352&amp;"|"&amp;J1352&amp;"|"&amp;K1352&amp;"|"&amp;L1352&amp;"|"&amp;M1352&amp;"|"&amp;N1352&amp;"|"&amp;O1352&amp;"|"&amp;P1352</f>
        <v/>
      </c>
      <c r="R1352" s="10">
        <f>IF(COUNTIF($Q$2:$Q$1409,Q1352)&gt;1,IF(COUNTIF($Q$2:Q1352,Q1352)=1,"Exact Duplicate - Keep First","Exact Duplicate - Remove"),"Unique")</f>
        <v/>
      </c>
    </row>
    <row r="1353" ht="15" customHeight="1" s="11">
      <c r="A1353" s="10" t="inlineStr">
        <is>
          <t>USR-101352</t>
        </is>
      </c>
      <c r="B1353" s="14" t="n">
        <v>45750</v>
      </c>
      <c r="C1353" s="10" t="inlineStr">
        <is>
          <t>Treatment</t>
        </is>
      </c>
      <c r="D1353" s="10" t="inlineStr">
        <is>
          <t>North</t>
        </is>
      </c>
      <c r="E1353" s="10" t="inlineStr">
        <is>
          <t>Tablet</t>
        </is>
      </c>
      <c r="F1353" s="10" t="inlineStr">
        <is>
          <t>Social</t>
        </is>
      </c>
      <c r="G1353" s="10" t="inlineStr">
        <is>
          <t>Basic</t>
        </is>
      </c>
      <c r="H1353" s="10" t="n">
        <v>1</v>
      </c>
      <c r="I1353" s="10" t="n">
        <v>0</v>
      </c>
      <c r="J1353" s="10" t="n">
        <v>0</v>
      </c>
      <c r="K1353" s="10" t="n">
        <v>0</v>
      </c>
      <c r="L1353" s="10" t="n">
        <v>0</v>
      </c>
      <c r="M1353" s="10" t="n">
        <v>0</v>
      </c>
      <c r="N1353" s="10" t="n">
        <v>0</v>
      </c>
      <c r="P1353" s="10" t="n">
        <v>70.2</v>
      </c>
      <c r="Q1353" s="10">
        <f>A1353&amp;"|"&amp;B1353&amp;"|"&amp;C1353&amp;"|"&amp;D1353&amp;"|"&amp;E1353&amp;"|"&amp;F1353&amp;"|"&amp;G1353&amp;"|"&amp;H1353&amp;"|"&amp;I1353&amp;"|"&amp;J1353&amp;"|"&amp;K1353&amp;"|"&amp;L1353&amp;"|"&amp;M1353&amp;"|"&amp;N1353&amp;"|"&amp;O1353&amp;"|"&amp;P1353</f>
        <v/>
      </c>
      <c r="R1353" s="10">
        <f>IF(COUNTIF($Q$2:$Q$1409,Q1353)&gt;1,IF(COUNTIF($Q$2:Q1353,Q1353)=1,"Exact Duplicate - Keep First","Exact Duplicate - Remove"),"Unique")</f>
        <v/>
      </c>
    </row>
    <row r="1354" ht="15" customHeight="1" s="11">
      <c r="A1354" s="10" t="inlineStr">
        <is>
          <t>USR-101353</t>
        </is>
      </c>
      <c r="B1354" s="14" t="n">
        <v>45764</v>
      </c>
      <c r="C1354" s="10" t="inlineStr">
        <is>
          <t>Treatment</t>
        </is>
      </c>
      <c r="D1354" s="10" t="inlineStr">
        <is>
          <t>East</t>
        </is>
      </c>
      <c r="E1354" s="10" t="inlineStr">
        <is>
          <t>Desktop</t>
        </is>
      </c>
      <c r="F1354" s="10" t="inlineStr">
        <is>
          <t>Paid Search</t>
        </is>
      </c>
      <c r="G1354" s="10" t="inlineStr">
        <is>
          <t>Free</t>
        </is>
      </c>
      <c r="H1354" s="10" t="n">
        <v>1</v>
      </c>
      <c r="I1354" s="10" t="n">
        <v>0</v>
      </c>
      <c r="J1354" s="10" t="n">
        <v>0</v>
      </c>
      <c r="K1354" s="10" t="n">
        <v>0</v>
      </c>
      <c r="L1354" s="10" t="n">
        <v>0</v>
      </c>
      <c r="M1354" s="10" t="n">
        <v>1</v>
      </c>
      <c r="N1354" s="10" t="n">
        <v>0</v>
      </c>
      <c r="P1354" s="10" t="n">
        <v>67.09999999999999</v>
      </c>
      <c r="Q1354" s="10">
        <f>A1354&amp;"|"&amp;B1354&amp;"|"&amp;C1354&amp;"|"&amp;D1354&amp;"|"&amp;E1354&amp;"|"&amp;F1354&amp;"|"&amp;G1354&amp;"|"&amp;H1354&amp;"|"&amp;I1354&amp;"|"&amp;J1354&amp;"|"&amp;K1354&amp;"|"&amp;L1354&amp;"|"&amp;M1354&amp;"|"&amp;N1354&amp;"|"&amp;O1354&amp;"|"&amp;P1354</f>
        <v/>
      </c>
      <c r="R1354" s="10">
        <f>IF(COUNTIF($Q$2:$Q$1409,Q1354)&gt;1,IF(COUNTIF($Q$2:Q1354,Q1354)=1,"Exact Duplicate - Keep First","Exact Duplicate - Remove"),"Unique")</f>
        <v/>
      </c>
    </row>
    <row r="1355" ht="15" customHeight="1" s="11">
      <c r="A1355" s="10" t="inlineStr">
        <is>
          <t>USR-101354</t>
        </is>
      </c>
      <c r="B1355" s="14" t="n">
        <v>45781</v>
      </c>
      <c r="C1355" s="10" t="inlineStr">
        <is>
          <t>Treatment</t>
        </is>
      </c>
      <c r="D1355" s="10" t="inlineStr">
        <is>
          <t>East</t>
        </is>
      </c>
      <c r="E1355" s="10" t="inlineStr">
        <is>
          <t>Mobile</t>
        </is>
      </c>
      <c r="F1355" s="10" t="inlineStr">
        <is>
          <t>Organic</t>
        </is>
      </c>
      <c r="G1355" s="10" t="inlineStr">
        <is>
          <t>Free</t>
        </is>
      </c>
      <c r="H1355" s="10" t="n">
        <v>0</v>
      </c>
      <c r="I1355" s="10" t="n">
        <v>0</v>
      </c>
      <c r="J1355" s="10" t="n">
        <v>0</v>
      </c>
      <c r="K1355" s="10" t="n">
        <v>0</v>
      </c>
      <c r="L1355" s="10" t="n">
        <v>0</v>
      </c>
      <c r="M1355" s="10" t="n">
        <v>0</v>
      </c>
      <c r="N1355" s="10" t="n">
        <v>0</v>
      </c>
      <c r="P1355" s="10" t="n">
        <v>54.5</v>
      </c>
      <c r="Q1355" s="10">
        <f>A1355&amp;"|"&amp;B1355&amp;"|"&amp;C1355&amp;"|"&amp;D1355&amp;"|"&amp;E1355&amp;"|"&amp;F1355&amp;"|"&amp;G1355&amp;"|"&amp;H1355&amp;"|"&amp;I1355&amp;"|"&amp;J1355&amp;"|"&amp;K1355&amp;"|"&amp;L1355&amp;"|"&amp;M1355&amp;"|"&amp;N1355&amp;"|"&amp;O1355&amp;"|"&amp;P1355</f>
        <v/>
      </c>
      <c r="R1355" s="10">
        <f>IF(COUNTIF($Q$2:$Q$1409,Q1355)&gt;1,IF(COUNTIF($Q$2:Q1355,Q1355)=1,"Exact Duplicate - Keep First","Exact Duplicate - Remove"),"Unique")</f>
        <v/>
      </c>
    </row>
    <row r="1356" ht="15" customHeight="1" s="11">
      <c r="A1356" s="10" t="inlineStr">
        <is>
          <t>USR-101355</t>
        </is>
      </c>
      <c r="B1356" s="14" t="n">
        <v>45788</v>
      </c>
      <c r="C1356" s="10" t="inlineStr">
        <is>
          <t>Treatment</t>
        </is>
      </c>
      <c r="D1356" s="10" t="inlineStr">
        <is>
          <t>West</t>
        </is>
      </c>
      <c r="E1356" s="10" t="inlineStr">
        <is>
          <t>Desktop</t>
        </is>
      </c>
      <c r="F1356" s="10" t="inlineStr">
        <is>
          <t>Organic</t>
        </is>
      </c>
      <c r="G1356" s="10" t="inlineStr">
        <is>
          <t>Free</t>
        </is>
      </c>
      <c r="H1356" s="10" t="n">
        <v>1</v>
      </c>
      <c r="I1356" s="10" t="n">
        <v>0</v>
      </c>
      <c r="J1356" s="10" t="n">
        <v>0</v>
      </c>
      <c r="K1356" s="10" t="n">
        <v>0</v>
      </c>
      <c r="L1356" s="10" t="n">
        <v>0</v>
      </c>
      <c r="M1356" s="10" t="n">
        <v>0</v>
      </c>
      <c r="N1356" s="10" t="n">
        <v>0</v>
      </c>
      <c r="P1356" s="10" t="n">
        <v>63.4</v>
      </c>
      <c r="Q1356" s="10">
        <f>A1356&amp;"|"&amp;B1356&amp;"|"&amp;C1356&amp;"|"&amp;D1356&amp;"|"&amp;E1356&amp;"|"&amp;F1356&amp;"|"&amp;G1356&amp;"|"&amp;H1356&amp;"|"&amp;I1356&amp;"|"&amp;J1356&amp;"|"&amp;K1356&amp;"|"&amp;L1356&amp;"|"&amp;M1356&amp;"|"&amp;N1356&amp;"|"&amp;O1356&amp;"|"&amp;P1356</f>
        <v/>
      </c>
      <c r="R1356" s="10">
        <f>IF(COUNTIF($Q$2:$Q$1409,Q1356)&gt;1,IF(COUNTIF($Q$2:Q1356,Q1356)=1,"Exact Duplicate - Keep First","Exact Duplicate - Remove"),"Unique")</f>
        <v/>
      </c>
    </row>
    <row r="1357" ht="15" customHeight="1" s="11">
      <c r="A1357" s="10" t="inlineStr">
        <is>
          <t>USR-101356</t>
        </is>
      </c>
      <c r="B1357" s="14" t="n">
        <v>45717</v>
      </c>
      <c r="C1357" s="10" t="inlineStr">
        <is>
          <t>Treatment</t>
        </is>
      </c>
      <c r="D1357" s="10" t="inlineStr">
        <is>
          <t>North</t>
        </is>
      </c>
      <c r="E1357" s="10" t="inlineStr">
        <is>
          <t>Desktop</t>
        </is>
      </c>
      <c r="G1357" s="10" t="inlineStr">
        <is>
          <t>Free</t>
        </is>
      </c>
      <c r="H1357" s="10" t="n">
        <v>1</v>
      </c>
      <c r="I1357" s="10" t="n">
        <v>1</v>
      </c>
      <c r="J1357" s="10" t="n">
        <v>1</v>
      </c>
      <c r="K1357" s="10" t="n">
        <v>0</v>
      </c>
      <c r="L1357" s="10" t="n">
        <v>0</v>
      </c>
      <c r="M1357" s="10" t="n">
        <v>0</v>
      </c>
      <c r="N1357" s="10" t="n">
        <v>0</v>
      </c>
      <c r="P1357" s="10" t="n">
        <v>84.3</v>
      </c>
      <c r="Q1357" s="10">
        <f>A1357&amp;"|"&amp;B1357&amp;"|"&amp;C1357&amp;"|"&amp;D1357&amp;"|"&amp;E1357&amp;"|"&amp;F1357&amp;"|"&amp;G1357&amp;"|"&amp;H1357&amp;"|"&amp;I1357&amp;"|"&amp;J1357&amp;"|"&amp;K1357&amp;"|"&amp;L1357&amp;"|"&amp;M1357&amp;"|"&amp;N1357&amp;"|"&amp;O1357&amp;"|"&amp;P1357</f>
        <v/>
      </c>
      <c r="R1357" s="10">
        <f>IF(COUNTIF($Q$2:$Q$1409,Q1357)&gt;1,IF(COUNTIF($Q$2:Q1357,Q1357)=1,"Exact Duplicate - Keep First","Exact Duplicate - Remove"),"Unique")</f>
        <v/>
      </c>
    </row>
    <row r="1358" ht="15" customHeight="1" s="11">
      <c r="A1358" s="10" t="inlineStr">
        <is>
          <t>USR-101357</t>
        </is>
      </c>
      <c r="B1358" s="14" t="n">
        <v>45708</v>
      </c>
      <c r="C1358" s="10" t="inlineStr">
        <is>
          <t>Treatment</t>
        </is>
      </c>
      <c r="D1358" s="10" t="inlineStr">
        <is>
          <t>West</t>
        </is>
      </c>
      <c r="E1358" s="10" t="inlineStr">
        <is>
          <t>Desktop</t>
        </is>
      </c>
      <c r="F1358" s="10" t="inlineStr">
        <is>
          <t>Organic</t>
        </is>
      </c>
      <c r="G1358" s="10" t="inlineStr">
        <is>
          <t>Free</t>
        </is>
      </c>
      <c r="H1358" s="10" t="n">
        <v>1</v>
      </c>
      <c r="I1358" s="10" t="n">
        <v>0</v>
      </c>
      <c r="J1358" s="10" t="n">
        <v>0</v>
      </c>
      <c r="K1358" s="10" t="n">
        <v>0</v>
      </c>
      <c r="L1358" s="10" t="n">
        <v>0</v>
      </c>
      <c r="M1358" s="10" t="n">
        <v>1</v>
      </c>
      <c r="N1358" s="10" t="n">
        <v>0</v>
      </c>
      <c r="P1358" s="10" t="n">
        <v>55</v>
      </c>
      <c r="Q1358" s="10">
        <f>A1358&amp;"|"&amp;B1358&amp;"|"&amp;C1358&amp;"|"&amp;D1358&amp;"|"&amp;E1358&amp;"|"&amp;F1358&amp;"|"&amp;G1358&amp;"|"&amp;H1358&amp;"|"&amp;I1358&amp;"|"&amp;J1358&amp;"|"&amp;K1358&amp;"|"&amp;L1358&amp;"|"&amp;M1358&amp;"|"&amp;N1358&amp;"|"&amp;O1358&amp;"|"&amp;P1358</f>
        <v/>
      </c>
      <c r="R1358" s="10">
        <f>IF(COUNTIF($Q$2:$Q$1409,Q1358)&gt;1,IF(COUNTIF($Q$2:Q1358,Q1358)=1,"Exact Duplicate - Keep First","Exact Duplicate - Remove"),"Unique")</f>
        <v/>
      </c>
    </row>
    <row r="1359" ht="15" customHeight="1" s="11">
      <c r="A1359" s="10" t="inlineStr">
        <is>
          <t>USR-101358</t>
        </is>
      </c>
      <c r="B1359" s="14" t="n">
        <v>45786</v>
      </c>
      <c r="C1359" s="10" t="inlineStr">
        <is>
          <t>Treatment</t>
        </is>
      </c>
      <c r="D1359" s="10" t="inlineStr">
        <is>
          <t>West</t>
        </is>
      </c>
      <c r="E1359" s="10" t="inlineStr">
        <is>
          <t>Mobile</t>
        </is>
      </c>
      <c r="F1359" s="10" t="inlineStr">
        <is>
          <t>Social</t>
        </is>
      </c>
      <c r="G1359" s="10" t="inlineStr">
        <is>
          <t>Free</t>
        </is>
      </c>
      <c r="H1359" s="10" t="n">
        <v>1</v>
      </c>
      <c r="I1359" s="10" t="n">
        <v>0</v>
      </c>
      <c r="J1359" s="10" t="n">
        <v>0</v>
      </c>
      <c r="K1359" s="10" t="n">
        <v>0</v>
      </c>
      <c r="L1359" s="10" t="n">
        <v>0</v>
      </c>
      <c r="M1359" s="10" t="n">
        <v>0</v>
      </c>
      <c r="N1359" s="10" t="n">
        <v>0</v>
      </c>
      <c r="P1359" s="10" t="n">
        <v>63.6</v>
      </c>
      <c r="Q1359" s="10">
        <f>A1359&amp;"|"&amp;B1359&amp;"|"&amp;C1359&amp;"|"&amp;D1359&amp;"|"&amp;E1359&amp;"|"&amp;F1359&amp;"|"&amp;G1359&amp;"|"&amp;H1359&amp;"|"&amp;I1359&amp;"|"&amp;J1359&amp;"|"&amp;K1359&amp;"|"&amp;L1359&amp;"|"&amp;M1359&amp;"|"&amp;N1359&amp;"|"&amp;O1359&amp;"|"&amp;P1359</f>
        <v/>
      </c>
      <c r="R1359" s="10">
        <f>IF(COUNTIF($Q$2:$Q$1409,Q1359)&gt;1,IF(COUNTIF($Q$2:Q1359,Q1359)=1,"Exact Duplicate - Keep First","Exact Duplicate - Remove"),"Unique")</f>
        <v/>
      </c>
    </row>
    <row r="1360" ht="15" customHeight="1" s="11">
      <c r="A1360" s="10" t="inlineStr">
        <is>
          <t>USR-101359</t>
        </is>
      </c>
      <c r="B1360" s="14" t="n">
        <v>45777</v>
      </c>
      <c r="C1360" s="10" t="inlineStr">
        <is>
          <t>Treatment</t>
        </is>
      </c>
      <c r="D1360" s="10" t="inlineStr">
        <is>
          <t>West</t>
        </is>
      </c>
      <c r="E1360" s="10" t="inlineStr">
        <is>
          <t>Mobile</t>
        </is>
      </c>
      <c r="F1360" s="10" t="inlineStr">
        <is>
          <t>Organic</t>
        </is>
      </c>
      <c r="G1360" s="10" t="inlineStr">
        <is>
          <t>Free</t>
        </is>
      </c>
      <c r="H1360" s="10" t="n">
        <v>1</v>
      </c>
      <c r="I1360" s="10" t="n">
        <v>0</v>
      </c>
      <c r="J1360" s="10" t="n">
        <v>0</v>
      </c>
      <c r="K1360" s="10" t="n">
        <v>0</v>
      </c>
      <c r="L1360" s="10" t="n">
        <v>0</v>
      </c>
      <c r="M1360" s="10" t="n">
        <v>0</v>
      </c>
      <c r="N1360" s="10" t="n">
        <v>0</v>
      </c>
      <c r="P1360" s="10" t="n">
        <v>55.5</v>
      </c>
      <c r="Q1360" s="10">
        <f>A1360&amp;"|"&amp;B1360&amp;"|"&amp;C1360&amp;"|"&amp;D1360&amp;"|"&amp;E1360&amp;"|"&amp;F1360&amp;"|"&amp;G1360&amp;"|"&amp;H1360&amp;"|"&amp;I1360&amp;"|"&amp;J1360&amp;"|"&amp;K1360&amp;"|"&amp;L1360&amp;"|"&amp;M1360&amp;"|"&amp;N1360&amp;"|"&amp;O1360&amp;"|"&amp;P1360</f>
        <v/>
      </c>
      <c r="R1360" s="10">
        <f>IF(COUNTIF($Q$2:$Q$1409,Q1360)&gt;1,IF(COUNTIF($Q$2:Q1360,Q1360)=1,"Exact Duplicate - Keep First","Exact Duplicate - Remove"),"Unique")</f>
        <v/>
      </c>
    </row>
    <row r="1361" ht="15" customHeight="1" s="11">
      <c r="A1361" s="10" t="inlineStr">
        <is>
          <t>USR-101360</t>
        </is>
      </c>
      <c r="B1361" s="14" t="n">
        <v>45664</v>
      </c>
      <c r="C1361" s="10" t="inlineStr">
        <is>
          <t>Treatment</t>
        </is>
      </c>
      <c r="D1361" s="10" t="inlineStr">
        <is>
          <t>South</t>
        </is>
      </c>
      <c r="E1361" s="10" t="inlineStr">
        <is>
          <t>Mobile</t>
        </is>
      </c>
      <c r="F1361" s="10" t="inlineStr">
        <is>
          <t>Social</t>
        </is>
      </c>
      <c r="G1361" s="10" t="inlineStr">
        <is>
          <t>Basic</t>
        </is>
      </c>
      <c r="H1361" s="10" t="n">
        <v>0</v>
      </c>
      <c r="I1361" s="10" t="n">
        <v>0</v>
      </c>
      <c r="J1361" s="10" t="n">
        <v>0</v>
      </c>
      <c r="K1361" s="10" t="n">
        <v>0</v>
      </c>
      <c r="L1361" s="10" t="n">
        <v>0</v>
      </c>
      <c r="M1361" s="10" t="n">
        <v>0</v>
      </c>
      <c r="N1361" s="10" t="n">
        <v>0</v>
      </c>
      <c r="P1361" s="10" t="n">
        <v>50.5</v>
      </c>
      <c r="Q1361" s="10">
        <f>A1361&amp;"|"&amp;B1361&amp;"|"&amp;C1361&amp;"|"&amp;D1361&amp;"|"&amp;E1361&amp;"|"&amp;F1361&amp;"|"&amp;G1361&amp;"|"&amp;H1361&amp;"|"&amp;I1361&amp;"|"&amp;J1361&amp;"|"&amp;K1361&amp;"|"&amp;L1361&amp;"|"&amp;M1361&amp;"|"&amp;N1361&amp;"|"&amp;O1361&amp;"|"&amp;P1361</f>
        <v/>
      </c>
      <c r="R1361" s="10">
        <f>IF(COUNTIF($Q$2:$Q$1409,Q1361)&gt;1,IF(COUNTIF($Q$2:Q1361,Q1361)=1,"Exact Duplicate - Keep First","Exact Duplicate - Remove"),"Unique")</f>
        <v/>
      </c>
    </row>
    <row r="1362" ht="15" customHeight="1" s="11">
      <c r="A1362" s="10" t="inlineStr">
        <is>
          <t>USR-101361</t>
        </is>
      </c>
      <c r="B1362" s="14" t="n">
        <v>45777</v>
      </c>
      <c r="C1362" s="10" t="inlineStr">
        <is>
          <t>Treatment</t>
        </is>
      </c>
      <c r="D1362" s="10" t="inlineStr">
        <is>
          <t>North</t>
        </is>
      </c>
      <c r="E1362" s="10" t="inlineStr">
        <is>
          <t>Mobile</t>
        </is>
      </c>
      <c r="F1362" s="10" t="inlineStr">
        <is>
          <t>Social</t>
        </is>
      </c>
      <c r="G1362" s="10" t="inlineStr">
        <is>
          <t>Basic</t>
        </is>
      </c>
      <c r="H1362" s="10" t="n">
        <v>1</v>
      </c>
      <c r="I1362" s="10" t="n">
        <v>0</v>
      </c>
      <c r="J1362" s="10" t="n">
        <v>0</v>
      </c>
      <c r="K1362" s="10" t="n">
        <v>0</v>
      </c>
      <c r="L1362" s="10" t="n">
        <v>0</v>
      </c>
      <c r="M1362" s="10" t="n">
        <v>0</v>
      </c>
      <c r="N1362" s="10" t="n">
        <v>0</v>
      </c>
      <c r="P1362" s="10" t="n">
        <v>45.3</v>
      </c>
      <c r="Q1362" s="10">
        <f>A1362&amp;"|"&amp;B1362&amp;"|"&amp;C1362&amp;"|"&amp;D1362&amp;"|"&amp;E1362&amp;"|"&amp;F1362&amp;"|"&amp;G1362&amp;"|"&amp;H1362&amp;"|"&amp;I1362&amp;"|"&amp;J1362&amp;"|"&amp;K1362&amp;"|"&amp;L1362&amp;"|"&amp;M1362&amp;"|"&amp;N1362&amp;"|"&amp;O1362&amp;"|"&amp;P1362</f>
        <v/>
      </c>
      <c r="R1362" s="10">
        <f>IF(COUNTIF($Q$2:$Q$1409,Q1362)&gt;1,IF(COUNTIF($Q$2:Q1362,Q1362)=1,"Exact Duplicate - Keep First","Exact Duplicate - Remove"),"Unique")</f>
        <v/>
      </c>
    </row>
    <row r="1363" ht="15" customHeight="1" s="11">
      <c r="A1363" s="10" t="inlineStr">
        <is>
          <t>USR-101362</t>
        </is>
      </c>
      <c r="B1363" s="14" t="n">
        <v>45800</v>
      </c>
      <c r="C1363" s="10" t="inlineStr">
        <is>
          <t>Treatment</t>
        </is>
      </c>
      <c r="D1363" s="10" t="inlineStr">
        <is>
          <t>East</t>
        </is>
      </c>
      <c r="E1363" s="10" t="inlineStr">
        <is>
          <t>Mobile</t>
        </is>
      </c>
      <c r="F1363" s="10" t="inlineStr">
        <is>
          <t>Organic</t>
        </is>
      </c>
      <c r="G1363" s="10" t="inlineStr">
        <is>
          <t>Basic</t>
        </is>
      </c>
      <c r="H1363" s="10" t="n">
        <v>1</v>
      </c>
      <c r="I1363" s="10" t="n">
        <v>0</v>
      </c>
      <c r="J1363" s="10" t="n">
        <v>0</v>
      </c>
      <c r="K1363" s="10" t="n">
        <v>0</v>
      </c>
      <c r="L1363" s="10" t="n">
        <v>0</v>
      </c>
      <c r="M1363" s="10" t="n">
        <v>0</v>
      </c>
      <c r="N1363" s="10" t="n">
        <v>0</v>
      </c>
      <c r="P1363" s="10" t="n">
        <v>33.6</v>
      </c>
      <c r="Q1363" s="10">
        <f>A1363&amp;"|"&amp;B1363&amp;"|"&amp;C1363&amp;"|"&amp;D1363&amp;"|"&amp;E1363&amp;"|"&amp;F1363&amp;"|"&amp;G1363&amp;"|"&amp;H1363&amp;"|"&amp;I1363&amp;"|"&amp;J1363&amp;"|"&amp;K1363&amp;"|"&amp;L1363&amp;"|"&amp;M1363&amp;"|"&amp;N1363&amp;"|"&amp;O1363&amp;"|"&amp;P1363</f>
        <v/>
      </c>
      <c r="R1363" s="10">
        <f>IF(COUNTIF($Q$2:$Q$1409,Q1363)&gt;1,IF(COUNTIF($Q$2:Q1363,Q1363)=1,"Exact Duplicate - Keep First","Exact Duplicate - Remove"),"Unique")</f>
        <v/>
      </c>
    </row>
    <row r="1364" ht="15" customHeight="1" s="11">
      <c r="A1364" s="10" t="inlineStr">
        <is>
          <t>USR-101363</t>
        </is>
      </c>
      <c r="B1364" s="14" t="n">
        <v>45728</v>
      </c>
      <c r="C1364" s="10" t="inlineStr">
        <is>
          <t>Treatment</t>
        </is>
      </c>
      <c r="D1364" s="10" t="inlineStr">
        <is>
          <t>South</t>
        </is>
      </c>
      <c r="E1364" s="10" t="inlineStr">
        <is>
          <t>Mobile</t>
        </is>
      </c>
      <c r="F1364" s="10" t="inlineStr">
        <is>
          <t>Paid Search</t>
        </is>
      </c>
      <c r="G1364" s="10" t="inlineStr">
        <is>
          <t>Premium</t>
        </is>
      </c>
      <c r="H1364" s="10" t="n">
        <v>1</v>
      </c>
      <c r="I1364" s="10" t="n">
        <v>1</v>
      </c>
      <c r="J1364" s="10" t="n">
        <v>1</v>
      </c>
      <c r="K1364" s="10" t="n">
        <v>0</v>
      </c>
      <c r="L1364" s="10" t="n">
        <v>0</v>
      </c>
      <c r="M1364" s="10" t="n">
        <v>0</v>
      </c>
      <c r="N1364" s="10" t="n">
        <v>0</v>
      </c>
      <c r="P1364" s="10" t="n">
        <v>88.2</v>
      </c>
      <c r="Q1364" s="10">
        <f>A1364&amp;"|"&amp;B1364&amp;"|"&amp;C1364&amp;"|"&amp;D1364&amp;"|"&amp;E1364&amp;"|"&amp;F1364&amp;"|"&amp;G1364&amp;"|"&amp;H1364&amp;"|"&amp;I1364&amp;"|"&amp;J1364&amp;"|"&amp;K1364&amp;"|"&amp;L1364&amp;"|"&amp;M1364&amp;"|"&amp;N1364&amp;"|"&amp;O1364&amp;"|"&amp;P1364</f>
        <v/>
      </c>
      <c r="R1364" s="10">
        <f>IF(COUNTIF($Q$2:$Q$1409,Q1364)&gt;1,IF(COUNTIF($Q$2:Q1364,Q1364)=1,"Exact Duplicate - Keep First","Exact Duplicate - Remove"),"Unique")</f>
        <v/>
      </c>
    </row>
    <row r="1365" ht="15" customHeight="1" s="11">
      <c r="A1365" s="10" t="inlineStr">
        <is>
          <t>USR-101364</t>
        </is>
      </c>
      <c r="B1365" s="14" t="n">
        <v>45705</v>
      </c>
      <c r="C1365" s="10" t="inlineStr">
        <is>
          <t>Treatment</t>
        </is>
      </c>
      <c r="D1365" s="10" t="inlineStr">
        <is>
          <t>North</t>
        </is>
      </c>
      <c r="E1365" s="10" t="inlineStr">
        <is>
          <t>Mobile</t>
        </is>
      </c>
      <c r="F1365" s="10" t="inlineStr">
        <is>
          <t>Organic</t>
        </is>
      </c>
      <c r="G1365" s="10" t="inlineStr">
        <is>
          <t>Premium</t>
        </is>
      </c>
      <c r="H1365" s="10" t="n">
        <v>1</v>
      </c>
      <c r="I1365" s="10" t="n">
        <v>0</v>
      </c>
      <c r="J1365" s="10" t="n">
        <v>0</v>
      </c>
      <c r="K1365" s="10" t="n">
        <v>0</v>
      </c>
      <c r="L1365" s="10" t="n">
        <v>0</v>
      </c>
      <c r="M1365" s="10" t="n">
        <v>0</v>
      </c>
      <c r="N1365" s="10" t="n">
        <v>0</v>
      </c>
      <c r="P1365" s="10" t="n">
        <v>51.8</v>
      </c>
      <c r="Q1365" s="10">
        <f>A1365&amp;"|"&amp;B1365&amp;"|"&amp;C1365&amp;"|"&amp;D1365&amp;"|"&amp;E1365&amp;"|"&amp;F1365&amp;"|"&amp;G1365&amp;"|"&amp;H1365&amp;"|"&amp;I1365&amp;"|"&amp;J1365&amp;"|"&amp;K1365&amp;"|"&amp;L1365&amp;"|"&amp;M1365&amp;"|"&amp;N1365&amp;"|"&amp;O1365&amp;"|"&amp;P1365</f>
        <v/>
      </c>
      <c r="R1365" s="10">
        <f>IF(COUNTIF($Q$2:$Q$1409,Q1365)&gt;1,IF(COUNTIF($Q$2:Q1365,Q1365)=1,"Exact Duplicate - Keep First","Exact Duplicate - Remove"),"Unique")</f>
        <v/>
      </c>
    </row>
    <row r="1366" ht="15" customHeight="1" s="11">
      <c r="A1366" s="10" t="inlineStr">
        <is>
          <t>USR-101365</t>
        </is>
      </c>
      <c r="B1366" s="14" t="n">
        <v>45804</v>
      </c>
      <c r="C1366" s="10" t="inlineStr">
        <is>
          <t>Treatment</t>
        </is>
      </c>
      <c r="D1366" s="10" t="inlineStr">
        <is>
          <t>North</t>
        </is>
      </c>
      <c r="E1366" s="10" t="inlineStr">
        <is>
          <t>Desktop</t>
        </is>
      </c>
      <c r="F1366" s="10" t="inlineStr">
        <is>
          <t>Organic</t>
        </is>
      </c>
      <c r="G1366" s="10" t="inlineStr">
        <is>
          <t>Basic</t>
        </is>
      </c>
      <c r="H1366" s="10" t="n">
        <v>0</v>
      </c>
      <c r="I1366" s="10" t="n">
        <v>0</v>
      </c>
      <c r="J1366" s="10" t="n">
        <v>0</v>
      </c>
      <c r="K1366" s="10" t="n">
        <v>0</v>
      </c>
      <c r="L1366" s="10" t="n">
        <v>0</v>
      </c>
      <c r="M1366" s="10" t="n">
        <v>0</v>
      </c>
      <c r="N1366" s="10" t="n">
        <v>0</v>
      </c>
      <c r="P1366" s="10" t="n">
        <v>87.90000000000001</v>
      </c>
      <c r="Q1366" s="10">
        <f>A1366&amp;"|"&amp;B1366&amp;"|"&amp;C1366&amp;"|"&amp;D1366&amp;"|"&amp;E1366&amp;"|"&amp;F1366&amp;"|"&amp;G1366&amp;"|"&amp;H1366&amp;"|"&amp;I1366&amp;"|"&amp;J1366&amp;"|"&amp;K1366&amp;"|"&amp;L1366&amp;"|"&amp;M1366&amp;"|"&amp;N1366&amp;"|"&amp;O1366&amp;"|"&amp;P1366</f>
        <v/>
      </c>
      <c r="R1366" s="10">
        <f>IF(COUNTIF($Q$2:$Q$1409,Q1366)&gt;1,IF(COUNTIF($Q$2:Q1366,Q1366)=1,"Exact Duplicate - Keep First","Exact Duplicate - Remove"),"Unique")</f>
        <v/>
      </c>
    </row>
    <row r="1367" ht="15" customHeight="1" s="11">
      <c r="A1367" s="10" t="inlineStr">
        <is>
          <t>USR-101366</t>
        </is>
      </c>
      <c r="B1367" s="14" t="n">
        <v>45787</v>
      </c>
      <c r="C1367" s="10" t="inlineStr">
        <is>
          <t>Treatment</t>
        </is>
      </c>
      <c r="D1367" s="10" t="inlineStr">
        <is>
          <t>South</t>
        </is>
      </c>
      <c r="E1367" s="10" t="inlineStr">
        <is>
          <t>Mobile</t>
        </is>
      </c>
      <c r="F1367" s="10" t="inlineStr">
        <is>
          <t>Social</t>
        </is>
      </c>
      <c r="G1367" s="10" t="inlineStr">
        <is>
          <t>Premium</t>
        </is>
      </c>
      <c r="H1367" s="10" t="n">
        <v>1</v>
      </c>
      <c r="I1367" s="10" t="n">
        <v>0</v>
      </c>
      <c r="J1367" s="10" t="n">
        <v>0</v>
      </c>
      <c r="K1367" s="10" t="n">
        <v>0</v>
      </c>
      <c r="L1367" s="10" t="n">
        <v>0</v>
      </c>
      <c r="M1367" s="10" t="n">
        <v>2</v>
      </c>
      <c r="N1367" s="10" t="n">
        <v>0</v>
      </c>
      <c r="P1367" s="10" t="n">
        <v>70.5</v>
      </c>
      <c r="Q1367" s="10">
        <f>A1367&amp;"|"&amp;B1367&amp;"|"&amp;C1367&amp;"|"&amp;D1367&amp;"|"&amp;E1367&amp;"|"&amp;F1367&amp;"|"&amp;G1367&amp;"|"&amp;H1367&amp;"|"&amp;I1367&amp;"|"&amp;J1367&amp;"|"&amp;K1367&amp;"|"&amp;L1367&amp;"|"&amp;M1367&amp;"|"&amp;N1367&amp;"|"&amp;O1367&amp;"|"&amp;P1367</f>
        <v/>
      </c>
      <c r="R1367" s="10">
        <f>IF(COUNTIF($Q$2:$Q$1409,Q1367)&gt;1,IF(COUNTIF($Q$2:Q1367,Q1367)=1,"Exact Duplicate - Keep First","Exact Duplicate - Remove"),"Unique")</f>
        <v/>
      </c>
    </row>
    <row r="1368" ht="15" customHeight="1" s="11">
      <c r="A1368" s="10" t="inlineStr">
        <is>
          <t>USR-101367</t>
        </is>
      </c>
      <c r="B1368" s="14" t="n">
        <v>45677</v>
      </c>
      <c r="C1368" s="10" t="inlineStr">
        <is>
          <t>Treatment</t>
        </is>
      </c>
      <c r="D1368" s="10" t="inlineStr">
        <is>
          <t>North</t>
        </is>
      </c>
      <c r="E1368" s="10" t="inlineStr">
        <is>
          <t>Mobile</t>
        </is>
      </c>
      <c r="F1368" s="10" t="inlineStr">
        <is>
          <t>Organic</t>
        </is>
      </c>
      <c r="G1368" s="10" t="inlineStr">
        <is>
          <t>Basic</t>
        </is>
      </c>
      <c r="H1368" s="10" t="n">
        <v>1</v>
      </c>
      <c r="I1368" s="10" t="n">
        <v>1</v>
      </c>
      <c r="J1368" s="10" t="n">
        <v>0</v>
      </c>
      <c r="K1368" s="10" t="n">
        <v>0</v>
      </c>
      <c r="L1368" s="10" t="n">
        <v>0</v>
      </c>
      <c r="M1368" s="10" t="n">
        <v>2</v>
      </c>
      <c r="N1368" s="10" t="n">
        <v>0</v>
      </c>
      <c r="P1368" s="10" t="n">
        <v>58.5</v>
      </c>
      <c r="Q1368" s="10">
        <f>A1368&amp;"|"&amp;B1368&amp;"|"&amp;C1368&amp;"|"&amp;D1368&amp;"|"&amp;E1368&amp;"|"&amp;F1368&amp;"|"&amp;G1368&amp;"|"&amp;H1368&amp;"|"&amp;I1368&amp;"|"&amp;J1368&amp;"|"&amp;K1368&amp;"|"&amp;L1368&amp;"|"&amp;M1368&amp;"|"&amp;N1368&amp;"|"&amp;O1368&amp;"|"&amp;P1368</f>
        <v/>
      </c>
      <c r="R1368" s="10">
        <f>IF(COUNTIF($Q$2:$Q$1409,Q1368)&gt;1,IF(COUNTIF($Q$2:Q1368,Q1368)=1,"Exact Duplicate - Keep First","Exact Duplicate - Remove"),"Unique")</f>
        <v/>
      </c>
    </row>
    <row r="1369" ht="15" customHeight="1" s="11">
      <c r="A1369" s="10" t="inlineStr">
        <is>
          <t>USR-101368</t>
        </is>
      </c>
      <c r="B1369" s="14" t="n">
        <v>45676</v>
      </c>
      <c r="C1369" s="10" t="inlineStr">
        <is>
          <t>Treatment</t>
        </is>
      </c>
      <c r="D1369" s="10" t="inlineStr">
        <is>
          <t>East</t>
        </is>
      </c>
      <c r="E1369" s="10" t="inlineStr">
        <is>
          <t>Mobile</t>
        </is>
      </c>
      <c r="F1369" s="10" t="inlineStr">
        <is>
          <t>Referral</t>
        </is>
      </c>
      <c r="G1369" s="10" t="inlineStr">
        <is>
          <t>Free</t>
        </is>
      </c>
      <c r="H1369" s="10" t="n">
        <v>1</v>
      </c>
      <c r="I1369" s="10" t="n">
        <v>0</v>
      </c>
      <c r="J1369" s="10" t="n">
        <v>0</v>
      </c>
      <c r="K1369" s="10" t="n">
        <v>0</v>
      </c>
      <c r="L1369" s="10" t="n">
        <v>0</v>
      </c>
      <c r="M1369" s="10" t="n">
        <v>0</v>
      </c>
      <c r="N1369" s="10" t="n">
        <v>0</v>
      </c>
      <c r="P1369" s="10" t="n">
        <v>65.59999999999999</v>
      </c>
      <c r="Q1369" s="10">
        <f>A1369&amp;"|"&amp;B1369&amp;"|"&amp;C1369&amp;"|"&amp;D1369&amp;"|"&amp;E1369&amp;"|"&amp;F1369&amp;"|"&amp;G1369&amp;"|"&amp;H1369&amp;"|"&amp;I1369&amp;"|"&amp;J1369&amp;"|"&amp;K1369&amp;"|"&amp;L1369&amp;"|"&amp;M1369&amp;"|"&amp;N1369&amp;"|"&amp;O1369&amp;"|"&amp;P1369</f>
        <v/>
      </c>
      <c r="R1369" s="10">
        <f>IF(COUNTIF($Q$2:$Q$1409,Q1369)&gt;1,IF(COUNTIF($Q$2:Q1369,Q1369)=1,"Exact Duplicate - Keep First","Exact Duplicate - Remove"),"Unique")</f>
        <v/>
      </c>
    </row>
    <row r="1370" ht="15" customHeight="1" s="11">
      <c r="A1370" s="10" t="inlineStr">
        <is>
          <t>USR-101369</t>
        </is>
      </c>
      <c r="B1370" s="14" t="n">
        <v>45723</v>
      </c>
      <c r="C1370" s="10" t="inlineStr">
        <is>
          <t>Treatment</t>
        </is>
      </c>
      <c r="D1370" s="10" t="inlineStr">
        <is>
          <t>West</t>
        </is>
      </c>
      <c r="E1370" s="10" t="inlineStr">
        <is>
          <t>Desktop</t>
        </is>
      </c>
      <c r="F1370" s="10" t="inlineStr">
        <is>
          <t>Paid Search</t>
        </is>
      </c>
      <c r="G1370" s="10" t="inlineStr">
        <is>
          <t>Basic</t>
        </is>
      </c>
      <c r="H1370" s="10" t="n">
        <v>1</v>
      </c>
      <c r="I1370" s="10" t="n">
        <v>1</v>
      </c>
      <c r="J1370" s="10" t="n">
        <v>0</v>
      </c>
      <c r="K1370" s="10" t="n">
        <v>0</v>
      </c>
      <c r="L1370" s="10" t="n">
        <v>0</v>
      </c>
      <c r="M1370" s="10" t="n">
        <v>0</v>
      </c>
      <c r="N1370" s="10" t="n">
        <v>0</v>
      </c>
      <c r="P1370" s="10" t="n">
        <v>62.7</v>
      </c>
      <c r="Q1370" s="10">
        <f>A1370&amp;"|"&amp;B1370&amp;"|"&amp;C1370&amp;"|"&amp;D1370&amp;"|"&amp;E1370&amp;"|"&amp;F1370&amp;"|"&amp;G1370&amp;"|"&amp;H1370&amp;"|"&amp;I1370&amp;"|"&amp;J1370&amp;"|"&amp;K1370&amp;"|"&amp;L1370&amp;"|"&amp;M1370&amp;"|"&amp;N1370&amp;"|"&amp;O1370&amp;"|"&amp;P1370</f>
        <v/>
      </c>
      <c r="R1370" s="10">
        <f>IF(COUNTIF($Q$2:$Q$1409,Q1370)&gt;1,IF(COUNTIF($Q$2:Q1370,Q1370)=1,"Exact Duplicate - Keep First","Exact Duplicate - Remove"),"Unique")</f>
        <v/>
      </c>
    </row>
    <row r="1371" ht="15" customHeight="1" s="11">
      <c r="A1371" s="10" t="inlineStr">
        <is>
          <t>USR-101370</t>
        </is>
      </c>
      <c r="B1371" s="14" t="n">
        <v>45690</v>
      </c>
      <c r="C1371" s="10" t="inlineStr">
        <is>
          <t>Treatment</t>
        </is>
      </c>
      <c r="D1371" s="10" t="inlineStr">
        <is>
          <t>East</t>
        </is>
      </c>
      <c r="E1371" s="10" t="inlineStr">
        <is>
          <t>Mobile</t>
        </is>
      </c>
      <c r="F1371" s="10" t="inlineStr">
        <is>
          <t>Organic</t>
        </is>
      </c>
      <c r="G1371" s="10" t="inlineStr">
        <is>
          <t>Free</t>
        </is>
      </c>
      <c r="H1371" s="10" t="n">
        <v>0</v>
      </c>
      <c r="I1371" s="10" t="n">
        <v>0</v>
      </c>
      <c r="J1371" s="10" t="n">
        <v>0</v>
      </c>
      <c r="K1371" s="10" t="n">
        <v>0</v>
      </c>
      <c r="L1371" s="10" t="n">
        <v>0</v>
      </c>
      <c r="M1371" s="10" t="n">
        <v>1</v>
      </c>
      <c r="N1371" s="10" t="n">
        <v>0</v>
      </c>
      <c r="P1371" s="10" t="n">
        <v>50.9</v>
      </c>
      <c r="Q1371" s="10">
        <f>A1371&amp;"|"&amp;B1371&amp;"|"&amp;C1371&amp;"|"&amp;D1371&amp;"|"&amp;E1371&amp;"|"&amp;F1371&amp;"|"&amp;G1371&amp;"|"&amp;H1371&amp;"|"&amp;I1371&amp;"|"&amp;J1371&amp;"|"&amp;K1371&amp;"|"&amp;L1371&amp;"|"&amp;M1371&amp;"|"&amp;N1371&amp;"|"&amp;O1371&amp;"|"&amp;P1371</f>
        <v/>
      </c>
      <c r="R1371" s="10">
        <f>IF(COUNTIF($Q$2:$Q$1409,Q1371)&gt;1,IF(COUNTIF($Q$2:Q1371,Q1371)=1,"Exact Duplicate - Keep First","Exact Duplicate - Remove"),"Unique")</f>
        <v/>
      </c>
    </row>
    <row r="1372" ht="15" customHeight="1" s="11">
      <c r="A1372" s="10" t="inlineStr">
        <is>
          <t>USR-101371</t>
        </is>
      </c>
      <c r="B1372" s="14" t="n">
        <v>45723</v>
      </c>
      <c r="C1372" s="10" t="inlineStr">
        <is>
          <t>Treatment</t>
        </is>
      </c>
      <c r="D1372" s="10" t="inlineStr">
        <is>
          <t>North</t>
        </is>
      </c>
      <c r="E1372" s="10" t="inlineStr">
        <is>
          <t>Mobile</t>
        </is>
      </c>
      <c r="F1372" s="10" t="inlineStr">
        <is>
          <t>Organic</t>
        </is>
      </c>
      <c r="G1372" s="10" t="inlineStr">
        <is>
          <t>Free</t>
        </is>
      </c>
      <c r="H1372" s="10" t="n">
        <v>0</v>
      </c>
      <c r="I1372" s="10" t="n">
        <v>0</v>
      </c>
      <c r="J1372" s="10" t="n">
        <v>0</v>
      </c>
      <c r="K1372" s="10" t="n">
        <v>0</v>
      </c>
      <c r="L1372" s="10" t="n">
        <v>0</v>
      </c>
      <c r="M1372" s="10" t="n">
        <v>1</v>
      </c>
      <c r="N1372" s="10" t="n">
        <v>0</v>
      </c>
      <c r="P1372" s="10" t="n">
        <v>60.6</v>
      </c>
      <c r="Q1372" s="10">
        <f>A1372&amp;"|"&amp;B1372&amp;"|"&amp;C1372&amp;"|"&amp;D1372&amp;"|"&amp;E1372&amp;"|"&amp;F1372&amp;"|"&amp;G1372&amp;"|"&amp;H1372&amp;"|"&amp;I1372&amp;"|"&amp;J1372&amp;"|"&amp;K1372&amp;"|"&amp;L1372&amp;"|"&amp;M1372&amp;"|"&amp;N1372&amp;"|"&amp;O1372&amp;"|"&amp;P1372</f>
        <v/>
      </c>
      <c r="R1372" s="10">
        <f>IF(COUNTIF($Q$2:$Q$1409,Q1372)&gt;1,IF(COUNTIF($Q$2:Q1372,Q1372)=1,"Exact Duplicate - Keep First","Exact Duplicate - Remove"),"Unique")</f>
        <v/>
      </c>
    </row>
    <row r="1373" ht="15" customHeight="1" s="11">
      <c r="A1373" s="10" t="inlineStr">
        <is>
          <t>USR-101372</t>
        </is>
      </c>
      <c r="B1373" s="14" t="n">
        <v>45746</v>
      </c>
      <c r="C1373" s="10" t="inlineStr">
        <is>
          <t>Treatment</t>
        </is>
      </c>
      <c r="D1373" s="10" t="inlineStr">
        <is>
          <t>East</t>
        </is>
      </c>
      <c r="E1373" s="10" t="inlineStr">
        <is>
          <t>Desktop</t>
        </is>
      </c>
      <c r="F1373" s="10" t="inlineStr">
        <is>
          <t>Organic</t>
        </is>
      </c>
      <c r="G1373" s="10" t="inlineStr">
        <is>
          <t>Free</t>
        </is>
      </c>
      <c r="H1373" s="10" t="n">
        <v>1</v>
      </c>
      <c r="I1373" s="10" t="n">
        <v>1</v>
      </c>
      <c r="J1373" s="10" t="n">
        <v>1</v>
      </c>
      <c r="K1373" s="10" t="n">
        <v>0</v>
      </c>
      <c r="L1373" s="10" t="n">
        <v>0</v>
      </c>
      <c r="M1373" s="10" t="n">
        <v>0</v>
      </c>
      <c r="N1373" s="10" t="n">
        <v>0</v>
      </c>
      <c r="P1373" s="10" t="n">
        <v>76.59999999999999</v>
      </c>
      <c r="Q1373" s="10">
        <f>A1373&amp;"|"&amp;B1373&amp;"|"&amp;C1373&amp;"|"&amp;D1373&amp;"|"&amp;E1373&amp;"|"&amp;F1373&amp;"|"&amp;G1373&amp;"|"&amp;H1373&amp;"|"&amp;I1373&amp;"|"&amp;J1373&amp;"|"&amp;K1373&amp;"|"&amp;L1373&amp;"|"&amp;M1373&amp;"|"&amp;N1373&amp;"|"&amp;O1373&amp;"|"&amp;P1373</f>
        <v/>
      </c>
      <c r="R1373" s="10">
        <f>IF(COUNTIF($Q$2:$Q$1409,Q1373)&gt;1,IF(COUNTIF($Q$2:Q1373,Q1373)=1,"Exact Duplicate - Keep First","Exact Duplicate - Remove"),"Unique")</f>
        <v/>
      </c>
    </row>
    <row r="1374" ht="15" customHeight="1" s="11">
      <c r="A1374" s="10" t="inlineStr">
        <is>
          <t>USR-101373</t>
        </is>
      </c>
      <c r="B1374" s="14" t="n">
        <v>45782</v>
      </c>
      <c r="C1374" s="10" t="inlineStr">
        <is>
          <t>Treatment</t>
        </is>
      </c>
      <c r="D1374" s="10" t="inlineStr">
        <is>
          <t>East</t>
        </is>
      </c>
      <c r="E1374" s="10" t="inlineStr">
        <is>
          <t>Desktop</t>
        </is>
      </c>
      <c r="F1374" s="10" t="inlineStr">
        <is>
          <t>Paid Search</t>
        </is>
      </c>
      <c r="G1374" s="10" t="inlineStr">
        <is>
          <t>Free</t>
        </is>
      </c>
      <c r="H1374" s="10" t="n">
        <v>1</v>
      </c>
      <c r="I1374" s="10" t="n">
        <v>1</v>
      </c>
      <c r="J1374" s="10" t="n">
        <v>1</v>
      </c>
      <c r="K1374" s="10" t="n">
        <v>0</v>
      </c>
      <c r="L1374" s="10" t="n">
        <v>0</v>
      </c>
      <c r="M1374" s="10" t="n">
        <v>0</v>
      </c>
      <c r="N1374" s="10" t="n">
        <v>0</v>
      </c>
      <c r="P1374" s="10" t="n">
        <v>54.4</v>
      </c>
      <c r="Q1374" s="10">
        <f>A1374&amp;"|"&amp;B1374&amp;"|"&amp;C1374&amp;"|"&amp;D1374&amp;"|"&amp;E1374&amp;"|"&amp;F1374&amp;"|"&amp;G1374&amp;"|"&amp;H1374&amp;"|"&amp;I1374&amp;"|"&amp;J1374&amp;"|"&amp;K1374&amp;"|"&amp;L1374&amp;"|"&amp;M1374&amp;"|"&amp;N1374&amp;"|"&amp;O1374&amp;"|"&amp;P1374</f>
        <v/>
      </c>
      <c r="R1374" s="10">
        <f>IF(COUNTIF($Q$2:$Q$1409,Q1374)&gt;1,IF(COUNTIF($Q$2:Q1374,Q1374)=1,"Exact Duplicate - Keep First","Exact Duplicate - Remove"),"Unique")</f>
        <v/>
      </c>
    </row>
    <row r="1375" ht="15" customHeight="1" s="11">
      <c r="A1375" s="10" t="inlineStr">
        <is>
          <t>USR-101374</t>
        </is>
      </c>
      <c r="B1375" s="14" t="n">
        <v>45758</v>
      </c>
      <c r="C1375" s="10" t="inlineStr">
        <is>
          <t>Treatment</t>
        </is>
      </c>
      <c r="D1375" s="10" t="inlineStr">
        <is>
          <t>South</t>
        </is>
      </c>
      <c r="E1375" s="10" t="inlineStr">
        <is>
          <t>Mobile</t>
        </is>
      </c>
      <c r="F1375" s="10" t="inlineStr">
        <is>
          <t>Social</t>
        </is>
      </c>
      <c r="G1375" s="10" t="inlineStr">
        <is>
          <t>Free</t>
        </is>
      </c>
      <c r="H1375" s="10" t="n">
        <v>1</v>
      </c>
      <c r="I1375" s="10" t="n">
        <v>0</v>
      </c>
      <c r="J1375" s="10" t="n">
        <v>0</v>
      </c>
      <c r="K1375" s="10" t="n">
        <v>0</v>
      </c>
      <c r="L1375" s="10" t="n">
        <v>0</v>
      </c>
      <c r="M1375" s="10" t="n">
        <v>0</v>
      </c>
      <c r="N1375" s="10" t="n">
        <v>0</v>
      </c>
      <c r="P1375" s="10" t="n">
        <v>31.2</v>
      </c>
      <c r="Q1375" s="10">
        <f>A1375&amp;"|"&amp;B1375&amp;"|"&amp;C1375&amp;"|"&amp;D1375&amp;"|"&amp;E1375&amp;"|"&amp;F1375&amp;"|"&amp;G1375&amp;"|"&amp;H1375&amp;"|"&amp;I1375&amp;"|"&amp;J1375&amp;"|"&amp;K1375&amp;"|"&amp;L1375&amp;"|"&amp;M1375&amp;"|"&amp;N1375&amp;"|"&amp;O1375&amp;"|"&amp;P1375</f>
        <v/>
      </c>
      <c r="R1375" s="10">
        <f>IF(COUNTIF($Q$2:$Q$1409,Q1375)&gt;1,IF(COUNTIF($Q$2:Q1375,Q1375)=1,"Exact Duplicate - Keep First","Exact Duplicate - Remove"),"Unique")</f>
        <v/>
      </c>
    </row>
    <row r="1376" ht="15" customHeight="1" s="11">
      <c r="A1376" s="10" t="inlineStr">
        <is>
          <t>USR-101375</t>
        </is>
      </c>
      <c r="B1376" s="14" t="n">
        <v>45741</v>
      </c>
      <c r="C1376" s="10" t="inlineStr">
        <is>
          <t>Treatment</t>
        </is>
      </c>
      <c r="D1376" s="10" t="inlineStr">
        <is>
          <t>West</t>
        </is>
      </c>
      <c r="E1376" s="10" t="inlineStr">
        <is>
          <t>Desktop</t>
        </is>
      </c>
      <c r="F1376" s="10" t="inlineStr">
        <is>
          <t>Email</t>
        </is>
      </c>
      <c r="G1376" s="10" t="inlineStr">
        <is>
          <t>Premium</t>
        </is>
      </c>
      <c r="H1376" s="10" t="n">
        <v>1</v>
      </c>
      <c r="I1376" s="10" t="n">
        <v>0</v>
      </c>
      <c r="J1376" s="10" t="n">
        <v>0</v>
      </c>
      <c r="K1376" s="10" t="n">
        <v>0</v>
      </c>
      <c r="L1376" s="10" t="n">
        <v>0</v>
      </c>
      <c r="M1376" s="10" t="n">
        <v>0</v>
      </c>
      <c r="N1376" s="10" t="n">
        <v>0</v>
      </c>
      <c r="P1376" s="10" t="n">
        <v>72.40000000000001</v>
      </c>
      <c r="Q1376" s="10">
        <f>A1376&amp;"|"&amp;B1376&amp;"|"&amp;C1376&amp;"|"&amp;D1376&amp;"|"&amp;E1376&amp;"|"&amp;F1376&amp;"|"&amp;G1376&amp;"|"&amp;H1376&amp;"|"&amp;I1376&amp;"|"&amp;J1376&amp;"|"&amp;K1376&amp;"|"&amp;L1376&amp;"|"&amp;M1376&amp;"|"&amp;N1376&amp;"|"&amp;O1376&amp;"|"&amp;P1376</f>
        <v/>
      </c>
      <c r="R1376" s="10">
        <f>IF(COUNTIF($Q$2:$Q$1409,Q1376)&gt;1,IF(COUNTIF($Q$2:Q1376,Q1376)=1,"Exact Duplicate - Keep First","Exact Duplicate - Remove"),"Unique")</f>
        <v/>
      </c>
    </row>
    <row r="1377" ht="15" customHeight="1" s="11">
      <c r="A1377" s="10" t="inlineStr">
        <is>
          <t>USR-101376</t>
        </is>
      </c>
      <c r="B1377" s="14" t="n">
        <v>45740</v>
      </c>
      <c r="C1377" s="10" t="inlineStr">
        <is>
          <t>Treatment</t>
        </is>
      </c>
      <c r="D1377" s="10" t="inlineStr">
        <is>
          <t>North</t>
        </is>
      </c>
      <c r="E1377" s="10" t="inlineStr">
        <is>
          <t>Mobile</t>
        </is>
      </c>
      <c r="F1377" s="10" t="inlineStr">
        <is>
          <t>Organic</t>
        </is>
      </c>
      <c r="G1377" s="10" t="inlineStr">
        <is>
          <t>Premium</t>
        </is>
      </c>
      <c r="H1377" s="10" t="n">
        <v>1</v>
      </c>
      <c r="I1377" s="10" t="n">
        <v>0</v>
      </c>
      <c r="J1377" s="10" t="n">
        <v>0</v>
      </c>
      <c r="K1377" s="10" t="n">
        <v>0</v>
      </c>
      <c r="L1377" s="10" t="n">
        <v>0</v>
      </c>
      <c r="M1377" s="10" t="n">
        <v>0</v>
      </c>
      <c r="N1377" s="10" t="n">
        <v>0</v>
      </c>
      <c r="P1377" s="10" t="n">
        <v>74.5</v>
      </c>
      <c r="Q1377" s="10">
        <f>A1377&amp;"|"&amp;B1377&amp;"|"&amp;C1377&amp;"|"&amp;D1377&amp;"|"&amp;E1377&amp;"|"&amp;F1377&amp;"|"&amp;G1377&amp;"|"&amp;H1377&amp;"|"&amp;I1377&amp;"|"&amp;J1377&amp;"|"&amp;K1377&amp;"|"&amp;L1377&amp;"|"&amp;M1377&amp;"|"&amp;N1377&amp;"|"&amp;O1377&amp;"|"&amp;P1377</f>
        <v/>
      </c>
      <c r="R1377" s="10">
        <f>IF(COUNTIF($Q$2:$Q$1409,Q1377)&gt;1,IF(COUNTIF($Q$2:Q1377,Q1377)=1,"Exact Duplicate - Keep First","Exact Duplicate - Remove"),"Unique")</f>
        <v/>
      </c>
    </row>
    <row r="1378" ht="15" customHeight="1" s="11">
      <c r="A1378" s="10" t="inlineStr">
        <is>
          <t>USR-101377</t>
        </is>
      </c>
      <c r="B1378" s="14" t="n">
        <v>45774</v>
      </c>
      <c r="C1378" s="10" t="inlineStr">
        <is>
          <t>Treatment</t>
        </is>
      </c>
      <c r="D1378" s="10" t="inlineStr">
        <is>
          <t>East</t>
        </is>
      </c>
      <c r="E1378" s="10" t="inlineStr">
        <is>
          <t>Mobile</t>
        </is>
      </c>
      <c r="F1378" s="10" t="inlineStr">
        <is>
          <t>Organic</t>
        </is>
      </c>
      <c r="G1378" s="10" t="inlineStr">
        <is>
          <t>Basic</t>
        </is>
      </c>
      <c r="H1378" s="10" t="n">
        <v>0</v>
      </c>
      <c r="I1378" s="10" t="n">
        <v>0</v>
      </c>
      <c r="J1378" s="10" t="n">
        <v>0</v>
      </c>
      <c r="K1378" s="10" t="n">
        <v>0</v>
      </c>
      <c r="L1378" s="10" t="n">
        <v>0</v>
      </c>
      <c r="M1378" s="10" t="n">
        <v>0</v>
      </c>
      <c r="N1378" s="10" t="n">
        <v>0</v>
      </c>
      <c r="P1378" s="10" t="n">
        <v>52.6</v>
      </c>
      <c r="Q1378" s="10">
        <f>A1378&amp;"|"&amp;B1378&amp;"|"&amp;C1378&amp;"|"&amp;D1378&amp;"|"&amp;E1378&amp;"|"&amp;F1378&amp;"|"&amp;G1378&amp;"|"&amp;H1378&amp;"|"&amp;I1378&amp;"|"&amp;J1378&amp;"|"&amp;K1378&amp;"|"&amp;L1378&amp;"|"&amp;M1378&amp;"|"&amp;N1378&amp;"|"&amp;O1378&amp;"|"&amp;P1378</f>
        <v/>
      </c>
      <c r="R1378" s="10">
        <f>IF(COUNTIF($Q$2:$Q$1409,Q1378)&gt;1,IF(COUNTIF($Q$2:Q1378,Q1378)=1,"Exact Duplicate - Keep First","Exact Duplicate - Remove"),"Unique")</f>
        <v/>
      </c>
    </row>
    <row r="1379" ht="15" customHeight="1" s="11">
      <c r="A1379" s="10" t="inlineStr">
        <is>
          <t>USR-101378</t>
        </is>
      </c>
      <c r="B1379" s="14" t="n">
        <v>45682</v>
      </c>
      <c r="C1379" s="10" t="inlineStr">
        <is>
          <t>Treatment</t>
        </is>
      </c>
      <c r="D1379" s="10" t="inlineStr">
        <is>
          <t>North</t>
        </is>
      </c>
      <c r="E1379" s="10" t="inlineStr">
        <is>
          <t>Desktop</t>
        </is>
      </c>
      <c r="F1379" s="10" t="inlineStr">
        <is>
          <t>Paid Search</t>
        </is>
      </c>
      <c r="G1379" s="10" t="inlineStr">
        <is>
          <t>Free</t>
        </is>
      </c>
      <c r="H1379" s="10" t="n">
        <v>1</v>
      </c>
      <c r="I1379" s="10" t="n">
        <v>0</v>
      </c>
      <c r="J1379" s="10" t="n">
        <v>0</v>
      </c>
      <c r="K1379" s="10" t="n">
        <v>0</v>
      </c>
      <c r="L1379" s="10" t="n">
        <v>0</v>
      </c>
      <c r="M1379" s="10" t="n">
        <v>0</v>
      </c>
      <c r="N1379" s="10" t="n">
        <v>0</v>
      </c>
      <c r="P1379" s="10" t="n">
        <v>75.40000000000001</v>
      </c>
      <c r="Q1379" s="10">
        <f>A1379&amp;"|"&amp;B1379&amp;"|"&amp;C1379&amp;"|"&amp;D1379&amp;"|"&amp;E1379&amp;"|"&amp;F1379&amp;"|"&amp;G1379&amp;"|"&amp;H1379&amp;"|"&amp;I1379&amp;"|"&amp;J1379&amp;"|"&amp;K1379&amp;"|"&amp;L1379&amp;"|"&amp;M1379&amp;"|"&amp;N1379&amp;"|"&amp;O1379&amp;"|"&amp;P1379</f>
        <v/>
      </c>
      <c r="R1379" s="10">
        <f>IF(COUNTIF($Q$2:$Q$1409,Q1379)&gt;1,IF(COUNTIF($Q$2:Q1379,Q1379)=1,"Exact Duplicate - Keep First","Exact Duplicate - Remove"),"Unique")</f>
        <v/>
      </c>
    </row>
    <row r="1380" ht="15" customHeight="1" s="11">
      <c r="A1380" s="10" t="inlineStr">
        <is>
          <t>USR-101379</t>
        </is>
      </c>
      <c r="B1380" s="14" t="n">
        <v>45705</v>
      </c>
      <c r="C1380" s="10" t="inlineStr">
        <is>
          <t>Treatment</t>
        </is>
      </c>
      <c r="D1380" s="10" t="inlineStr">
        <is>
          <t>North</t>
        </is>
      </c>
      <c r="E1380" s="10" t="inlineStr">
        <is>
          <t>Tablet</t>
        </is>
      </c>
      <c r="F1380" s="10" t="inlineStr">
        <is>
          <t>Social</t>
        </is>
      </c>
      <c r="G1380" s="10" t="inlineStr">
        <is>
          <t>Basic</t>
        </is>
      </c>
      <c r="H1380" s="10" t="n">
        <v>1</v>
      </c>
      <c r="I1380" s="10" t="n">
        <v>1</v>
      </c>
      <c r="J1380" s="10" t="n">
        <v>1</v>
      </c>
      <c r="K1380" s="10" t="n">
        <v>1</v>
      </c>
      <c r="L1380" s="10" t="n">
        <v>751.33</v>
      </c>
      <c r="M1380" s="10" t="n">
        <v>0</v>
      </c>
      <c r="N1380" s="10" t="n">
        <v>0</v>
      </c>
      <c r="O1380" s="10" t="n">
        <v>9</v>
      </c>
      <c r="P1380" s="10" t="n">
        <v>34</v>
      </c>
      <c r="Q1380" s="10">
        <f>A1380&amp;"|"&amp;B1380&amp;"|"&amp;C1380&amp;"|"&amp;D1380&amp;"|"&amp;E1380&amp;"|"&amp;F1380&amp;"|"&amp;G1380&amp;"|"&amp;H1380&amp;"|"&amp;I1380&amp;"|"&amp;J1380&amp;"|"&amp;K1380&amp;"|"&amp;L1380&amp;"|"&amp;M1380&amp;"|"&amp;N1380&amp;"|"&amp;O1380&amp;"|"&amp;P1380</f>
        <v/>
      </c>
      <c r="R1380" s="10">
        <f>IF(COUNTIF($Q$2:$Q$1409,Q1380)&gt;1,IF(COUNTIF($Q$2:Q1380,Q1380)=1,"Exact Duplicate - Keep First","Exact Duplicate - Remove"),"Unique")</f>
        <v/>
      </c>
    </row>
    <row r="1381" ht="15" customHeight="1" s="11">
      <c r="A1381" s="10" t="inlineStr">
        <is>
          <t>USR-101380</t>
        </is>
      </c>
      <c r="B1381" s="14" t="n">
        <v>45760</v>
      </c>
      <c r="C1381" s="10" t="inlineStr">
        <is>
          <t>Treatment</t>
        </is>
      </c>
      <c r="D1381" s="10" t="inlineStr">
        <is>
          <t>South</t>
        </is>
      </c>
      <c r="E1381" s="10" t="inlineStr">
        <is>
          <t>Desktop</t>
        </is>
      </c>
      <c r="F1381" s="10" t="inlineStr">
        <is>
          <t>Organic</t>
        </is>
      </c>
      <c r="G1381" s="10" t="inlineStr">
        <is>
          <t>Free</t>
        </is>
      </c>
      <c r="H1381" s="10" t="n">
        <v>1</v>
      </c>
      <c r="I1381" s="10" t="n">
        <v>0</v>
      </c>
      <c r="J1381" s="10" t="n">
        <v>0</v>
      </c>
      <c r="K1381" s="10" t="n">
        <v>0</v>
      </c>
      <c r="L1381" s="10" t="n">
        <v>0</v>
      </c>
      <c r="M1381" s="10" t="n">
        <v>0</v>
      </c>
      <c r="N1381" s="10" t="n">
        <v>0</v>
      </c>
      <c r="P1381" s="10" t="n">
        <v>67.09999999999999</v>
      </c>
      <c r="Q1381" s="10">
        <f>A1381&amp;"|"&amp;B1381&amp;"|"&amp;C1381&amp;"|"&amp;D1381&amp;"|"&amp;E1381&amp;"|"&amp;F1381&amp;"|"&amp;G1381&amp;"|"&amp;H1381&amp;"|"&amp;I1381&amp;"|"&amp;J1381&amp;"|"&amp;K1381&amp;"|"&amp;L1381&amp;"|"&amp;M1381&amp;"|"&amp;N1381&amp;"|"&amp;O1381&amp;"|"&amp;P1381</f>
        <v/>
      </c>
      <c r="R1381" s="10">
        <f>IF(COUNTIF($Q$2:$Q$1409,Q1381)&gt;1,IF(COUNTIF($Q$2:Q1381,Q1381)=1,"Exact Duplicate - Keep First","Exact Duplicate - Remove"),"Unique")</f>
        <v/>
      </c>
    </row>
    <row r="1382" ht="15" customHeight="1" s="11">
      <c r="A1382" s="10" t="inlineStr">
        <is>
          <t>USR-101381</t>
        </is>
      </c>
      <c r="B1382" s="14" t="n">
        <v>45780</v>
      </c>
      <c r="C1382" s="10" t="inlineStr">
        <is>
          <t>Treatment</t>
        </is>
      </c>
      <c r="D1382" s="10" t="inlineStr">
        <is>
          <t>West</t>
        </is>
      </c>
      <c r="E1382" s="10" t="inlineStr">
        <is>
          <t>Desktop</t>
        </is>
      </c>
      <c r="F1382" s="10" t="inlineStr">
        <is>
          <t>Paid Search</t>
        </is>
      </c>
      <c r="G1382" s="10" t="inlineStr">
        <is>
          <t>Premium</t>
        </is>
      </c>
      <c r="H1382" s="10" t="n">
        <v>1</v>
      </c>
      <c r="I1382" s="10" t="n">
        <v>0</v>
      </c>
      <c r="J1382" s="10" t="n">
        <v>0</v>
      </c>
      <c r="K1382" s="10" t="n">
        <v>0</v>
      </c>
      <c r="L1382" s="10" t="n">
        <v>0</v>
      </c>
      <c r="M1382" s="10" t="n">
        <v>0</v>
      </c>
      <c r="N1382" s="10" t="n">
        <v>0</v>
      </c>
      <c r="P1382" s="10" t="n">
        <v>37.3</v>
      </c>
      <c r="Q1382" s="10">
        <f>A1382&amp;"|"&amp;B1382&amp;"|"&amp;C1382&amp;"|"&amp;D1382&amp;"|"&amp;E1382&amp;"|"&amp;F1382&amp;"|"&amp;G1382&amp;"|"&amp;H1382&amp;"|"&amp;I1382&amp;"|"&amp;J1382&amp;"|"&amp;K1382&amp;"|"&amp;L1382&amp;"|"&amp;M1382&amp;"|"&amp;N1382&amp;"|"&amp;O1382&amp;"|"&amp;P1382</f>
        <v/>
      </c>
      <c r="R1382" s="10">
        <f>IF(COUNTIF($Q$2:$Q$1409,Q1382)&gt;1,IF(COUNTIF($Q$2:Q1382,Q1382)=1,"Exact Duplicate - Keep First","Exact Duplicate - Remove"),"Unique")</f>
        <v/>
      </c>
    </row>
    <row r="1383" ht="15" customHeight="1" s="11">
      <c r="A1383" s="10" t="inlineStr">
        <is>
          <t>USR-101382</t>
        </is>
      </c>
      <c r="B1383" s="14" t="n">
        <v>45776</v>
      </c>
      <c r="C1383" s="10" t="inlineStr">
        <is>
          <t>Treatment</t>
        </is>
      </c>
      <c r="D1383" s="10" t="inlineStr">
        <is>
          <t>West</t>
        </is>
      </c>
      <c r="E1383" s="10" t="inlineStr">
        <is>
          <t>Mobile</t>
        </is>
      </c>
      <c r="F1383" s="10" t="inlineStr">
        <is>
          <t>Email</t>
        </is>
      </c>
      <c r="G1383" s="10" t="inlineStr">
        <is>
          <t>Free</t>
        </is>
      </c>
      <c r="H1383" s="10" t="n">
        <v>1</v>
      </c>
      <c r="I1383" s="10" t="n">
        <v>0</v>
      </c>
      <c r="J1383" s="10" t="n">
        <v>0</v>
      </c>
      <c r="K1383" s="10" t="n">
        <v>0</v>
      </c>
      <c r="L1383" s="10" t="n">
        <v>0</v>
      </c>
      <c r="M1383" s="10" t="n">
        <v>0</v>
      </c>
      <c r="N1383" s="10" t="n">
        <v>0</v>
      </c>
      <c r="P1383" s="10" t="n">
        <v>54.7</v>
      </c>
      <c r="Q1383" s="10">
        <f>A1383&amp;"|"&amp;B1383&amp;"|"&amp;C1383&amp;"|"&amp;D1383&amp;"|"&amp;E1383&amp;"|"&amp;F1383&amp;"|"&amp;G1383&amp;"|"&amp;H1383&amp;"|"&amp;I1383&amp;"|"&amp;J1383&amp;"|"&amp;K1383&amp;"|"&amp;L1383&amp;"|"&amp;M1383&amp;"|"&amp;N1383&amp;"|"&amp;O1383&amp;"|"&amp;P1383</f>
        <v/>
      </c>
      <c r="R1383" s="10">
        <f>IF(COUNTIF($Q$2:$Q$1409,Q1383)&gt;1,IF(COUNTIF($Q$2:Q1383,Q1383)=1,"Exact Duplicate - Keep First","Exact Duplicate - Remove"),"Unique")</f>
        <v/>
      </c>
    </row>
    <row r="1384" ht="15" customHeight="1" s="11">
      <c r="A1384" s="10" t="inlineStr">
        <is>
          <t>USR-101383</t>
        </is>
      </c>
      <c r="B1384" s="14" t="n">
        <v>45780</v>
      </c>
      <c r="C1384" s="10" t="inlineStr">
        <is>
          <t>Treatment</t>
        </is>
      </c>
      <c r="D1384" s="10" t="inlineStr">
        <is>
          <t>East</t>
        </is>
      </c>
      <c r="E1384" s="10" t="inlineStr">
        <is>
          <t>Desktop</t>
        </is>
      </c>
      <c r="F1384" s="10" t="inlineStr">
        <is>
          <t>Paid Search</t>
        </is>
      </c>
      <c r="G1384" s="10" t="inlineStr">
        <is>
          <t>Free</t>
        </is>
      </c>
      <c r="H1384" s="10" t="n">
        <v>1</v>
      </c>
      <c r="I1384" s="10" t="n">
        <v>0</v>
      </c>
      <c r="J1384" s="10" t="n">
        <v>0</v>
      </c>
      <c r="K1384" s="10" t="n">
        <v>0</v>
      </c>
      <c r="L1384" s="10" t="n">
        <v>0</v>
      </c>
      <c r="M1384" s="10" t="n">
        <v>0</v>
      </c>
      <c r="N1384" s="10" t="n">
        <v>0</v>
      </c>
      <c r="P1384" s="10" t="n">
        <v>51.8</v>
      </c>
      <c r="Q1384" s="10">
        <f>A1384&amp;"|"&amp;B1384&amp;"|"&amp;C1384&amp;"|"&amp;D1384&amp;"|"&amp;E1384&amp;"|"&amp;F1384&amp;"|"&amp;G1384&amp;"|"&amp;H1384&amp;"|"&amp;I1384&amp;"|"&amp;J1384&amp;"|"&amp;K1384&amp;"|"&amp;L1384&amp;"|"&amp;M1384&amp;"|"&amp;N1384&amp;"|"&amp;O1384&amp;"|"&amp;P1384</f>
        <v/>
      </c>
      <c r="R1384" s="10">
        <f>IF(COUNTIF($Q$2:$Q$1409,Q1384)&gt;1,IF(COUNTIF($Q$2:Q1384,Q1384)=1,"Exact Duplicate - Keep First","Exact Duplicate - Remove"),"Unique")</f>
        <v/>
      </c>
    </row>
    <row r="1385" ht="15" customHeight="1" s="11">
      <c r="A1385" s="10" t="inlineStr">
        <is>
          <t>USR-101384</t>
        </is>
      </c>
      <c r="B1385" s="14" t="n">
        <v>45775</v>
      </c>
      <c r="C1385" s="10" t="inlineStr">
        <is>
          <t>Treatment</t>
        </is>
      </c>
      <c r="D1385" s="10" t="inlineStr">
        <is>
          <t>West</t>
        </is>
      </c>
      <c r="E1385" s="10" t="inlineStr">
        <is>
          <t>Mobile</t>
        </is>
      </c>
      <c r="F1385" s="10" t="inlineStr">
        <is>
          <t>Paid Search</t>
        </is>
      </c>
      <c r="G1385" s="10" t="inlineStr">
        <is>
          <t>Free</t>
        </is>
      </c>
      <c r="H1385" s="10" t="n">
        <v>0</v>
      </c>
      <c r="I1385" s="10" t="n">
        <v>0</v>
      </c>
      <c r="J1385" s="10" t="n">
        <v>0</v>
      </c>
      <c r="K1385" s="10" t="n">
        <v>0</v>
      </c>
      <c r="L1385" s="10" t="n">
        <v>0</v>
      </c>
      <c r="M1385" s="10" t="n">
        <v>0</v>
      </c>
      <c r="N1385" s="10" t="n">
        <v>0</v>
      </c>
      <c r="P1385" s="10" t="n">
        <v>49.2</v>
      </c>
      <c r="Q1385" s="10">
        <f>A1385&amp;"|"&amp;B1385&amp;"|"&amp;C1385&amp;"|"&amp;D1385&amp;"|"&amp;E1385&amp;"|"&amp;F1385&amp;"|"&amp;G1385&amp;"|"&amp;H1385&amp;"|"&amp;I1385&amp;"|"&amp;J1385&amp;"|"&amp;K1385&amp;"|"&amp;L1385&amp;"|"&amp;M1385&amp;"|"&amp;N1385&amp;"|"&amp;O1385&amp;"|"&amp;P1385</f>
        <v/>
      </c>
      <c r="R1385" s="10">
        <f>IF(COUNTIF($Q$2:$Q$1409,Q1385)&gt;1,IF(COUNTIF($Q$2:Q1385,Q1385)=1,"Exact Duplicate - Keep First","Exact Duplicate - Remove"),"Unique")</f>
        <v/>
      </c>
    </row>
    <row r="1386" ht="15" customHeight="1" s="11">
      <c r="A1386" s="10" t="inlineStr">
        <is>
          <t>USR-101385</t>
        </is>
      </c>
      <c r="B1386" s="14" t="n">
        <v>45678</v>
      </c>
      <c r="C1386" s="10" t="inlineStr">
        <is>
          <t>Treatment</t>
        </is>
      </c>
      <c r="D1386" s="10" t="inlineStr">
        <is>
          <t>West</t>
        </is>
      </c>
      <c r="E1386" s="10" t="inlineStr">
        <is>
          <t>Mobile</t>
        </is>
      </c>
      <c r="F1386" s="10" t="inlineStr">
        <is>
          <t>Organic</t>
        </is>
      </c>
      <c r="G1386" s="10" t="inlineStr">
        <is>
          <t>Free</t>
        </is>
      </c>
      <c r="H1386" s="10" t="n">
        <v>1</v>
      </c>
      <c r="I1386" s="10" t="n">
        <v>0</v>
      </c>
      <c r="J1386" s="10" t="n">
        <v>0</v>
      </c>
      <c r="K1386" s="10" t="n">
        <v>0</v>
      </c>
      <c r="L1386" s="10" t="n">
        <v>0</v>
      </c>
      <c r="M1386" s="10" t="n">
        <v>2</v>
      </c>
      <c r="N1386" s="10" t="n">
        <v>0</v>
      </c>
      <c r="P1386" s="10" t="n">
        <v>58.8</v>
      </c>
      <c r="Q1386" s="10">
        <f>A1386&amp;"|"&amp;B1386&amp;"|"&amp;C1386&amp;"|"&amp;D1386&amp;"|"&amp;E1386&amp;"|"&amp;F1386&amp;"|"&amp;G1386&amp;"|"&amp;H1386&amp;"|"&amp;I1386&amp;"|"&amp;J1386&amp;"|"&amp;K1386&amp;"|"&amp;L1386&amp;"|"&amp;M1386&amp;"|"&amp;N1386&amp;"|"&amp;O1386&amp;"|"&amp;P1386</f>
        <v/>
      </c>
      <c r="R1386" s="10">
        <f>IF(COUNTIF($Q$2:$Q$1409,Q1386)&gt;1,IF(COUNTIF($Q$2:Q1386,Q1386)=1,"Exact Duplicate - Keep First","Exact Duplicate - Remove"),"Unique")</f>
        <v/>
      </c>
    </row>
    <row r="1387" ht="15" customHeight="1" s="11">
      <c r="A1387" s="10" t="inlineStr">
        <is>
          <t>USR-101386</t>
        </is>
      </c>
      <c r="B1387" s="14" t="n">
        <v>45678</v>
      </c>
      <c r="C1387" s="10" t="inlineStr">
        <is>
          <t>Treatment</t>
        </is>
      </c>
      <c r="D1387" s="10" t="inlineStr">
        <is>
          <t>North</t>
        </is>
      </c>
      <c r="E1387" s="10" t="inlineStr">
        <is>
          <t>Tablet</t>
        </is>
      </c>
      <c r="F1387" s="10" t="inlineStr">
        <is>
          <t>Paid Search</t>
        </is>
      </c>
      <c r="G1387" s="10" t="inlineStr">
        <is>
          <t>Basic</t>
        </is>
      </c>
      <c r="H1387" s="10" t="n">
        <v>0</v>
      </c>
      <c r="I1387" s="10" t="n">
        <v>0</v>
      </c>
      <c r="J1387" s="10" t="n">
        <v>0</v>
      </c>
      <c r="K1387" s="10" t="n">
        <v>0</v>
      </c>
      <c r="L1387" s="10" t="n">
        <v>0</v>
      </c>
      <c r="M1387" s="10" t="n">
        <v>1</v>
      </c>
      <c r="N1387" s="10" t="n">
        <v>0</v>
      </c>
      <c r="P1387" s="10" t="n">
        <v>59.1</v>
      </c>
      <c r="Q1387" s="10">
        <f>A1387&amp;"|"&amp;B1387&amp;"|"&amp;C1387&amp;"|"&amp;D1387&amp;"|"&amp;E1387&amp;"|"&amp;F1387&amp;"|"&amp;G1387&amp;"|"&amp;H1387&amp;"|"&amp;I1387&amp;"|"&amp;J1387&amp;"|"&amp;K1387&amp;"|"&amp;L1387&amp;"|"&amp;M1387&amp;"|"&amp;N1387&amp;"|"&amp;O1387&amp;"|"&amp;P1387</f>
        <v/>
      </c>
      <c r="R1387" s="10">
        <f>IF(COUNTIF($Q$2:$Q$1409,Q1387)&gt;1,IF(COUNTIF($Q$2:Q1387,Q1387)=1,"Exact Duplicate - Keep First","Exact Duplicate - Remove"),"Unique")</f>
        <v/>
      </c>
    </row>
    <row r="1388" ht="15" customHeight="1" s="11">
      <c r="A1388" s="10" t="inlineStr">
        <is>
          <t>USR-101387</t>
        </is>
      </c>
      <c r="B1388" s="14" t="n">
        <v>45798</v>
      </c>
      <c r="C1388" s="10" t="inlineStr">
        <is>
          <t>Treatment</t>
        </is>
      </c>
      <c r="D1388" s="10" t="inlineStr">
        <is>
          <t>West</t>
        </is>
      </c>
      <c r="E1388" s="10" t="inlineStr">
        <is>
          <t>Desktop</t>
        </is>
      </c>
      <c r="F1388" s="10" t="inlineStr">
        <is>
          <t>Paid Search</t>
        </is>
      </c>
      <c r="G1388" s="10" t="inlineStr">
        <is>
          <t>Free</t>
        </is>
      </c>
      <c r="H1388" s="10" t="n">
        <v>1</v>
      </c>
      <c r="I1388" s="10" t="n">
        <v>0</v>
      </c>
      <c r="J1388" s="10" t="n">
        <v>0</v>
      </c>
      <c r="K1388" s="10" t="n">
        <v>0</v>
      </c>
      <c r="L1388" s="10" t="n">
        <v>0</v>
      </c>
      <c r="M1388" s="10" t="n">
        <v>2</v>
      </c>
      <c r="N1388" s="10" t="n">
        <v>0</v>
      </c>
      <c r="P1388" s="10" t="n">
        <v>49.6</v>
      </c>
      <c r="Q1388" s="10">
        <f>A1388&amp;"|"&amp;B1388&amp;"|"&amp;C1388&amp;"|"&amp;D1388&amp;"|"&amp;E1388&amp;"|"&amp;F1388&amp;"|"&amp;G1388&amp;"|"&amp;H1388&amp;"|"&amp;I1388&amp;"|"&amp;J1388&amp;"|"&amp;K1388&amp;"|"&amp;L1388&amp;"|"&amp;M1388&amp;"|"&amp;N1388&amp;"|"&amp;O1388&amp;"|"&amp;P1388</f>
        <v/>
      </c>
      <c r="R1388" s="10">
        <f>IF(COUNTIF($Q$2:$Q$1409,Q1388)&gt;1,IF(COUNTIF($Q$2:Q1388,Q1388)=1,"Exact Duplicate - Keep First","Exact Duplicate - Remove"),"Unique")</f>
        <v/>
      </c>
    </row>
    <row r="1389" ht="15" customHeight="1" s="11">
      <c r="A1389" s="10" t="inlineStr">
        <is>
          <t>USR-101388</t>
        </is>
      </c>
      <c r="B1389" s="14" t="n">
        <v>45662</v>
      </c>
      <c r="C1389" s="10" t="inlineStr">
        <is>
          <t>Treatment</t>
        </is>
      </c>
      <c r="D1389" s="10" t="inlineStr">
        <is>
          <t>North</t>
        </is>
      </c>
      <c r="E1389" s="10" t="inlineStr">
        <is>
          <t>Mobile</t>
        </is>
      </c>
      <c r="F1389" s="10" t="inlineStr">
        <is>
          <t>Referral</t>
        </is>
      </c>
      <c r="G1389" s="10" t="inlineStr">
        <is>
          <t>Free</t>
        </is>
      </c>
      <c r="H1389" s="10" t="n">
        <v>0</v>
      </c>
      <c r="I1389" s="10" t="n">
        <v>0</v>
      </c>
      <c r="J1389" s="10" t="n">
        <v>0</v>
      </c>
      <c r="K1389" s="10" t="n">
        <v>0</v>
      </c>
      <c r="L1389" s="10" t="n">
        <v>0</v>
      </c>
      <c r="M1389" s="10" t="n">
        <v>0</v>
      </c>
      <c r="N1389" s="10" t="n">
        <v>0</v>
      </c>
      <c r="P1389" s="10" t="n">
        <v>58.2</v>
      </c>
      <c r="Q1389" s="10">
        <f>A1389&amp;"|"&amp;B1389&amp;"|"&amp;C1389&amp;"|"&amp;D1389&amp;"|"&amp;E1389&amp;"|"&amp;F1389&amp;"|"&amp;G1389&amp;"|"&amp;H1389&amp;"|"&amp;I1389&amp;"|"&amp;J1389&amp;"|"&amp;K1389&amp;"|"&amp;L1389&amp;"|"&amp;M1389&amp;"|"&amp;N1389&amp;"|"&amp;O1389&amp;"|"&amp;P1389</f>
        <v/>
      </c>
      <c r="R1389" s="10">
        <f>IF(COUNTIF($Q$2:$Q$1409,Q1389)&gt;1,IF(COUNTIF($Q$2:Q1389,Q1389)=1,"Exact Duplicate - Keep First","Exact Duplicate - Remove"),"Unique")</f>
        <v/>
      </c>
    </row>
    <row r="1390" ht="15" customHeight="1" s="11">
      <c r="A1390" s="10" t="inlineStr">
        <is>
          <t>USR-101389</t>
        </is>
      </c>
      <c r="B1390" s="14" t="n">
        <v>45722</v>
      </c>
      <c r="C1390" s="10" t="inlineStr">
        <is>
          <t>Treatment</t>
        </is>
      </c>
      <c r="D1390" s="10" t="inlineStr">
        <is>
          <t>South</t>
        </is>
      </c>
      <c r="E1390" s="10" t="inlineStr">
        <is>
          <t>Desktop</t>
        </is>
      </c>
      <c r="F1390" s="10" t="inlineStr">
        <is>
          <t>Organic</t>
        </is>
      </c>
      <c r="G1390" s="10" t="inlineStr">
        <is>
          <t>Free</t>
        </is>
      </c>
      <c r="H1390" s="10" t="n">
        <v>1</v>
      </c>
      <c r="I1390" s="10" t="n">
        <v>0</v>
      </c>
      <c r="J1390" s="10" t="n">
        <v>0</v>
      </c>
      <c r="K1390" s="10" t="n">
        <v>0</v>
      </c>
      <c r="L1390" s="10" t="n">
        <v>0</v>
      </c>
      <c r="M1390" s="10" t="n">
        <v>0</v>
      </c>
      <c r="N1390" s="10" t="n">
        <v>0</v>
      </c>
      <c r="P1390" s="10" t="n">
        <v>66.8</v>
      </c>
      <c r="Q1390" s="10">
        <f>A1390&amp;"|"&amp;B1390&amp;"|"&amp;C1390&amp;"|"&amp;D1390&amp;"|"&amp;E1390&amp;"|"&amp;F1390&amp;"|"&amp;G1390&amp;"|"&amp;H1390&amp;"|"&amp;I1390&amp;"|"&amp;J1390&amp;"|"&amp;K1390&amp;"|"&amp;L1390&amp;"|"&amp;M1390&amp;"|"&amp;N1390&amp;"|"&amp;O1390&amp;"|"&amp;P1390</f>
        <v/>
      </c>
      <c r="R1390" s="10">
        <f>IF(COUNTIF($Q$2:$Q$1409,Q1390)&gt;1,IF(COUNTIF($Q$2:Q1390,Q1390)=1,"Exact Duplicate - Keep First","Exact Duplicate - Remove"),"Unique")</f>
        <v/>
      </c>
    </row>
    <row r="1391" ht="15" customHeight="1" s="11">
      <c r="A1391" s="10" t="inlineStr">
        <is>
          <t>USR-101390</t>
        </is>
      </c>
      <c r="B1391" s="14" t="n">
        <v>45765</v>
      </c>
      <c r="C1391" s="10" t="inlineStr">
        <is>
          <t>Treatment</t>
        </is>
      </c>
      <c r="D1391" s="10" t="inlineStr">
        <is>
          <t>North</t>
        </is>
      </c>
      <c r="E1391" s="10" t="inlineStr">
        <is>
          <t>Mobile</t>
        </is>
      </c>
      <c r="F1391" s="10" t="inlineStr">
        <is>
          <t>Paid Search</t>
        </is>
      </c>
      <c r="G1391" s="10" t="inlineStr">
        <is>
          <t>Free</t>
        </is>
      </c>
      <c r="H1391" s="10" t="n">
        <v>1</v>
      </c>
      <c r="I1391" s="10" t="n">
        <v>0</v>
      </c>
      <c r="J1391" s="10" t="n">
        <v>0</v>
      </c>
      <c r="K1391" s="10" t="n">
        <v>0</v>
      </c>
      <c r="L1391" s="10" t="n">
        <v>0</v>
      </c>
      <c r="M1391" s="10" t="n">
        <v>3</v>
      </c>
      <c r="N1391" s="10" t="n">
        <v>0</v>
      </c>
      <c r="P1391" s="10" t="n">
        <v>58.3</v>
      </c>
      <c r="Q1391" s="10">
        <f>A1391&amp;"|"&amp;B1391&amp;"|"&amp;C1391&amp;"|"&amp;D1391&amp;"|"&amp;E1391&amp;"|"&amp;F1391&amp;"|"&amp;G1391&amp;"|"&amp;H1391&amp;"|"&amp;I1391&amp;"|"&amp;J1391&amp;"|"&amp;K1391&amp;"|"&amp;L1391&amp;"|"&amp;M1391&amp;"|"&amp;N1391&amp;"|"&amp;O1391&amp;"|"&amp;P1391</f>
        <v/>
      </c>
      <c r="R1391" s="10">
        <f>IF(COUNTIF($Q$2:$Q$1409,Q1391)&gt;1,IF(COUNTIF($Q$2:Q1391,Q1391)=1,"Exact Duplicate - Keep First","Exact Duplicate - Remove"),"Unique")</f>
        <v/>
      </c>
    </row>
    <row r="1392" ht="15" customHeight="1" s="11">
      <c r="A1392" s="10" t="inlineStr">
        <is>
          <t>USR-101391</t>
        </is>
      </c>
      <c r="B1392" s="14" t="n">
        <v>45762</v>
      </c>
      <c r="C1392" s="10" t="inlineStr">
        <is>
          <t>Treatment</t>
        </is>
      </c>
      <c r="D1392" s="10" t="inlineStr">
        <is>
          <t>West</t>
        </is>
      </c>
      <c r="E1392" s="10" t="inlineStr">
        <is>
          <t>Mobile</t>
        </is>
      </c>
      <c r="F1392" s="10" t="inlineStr">
        <is>
          <t>Organic</t>
        </is>
      </c>
      <c r="G1392" s="10" t="inlineStr">
        <is>
          <t>Basic</t>
        </is>
      </c>
      <c r="H1392" s="10" t="n">
        <v>1</v>
      </c>
      <c r="I1392" s="10" t="n">
        <v>1</v>
      </c>
      <c r="J1392" s="10" t="n">
        <v>1</v>
      </c>
      <c r="K1392" s="10" t="n">
        <v>0</v>
      </c>
      <c r="L1392" s="10" t="n">
        <v>0</v>
      </c>
      <c r="M1392" s="10" t="n">
        <v>0</v>
      </c>
      <c r="N1392" s="10" t="n">
        <v>0</v>
      </c>
      <c r="P1392" s="10" t="n">
        <v>38.5</v>
      </c>
      <c r="Q1392" s="10">
        <f>A1392&amp;"|"&amp;B1392&amp;"|"&amp;C1392&amp;"|"&amp;D1392&amp;"|"&amp;E1392&amp;"|"&amp;F1392&amp;"|"&amp;G1392&amp;"|"&amp;H1392&amp;"|"&amp;I1392&amp;"|"&amp;J1392&amp;"|"&amp;K1392&amp;"|"&amp;L1392&amp;"|"&amp;M1392&amp;"|"&amp;N1392&amp;"|"&amp;O1392&amp;"|"&amp;P1392</f>
        <v/>
      </c>
      <c r="R1392" s="10">
        <f>IF(COUNTIF($Q$2:$Q$1409,Q1392)&gt;1,IF(COUNTIF($Q$2:Q1392,Q1392)=1,"Exact Duplicate - Keep First","Exact Duplicate - Remove"),"Unique")</f>
        <v/>
      </c>
    </row>
    <row r="1393" ht="15" customHeight="1" s="11">
      <c r="A1393" s="10" t="inlineStr">
        <is>
          <t>USR-101392</t>
        </is>
      </c>
      <c r="B1393" s="14" t="n">
        <v>45698</v>
      </c>
      <c r="C1393" s="10" t="inlineStr">
        <is>
          <t>Treatment</t>
        </is>
      </c>
      <c r="D1393" s="10" t="inlineStr">
        <is>
          <t>East</t>
        </is>
      </c>
      <c r="E1393" s="10" t="inlineStr">
        <is>
          <t>Mobile</t>
        </is>
      </c>
      <c r="F1393" s="10" t="inlineStr">
        <is>
          <t>Paid Search</t>
        </is>
      </c>
      <c r="G1393" s="10" t="inlineStr">
        <is>
          <t>Free</t>
        </is>
      </c>
      <c r="H1393" s="10" t="n">
        <v>1</v>
      </c>
      <c r="I1393" s="10" t="n">
        <v>0</v>
      </c>
      <c r="J1393" s="10" t="n">
        <v>0</v>
      </c>
      <c r="K1393" s="10" t="n">
        <v>0</v>
      </c>
      <c r="L1393" s="10" t="n">
        <v>0</v>
      </c>
      <c r="M1393" s="10" t="n">
        <v>0</v>
      </c>
      <c r="N1393" s="10" t="n">
        <v>0</v>
      </c>
      <c r="P1393" s="10" t="n">
        <v>76.90000000000001</v>
      </c>
      <c r="Q1393" s="10">
        <f>A1393&amp;"|"&amp;B1393&amp;"|"&amp;C1393&amp;"|"&amp;D1393&amp;"|"&amp;E1393&amp;"|"&amp;F1393&amp;"|"&amp;G1393&amp;"|"&amp;H1393&amp;"|"&amp;I1393&amp;"|"&amp;J1393&amp;"|"&amp;K1393&amp;"|"&amp;L1393&amp;"|"&amp;M1393&amp;"|"&amp;N1393&amp;"|"&amp;O1393&amp;"|"&amp;P1393</f>
        <v/>
      </c>
      <c r="R1393" s="10">
        <f>IF(COUNTIF($Q$2:$Q$1409,Q1393)&gt;1,IF(COUNTIF($Q$2:Q1393,Q1393)=1,"Exact Duplicate - Keep First","Exact Duplicate - Remove"),"Unique")</f>
        <v/>
      </c>
    </row>
    <row r="1394" ht="15" customHeight="1" s="11">
      <c r="A1394" s="10" t="inlineStr">
        <is>
          <t>USR-101393</t>
        </is>
      </c>
      <c r="B1394" s="14" t="n">
        <v>45785</v>
      </c>
      <c r="C1394" s="10" t="inlineStr">
        <is>
          <t>Treatment</t>
        </is>
      </c>
      <c r="D1394" s="10" t="inlineStr">
        <is>
          <t>East</t>
        </is>
      </c>
      <c r="E1394" s="10" t="inlineStr">
        <is>
          <t>Mobile</t>
        </is>
      </c>
      <c r="F1394" s="10" t="inlineStr">
        <is>
          <t>Organic</t>
        </is>
      </c>
      <c r="G1394" s="10" t="inlineStr">
        <is>
          <t>Free</t>
        </is>
      </c>
      <c r="H1394" s="10" t="n">
        <v>1</v>
      </c>
      <c r="I1394" s="10" t="n">
        <v>0</v>
      </c>
      <c r="J1394" s="10" t="n">
        <v>0</v>
      </c>
      <c r="K1394" s="10" t="n">
        <v>0</v>
      </c>
      <c r="L1394" s="10" t="n">
        <v>0</v>
      </c>
      <c r="M1394" s="10" t="n">
        <v>0</v>
      </c>
      <c r="N1394" s="10" t="n">
        <v>0</v>
      </c>
      <c r="P1394" s="10" t="n">
        <v>54</v>
      </c>
      <c r="Q1394" s="10">
        <f>A1394&amp;"|"&amp;B1394&amp;"|"&amp;C1394&amp;"|"&amp;D1394&amp;"|"&amp;E1394&amp;"|"&amp;F1394&amp;"|"&amp;G1394&amp;"|"&amp;H1394&amp;"|"&amp;I1394&amp;"|"&amp;J1394&amp;"|"&amp;K1394&amp;"|"&amp;L1394&amp;"|"&amp;M1394&amp;"|"&amp;N1394&amp;"|"&amp;O1394&amp;"|"&amp;P1394</f>
        <v/>
      </c>
      <c r="R1394" s="10">
        <f>IF(COUNTIF($Q$2:$Q$1409,Q1394)&gt;1,IF(COUNTIF($Q$2:Q1394,Q1394)=1,"Exact Duplicate - Keep First","Exact Duplicate - Remove"),"Unique")</f>
        <v/>
      </c>
    </row>
    <row r="1395" ht="15" customHeight="1" s="11">
      <c r="A1395" s="10" t="inlineStr">
        <is>
          <t>USR-101394</t>
        </is>
      </c>
      <c r="B1395" s="14" t="n">
        <v>45805</v>
      </c>
      <c r="C1395" s="10" t="inlineStr">
        <is>
          <t>Treatment</t>
        </is>
      </c>
      <c r="D1395" s="10" t="inlineStr">
        <is>
          <t>East</t>
        </is>
      </c>
      <c r="E1395" s="10" t="inlineStr">
        <is>
          <t>Tablet</t>
        </is>
      </c>
      <c r="F1395" s="10" t="inlineStr">
        <is>
          <t>Organic</t>
        </is>
      </c>
      <c r="G1395" s="10" t="inlineStr">
        <is>
          <t>Free</t>
        </is>
      </c>
      <c r="H1395" s="10" t="n">
        <v>1</v>
      </c>
      <c r="I1395" s="10" t="n">
        <v>0</v>
      </c>
      <c r="J1395" s="10" t="n">
        <v>0</v>
      </c>
      <c r="K1395" s="10" t="n">
        <v>0</v>
      </c>
      <c r="L1395" s="10" t="n">
        <v>0</v>
      </c>
      <c r="M1395" s="10" t="n">
        <v>0</v>
      </c>
      <c r="N1395" s="10" t="n">
        <v>0</v>
      </c>
      <c r="P1395" s="10" t="n">
        <v>70.59999999999999</v>
      </c>
      <c r="Q1395" s="10">
        <f>A1395&amp;"|"&amp;B1395&amp;"|"&amp;C1395&amp;"|"&amp;D1395&amp;"|"&amp;E1395&amp;"|"&amp;F1395&amp;"|"&amp;G1395&amp;"|"&amp;H1395&amp;"|"&amp;I1395&amp;"|"&amp;J1395&amp;"|"&amp;K1395&amp;"|"&amp;L1395&amp;"|"&amp;M1395&amp;"|"&amp;N1395&amp;"|"&amp;O1395&amp;"|"&amp;P1395</f>
        <v/>
      </c>
      <c r="R1395" s="10">
        <f>IF(COUNTIF($Q$2:$Q$1409,Q1395)&gt;1,IF(COUNTIF($Q$2:Q1395,Q1395)=1,"Exact Duplicate - Keep First","Exact Duplicate - Remove"),"Unique")</f>
        <v/>
      </c>
    </row>
    <row r="1396" ht="15" customHeight="1" s="11">
      <c r="A1396" s="10" t="inlineStr">
        <is>
          <t>USR-101395</t>
        </is>
      </c>
      <c r="B1396" s="14" t="n">
        <v>45772</v>
      </c>
      <c r="C1396" s="10" t="inlineStr">
        <is>
          <t>Treatment</t>
        </is>
      </c>
      <c r="D1396" s="10" t="inlineStr">
        <is>
          <t>North</t>
        </is>
      </c>
      <c r="E1396" s="10" t="inlineStr">
        <is>
          <t>Tablet</t>
        </is>
      </c>
      <c r="F1396" s="10" t="inlineStr">
        <is>
          <t>Referral</t>
        </is>
      </c>
      <c r="G1396" s="10" t="inlineStr">
        <is>
          <t>Premium</t>
        </is>
      </c>
      <c r="H1396" s="10" t="n">
        <v>1</v>
      </c>
      <c r="I1396" s="10" t="n">
        <v>1</v>
      </c>
      <c r="J1396" s="10" t="n">
        <v>1</v>
      </c>
      <c r="K1396" s="10" t="n">
        <v>0</v>
      </c>
      <c r="L1396" s="10" t="n">
        <v>0</v>
      </c>
      <c r="M1396" s="10" t="n">
        <v>1</v>
      </c>
      <c r="N1396" s="10" t="n">
        <v>0</v>
      </c>
      <c r="P1396" s="10" t="n">
        <v>69.40000000000001</v>
      </c>
      <c r="Q1396" s="10">
        <f>A1396&amp;"|"&amp;B1396&amp;"|"&amp;C1396&amp;"|"&amp;D1396&amp;"|"&amp;E1396&amp;"|"&amp;F1396&amp;"|"&amp;G1396&amp;"|"&amp;H1396&amp;"|"&amp;I1396&amp;"|"&amp;J1396&amp;"|"&amp;K1396&amp;"|"&amp;L1396&amp;"|"&amp;M1396&amp;"|"&amp;N1396&amp;"|"&amp;O1396&amp;"|"&amp;P1396</f>
        <v/>
      </c>
      <c r="R1396" s="10">
        <f>IF(COUNTIF($Q$2:$Q$1409,Q1396)&gt;1,IF(COUNTIF($Q$2:Q1396,Q1396)=1,"Exact Duplicate - Keep First","Exact Duplicate - Remove"),"Unique")</f>
        <v/>
      </c>
    </row>
    <row r="1397" ht="15" customHeight="1" s="11">
      <c r="A1397" s="10" t="inlineStr">
        <is>
          <t>USR-101396</t>
        </is>
      </c>
      <c r="B1397" s="14" t="n">
        <v>45699</v>
      </c>
      <c r="C1397" s="10" t="inlineStr">
        <is>
          <t>Treatment</t>
        </is>
      </c>
      <c r="D1397" s="10" t="inlineStr">
        <is>
          <t>South</t>
        </is>
      </c>
      <c r="E1397" s="10" t="inlineStr">
        <is>
          <t>Mobile</t>
        </is>
      </c>
      <c r="G1397" s="10" t="inlineStr">
        <is>
          <t>Premium</t>
        </is>
      </c>
      <c r="H1397" s="10" t="n">
        <v>1</v>
      </c>
      <c r="I1397" s="10" t="n">
        <v>1</v>
      </c>
      <c r="J1397" s="10" t="n">
        <v>1</v>
      </c>
      <c r="K1397" s="10" t="n">
        <v>1</v>
      </c>
      <c r="L1397" s="10" t="n">
        <v>1009.9</v>
      </c>
      <c r="M1397" s="10" t="n">
        <v>0</v>
      </c>
      <c r="N1397" s="10" t="n">
        <v>0</v>
      </c>
      <c r="O1397" s="10" t="n">
        <v>6</v>
      </c>
      <c r="P1397" s="10" t="n">
        <v>89.7</v>
      </c>
      <c r="Q1397" s="10">
        <f>A1397&amp;"|"&amp;B1397&amp;"|"&amp;C1397&amp;"|"&amp;D1397&amp;"|"&amp;E1397&amp;"|"&amp;F1397&amp;"|"&amp;G1397&amp;"|"&amp;H1397&amp;"|"&amp;I1397&amp;"|"&amp;J1397&amp;"|"&amp;K1397&amp;"|"&amp;L1397&amp;"|"&amp;M1397&amp;"|"&amp;N1397&amp;"|"&amp;O1397&amp;"|"&amp;P1397</f>
        <v/>
      </c>
      <c r="R1397" s="10">
        <f>IF(COUNTIF($Q$2:$Q$1409,Q1397)&gt;1,IF(COUNTIF($Q$2:Q1397,Q1397)=1,"Exact Duplicate - Keep First","Exact Duplicate - Remove"),"Unique")</f>
        <v/>
      </c>
    </row>
    <row r="1398" ht="15" customHeight="1" s="11">
      <c r="A1398" s="10" t="inlineStr">
        <is>
          <t>USR-101397</t>
        </is>
      </c>
      <c r="B1398" s="14" t="n">
        <v>45761</v>
      </c>
      <c r="C1398" s="10" t="inlineStr">
        <is>
          <t>Treatment</t>
        </is>
      </c>
      <c r="D1398" s="10" t="inlineStr">
        <is>
          <t>West</t>
        </is>
      </c>
      <c r="E1398" s="10" t="inlineStr">
        <is>
          <t>Mobile</t>
        </is>
      </c>
      <c r="F1398" s="10" t="inlineStr">
        <is>
          <t>Organic</t>
        </is>
      </c>
      <c r="G1398" s="10" t="inlineStr">
        <is>
          <t>Free</t>
        </is>
      </c>
      <c r="H1398" s="10" t="n">
        <v>1</v>
      </c>
      <c r="I1398" s="10" t="n">
        <v>0</v>
      </c>
      <c r="J1398" s="10" t="n">
        <v>0</v>
      </c>
      <c r="K1398" s="10" t="n">
        <v>0</v>
      </c>
      <c r="L1398" s="10" t="n">
        <v>0</v>
      </c>
      <c r="M1398" s="10" t="n">
        <v>0</v>
      </c>
      <c r="N1398" s="10" t="n">
        <v>0</v>
      </c>
      <c r="P1398" s="10" t="n">
        <v>62.4</v>
      </c>
      <c r="Q1398" s="10">
        <f>A1398&amp;"|"&amp;B1398&amp;"|"&amp;C1398&amp;"|"&amp;D1398&amp;"|"&amp;E1398&amp;"|"&amp;F1398&amp;"|"&amp;G1398&amp;"|"&amp;H1398&amp;"|"&amp;I1398&amp;"|"&amp;J1398&amp;"|"&amp;K1398&amp;"|"&amp;L1398&amp;"|"&amp;M1398&amp;"|"&amp;N1398&amp;"|"&amp;O1398&amp;"|"&amp;P1398</f>
        <v/>
      </c>
      <c r="R1398" s="10">
        <f>IF(COUNTIF($Q$2:$Q$1409,Q1398)&gt;1,IF(COUNTIF($Q$2:Q1398,Q1398)=1,"Exact Duplicate - Keep First","Exact Duplicate - Remove"),"Unique")</f>
        <v/>
      </c>
    </row>
    <row r="1399" ht="15" customHeight="1" s="11">
      <c r="A1399" s="10" t="inlineStr">
        <is>
          <t>USR-101398</t>
        </is>
      </c>
      <c r="B1399" s="14" t="n">
        <v>45692</v>
      </c>
      <c r="C1399" s="10" t="inlineStr">
        <is>
          <t>Treatment</t>
        </is>
      </c>
      <c r="D1399" s="10" t="inlineStr">
        <is>
          <t>West</t>
        </is>
      </c>
      <c r="E1399" s="10" t="inlineStr">
        <is>
          <t>Tablet</t>
        </is>
      </c>
      <c r="F1399" s="10" t="inlineStr">
        <is>
          <t>Organic</t>
        </is>
      </c>
      <c r="G1399" s="10" t="inlineStr">
        <is>
          <t>Premium</t>
        </is>
      </c>
      <c r="H1399" s="10" t="n">
        <v>0</v>
      </c>
      <c r="I1399" s="10" t="n">
        <v>0</v>
      </c>
      <c r="J1399" s="10" t="n">
        <v>0</v>
      </c>
      <c r="K1399" s="10" t="n">
        <v>0</v>
      </c>
      <c r="L1399" s="10" t="n">
        <v>0</v>
      </c>
      <c r="M1399" s="10" t="n">
        <v>0</v>
      </c>
      <c r="N1399" s="10" t="n">
        <v>0</v>
      </c>
      <c r="P1399" s="10" t="n">
        <v>67.3</v>
      </c>
      <c r="Q1399" s="10">
        <f>A1399&amp;"|"&amp;B1399&amp;"|"&amp;C1399&amp;"|"&amp;D1399&amp;"|"&amp;E1399&amp;"|"&amp;F1399&amp;"|"&amp;G1399&amp;"|"&amp;H1399&amp;"|"&amp;I1399&amp;"|"&amp;J1399&amp;"|"&amp;K1399&amp;"|"&amp;L1399&amp;"|"&amp;M1399&amp;"|"&amp;N1399&amp;"|"&amp;O1399&amp;"|"&amp;P1399</f>
        <v/>
      </c>
      <c r="R1399" s="10">
        <f>IF(COUNTIF($Q$2:$Q$1409,Q1399)&gt;1,IF(COUNTIF($Q$2:Q1399,Q1399)=1,"Exact Duplicate - Keep First","Exact Duplicate - Remove"),"Unique")</f>
        <v/>
      </c>
    </row>
    <row r="1400" ht="15" customHeight="1" s="11">
      <c r="A1400" s="10" t="inlineStr">
        <is>
          <t>USR-101399</t>
        </is>
      </c>
      <c r="B1400" s="14" t="n">
        <v>45738</v>
      </c>
      <c r="C1400" s="10" t="inlineStr">
        <is>
          <t>Treatment</t>
        </is>
      </c>
      <c r="D1400" s="10" t="inlineStr">
        <is>
          <t>East</t>
        </is>
      </c>
      <c r="E1400" s="10" t="inlineStr">
        <is>
          <t>Mobile</t>
        </is>
      </c>
      <c r="F1400" s="10" t="inlineStr">
        <is>
          <t>Referral</t>
        </is>
      </c>
      <c r="G1400" s="10" t="inlineStr">
        <is>
          <t>Free</t>
        </is>
      </c>
      <c r="H1400" s="10" t="n">
        <v>1</v>
      </c>
      <c r="I1400" s="10" t="n">
        <v>0</v>
      </c>
      <c r="J1400" s="10" t="n">
        <v>0</v>
      </c>
      <c r="K1400" s="10" t="n">
        <v>0</v>
      </c>
      <c r="L1400" s="10" t="n">
        <v>0</v>
      </c>
      <c r="M1400" s="10" t="n">
        <v>0</v>
      </c>
      <c r="N1400" s="10" t="n">
        <v>0</v>
      </c>
      <c r="P1400" s="10" t="n">
        <v>54.9</v>
      </c>
      <c r="Q1400" s="10">
        <f>A1400&amp;"|"&amp;B1400&amp;"|"&amp;C1400&amp;"|"&amp;D1400&amp;"|"&amp;E1400&amp;"|"&amp;F1400&amp;"|"&amp;G1400&amp;"|"&amp;H1400&amp;"|"&amp;I1400&amp;"|"&amp;J1400&amp;"|"&amp;K1400&amp;"|"&amp;L1400&amp;"|"&amp;M1400&amp;"|"&amp;N1400&amp;"|"&amp;O1400&amp;"|"&amp;P1400</f>
        <v/>
      </c>
      <c r="R1400" s="10">
        <f>IF(COUNTIF($Q$2:$Q$1409,Q1400)&gt;1,IF(COUNTIF($Q$2:Q1400,Q1400)=1,"Exact Duplicate - Keep First","Exact Duplicate - Remove"),"Unique")</f>
        <v/>
      </c>
    </row>
    <row r="1401" ht="15" customHeight="1" s="11">
      <c r="A1401" s="10" t="inlineStr">
        <is>
          <t>USR-101400</t>
        </is>
      </c>
      <c r="B1401" s="14" t="n">
        <v>45765</v>
      </c>
      <c r="C1401" s="10" t="inlineStr">
        <is>
          <t>Treatment</t>
        </is>
      </c>
      <c r="D1401" s="10" t="inlineStr">
        <is>
          <t>East</t>
        </is>
      </c>
      <c r="E1401" s="10" t="inlineStr">
        <is>
          <t>Desktop</t>
        </is>
      </c>
      <c r="F1401" s="10" t="inlineStr">
        <is>
          <t>Social</t>
        </is>
      </c>
      <c r="G1401" s="10" t="inlineStr">
        <is>
          <t>Free</t>
        </is>
      </c>
      <c r="H1401" s="10" t="n">
        <v>0</v>
      </c>
      <c r="I1401" s="10" t="n">
        <v>0</v>
      </c>
      <c r="J1401" s="10" t="n">
        <v>0</v>
      </c>
      <c r="K1401" s="10" t="n">
        <v>0</v>
      </c>
      <c r="L1401" s="10" t="n">
        <v>0</v>
      </c>
      <c r="M1401" s="10" t="n">
        <v>0</v>
      </c>
      <c r="N1401" s="10" t="n">
        <v>0</v>
      </c>
      <c r="P1401" s="10" t="n">
        <v>55.7</v>
      </c>
      <c r="Q1401" s="10">
        <f>A1401&amp;"|"&amp;B1401&amp;"|"&amp;C1401&amp;"|"&amp;D1401&amp;"|"&amp;E1401&amp;"|"&amp;F1401&amp;"|"&amp;G1401&amp;"|"&amp;H1401&amp;"|"&amp;I1401&amp;"|"&amp;J1401&amp;"|"&amp;K1401&amp;"|"&amp;L1401&amp;"|"&amp;M1401&amp;"|"&amp;N1401&amp;"|"&amp;O1401&amp;"|"&amp;P1401</f>
        <v/>
      </c>
      <c r="R1401" s="10">
        <f>IF(COUNTIF($Q$2:$Q$1409,Q1401)&gt;1,IF(COUNTIF($Q$2:Q1401,Q1401)=1,"Exact Duplicate - Keep First","Exact Duplicate - Remove"),"Unique")</f>
        <v/>
      </c>
    </row>
    <row r="1402" ht="15" customHeight="1" s="11">
      <c r="A1402" s="10" t="inlineStr">
        <is>
          <t>USR-100917</t>
        </is>
      </c>
      <c r="B1402" s="14" t="n">
        <v>45711</v>
      </c>
      <c r="C1402" s="10" t="inlineStr">
        <is>
          <t>Treatment</t>
        </is>
      </c>
      <c r="D1402" s="10" t="inlineStr">
        <is>
          <t>West</t>
        </is>
      </c>
      <c r="E1402" s="10" t="inlineStr">
        <is>
          <t>Desktop</t>
        </is>
      </c>
      <c r="F1402" s="10" t="inlineStr">
        <is>
          <t>Social</t>
        </is>
      </c>
      <c r="G1402" s="10" t="inlineStr">
        <is>
          <t>Basic</t>
        </is>
      </c>
      <c r="H1402" s="10" t="n">
        <v>1</v>
      </c>
      <c r="I1402" s="10" t="n">
        <v>1</v>
      </c>
      <c r="J1402" s="10" t="n">
        <v>1</v>
      </c>
      <c r="K1402" s="10" t="n">
        <v>0</v>
      </c>
      <c r="L1402" s="10" t="n">
        <v>0</v>
      </c>
      <c r="M1402" s="10" t="n">
        <v>0</v>
      </c>
      <c r="N1402" s="10" t="n">
        <v>0</v>
      </c>
      <c r="P1402" s="10" t="n">
        <v>70.59999999999999</v>
      </c>
      <c r="Q1402" s="10">
        <f>A1402&amp;"|"&amp;B1402&amp;"|"&amp;C1402&amp;"|"&amp;D1402&amp;"|"&amp;E1402&amp;"|"&amp;F1402&amp;"|"&amp;G1402&amp;"|"&amp;H1402&amp;"|"&amp;I1402&amp;"|"&amp;J1402&amp;"|"&amp;K1402&amp;"|"&amp;L1402&amp;"|"&amp;M1402&amp;"|"&amp;N1402&amp;"|"&amp;O1402&amp;"|"&amp;P1402</f>
        <v/>
      </c>
      <c r="R1402" s="10">
        <f>IF(COUNTIF($Q$2:$Q$1409,Q1402)&gt;1,IF(COUNTIF($Q$2:Q1402,Q1402)=1,"Exact Duplicate - Keep First","Exact Duplicate - Remove"),"Unique")</f>
        <v/>
      </c>
    </row>
    <row r="1403" ht="15" customHeight="1" s="11">
      <c r="A1403" s="10" t="inlineStr">
        <is>
          <t>USR-100433</t>
        </is>
      </c>
      <c r="B1403" s="14" t="n">
        <v>45691</v>
      </c>
      <c r="C1403" s="10" t="inlineStr">
        <is>
          <t>Control</t>
        </is>
      </c>
      <c r="D1403" s="10" t="inlineStr">
        <is>
          <t>North</t>
        </is>
      </c>
      <c r="E1403" s="10" t="inlineStr">
        <is>
          <t>Tablet</t>
        </is>
      </c>
      <c r="F1403" s="10" t="inlineStr">
        <is>
          <t>Email</t>
        </is>
      </c>
      <c r="G1403" s="10" t="inlineStr">
        <is>
          <t>Basic</t>
        </is>
      </c>
      <c r="H1403" s="10" t="n">
        <v>1</v>
      </c>
      <c r="I1403" s="10" t="n">
        <v>0</v>
      </c>
      <c r="J1403" s="10" t="n">
        <v>0</v>
      </c>
      <c r="K1403" s="10" t="n">
        <v>0</v>
      </c>
      <c r="L1403" s="10" t="n">
        <v>0</v>
      </c>
      <c r="M1403" s="10" t="n">
        <v>0</v>
      </c>
      <c r="N1403" s="10" t="n">
        <v>0</v>
      </c>
      <c r="P1403" s="10" t="n">
        <v>60.9</v>
      </c>
      <c r="Q1403" s="10">
        <f>A1403&amp;"|"&amp;B1403&amp;"|"&amp;C1403&amp;"|"&amp;D1403&amp;"|"&amp;E1403&amp;"|"&amp;F1403&amp;"|"&amp;G1403&amp;"|"&amp;H1403&amp;"|"&amp;I1403&amp;"|"&amp;J1403&amp;"|"&amp;K1403&amp;"|"&amp;L1403&amp;"|"&amp;M1403&amp;"|"&amp;N1403&amp;"|"&amp;O1403&amp;"|"&amp;P1403</f>
        <v/>
      </c>
      <c r="R1403" s="10">
        <f>IF(COUNTIF($Q$2:$Q$1409,Q1403)&gt;1,IF(COUNTIF($Q$2:Q1403,Q1403)=1,"Exact Duplicate - Keep First","Exact Duplicate - Remove"),"Unique")</f>
        <v/>
      </c>
    </row>
    <row r="1404" ht="15" customHeight="1" s="11">
      <c r="A1404" s="10" t="inlineStr">
        <is>
          <t>USR-101362</t>
        </is>
      </c>
      <c r="B1404" s="14" t="n">
        <v>45800</v>
      </c>
      <c r="C1404" s="10" t="inlineStr">
        <is>
          <t>Treatment</t>
        </is>
      </c>
      <c r="D1404" s="10" t="inlineStr">
        <is>
          <t>East</t>
        </is>
      </c>
      <c r="E1404" s="10" t="inlineStr">
        <is>
          <t>Mobile</t>
        </is>
      </c>
      <c r="F1404" s="10" t="inlineStr">
        <is>
          <t>Organic</t>
        </is>
      </c>
      <c r="G1404" s="10" t="inlineStr">
        <is>
          <t>Basic</t>
        </is>
      </c>
      <c r="H1404" s="10" t="n">
        <v>1</v>
      </c>
      <c r="I1404" s="10" t="n">
        <v>0</v>
      </c>
      <c r="J1404" s="10" t="n">
        <v>0</v>
      </c>
      <c r="K1404" s="10" t="n">
        <v>0</v>
      </c>
      <c r="L1404" s="10" t="n">
        <v>0</v>
      </c>
      <c r="M1404" s="10" t="n">
        <v>0</v>
      </c>
      <c r="N1404" s="10" t="n">
        <v>0</v>
      </c>
      <c r="P1404" s="10" t="n">
        <v>33.6</v>
      </c>
      <c r="Q1404" s="10">
        <f>A1404&amp;"|"&amp;B1404&amp;"|"&amp;C1404&amp;"|"&amp;D1404&amp;"|"&amp;E1404&amp;"|"&amp;F1404&amp;"|"&amp;G1404&amp;"|"&amp;H1404&amp;"|"&amp;I1404&amp;"|"&amp;J1404&amp;"|"&amp;K1404&amp;"|"&amp;L1404&amp;"|"&amp;M1404&amp;"|"&amp;N1404&amp;"|"&amp;O1404&amp;"|"&amp;P1404</f>
        <v/>
      </c>
      <c r="R1404" s="10">
        <f>IF(COUNTIF($Q$2:$Q$1409,Q1404)&gt;1,IF(COUNTIF($Q$2:Q1404,Q1404)=1,"Exact Duplicate - Keep First","Exact Duplicate - Remove"),"Unique")</f>
        <v/>
      </c>
    </row>
    <row r="1405" ht="15" customHeight="1" s="11">
      <c r="A1405" s="10" t="inlineStr">
        <is>
          <t>USR-100096</t>
        </is>
      </c>
      <c r="B1405" s="14" t="n">
        <v>45693</v>
      </c>
      <c r="C1405" s="10" t="inlineStr">
        <is>
          <t>Control</t>
        </is>
      </c>
      <c r="D1405" s="10" t="inlineStr">
        <is>
          <t>East</t>
        </is>
      </c>
      <c r="E1405" s="10" t="inlineStr">
        <is>
          <t>Mobile</t>
        </is>
      </c>
      <c r="F1405" s="10" t="inlineStr">
        <is>
          <t>Social</t>
        </is>
      </c>
      <c r="G1405" s="10" t="inlineStr">
        <is>
          <t>Free</t>
        </is>
      </c>
      <c r="H1405" s="10" t="n">
        <v>0</v>
      </c>
      <c r="I1405" s="10" t="n">
        <v>0</v>
      </c>
      <c r="J1405" s="10" t="n">
        <v>0</v>
      </c>
      <c r="K1405" s="10" t="n">
        <v>0</v>
      </c>
      <c r="L1405" s="10" t="n">
        <v>0</v>
      </c>
      <c r="M1405" s="10" t="n">
        <v>0</v>
      </c>
      <c r="N1405" s="10" t="n">
        <v>0</v>
      </c>
      <c r="P1405" s="10" t="n">
        <v>68</v>
      </c>
      <c r="Q1405" s="10">
        <f>A1405&amp;"|"&amp;B1405&amp;"|"&amp;C1405&amp;"|"&amp;D1405&amp;"|"&amp;E1405&amp;"|"&amp;F1405&amp;"|"&amp;G1405&amp;"|"&amp;H1405&amp;"|"&amp;I1405&amp;"|"&amp;J1405&amp;"|"&amp;K1405&amp;"|"&amp;L1405&amp;"|"&amp;M1405&amp;"|"&amp;N1405&amp;"|"&amp;O1405&amp;"|"&amp;P1405</f>
        <v/>
      </c>
      <c r="R1405" s="10">
        <f>IF(COUNTIF($Q$2:$Q$1409,Q1405)&gt;1,IF(COUNTIF($Q$2:Q1405,Q1405)=1,"Exact Duplicate - Keep First","Exact Duplicate - Remove"),"Unique")</f>
        <v/>
      </c>
    </row>
    <row r="1406" ht="15" customHeight="1" s="11">
      <c r="A1406" s="10" t="inlineStr">
        <is>
          <t>USR-101210</t>
        </is>
      </c>
      <c r="B1406" s="14" t="n">
        <v>45712</v>
      </c>
      <c r="C1406" s="10" t="inlineStr">
        <is>
          <t>Treatment</t>
        </is>
      </c>
      <c r="D1406" s="10" t="inlineStr">
        <is>
          <t>West</t>
        </is>
      </c>
      <c r="E1406" s="10" t="inlineStr">
        <is>
          <t>Mobile</t>
        </is>
      </c>
      <c r="F1406" s="10" t="inlineStr">
        <is>
          <t>Organic</t>
        </is>
      </c>
      <c r="G1406" s="10" t="inlineStr">
        <is>
          <t>Basic</t>
        </is>
      </c>
      <c r="H1406" s="10" t="n">
        <v>1</v>
      </c>
      <c r="I1406" s="10" t="n">
        <v>0</v>
      </c>
      <c r="J1406" s="10" t="n">
        <v>0</v>
      </c>
      <c r="K1406" s="10" t="n">
        <v>0</v>
      </c>
      <c r="L1406" s="10" t="n">
        <v>0</v>
      </c>
      <c r="M1406" s="10" t="n">
        <v>0</v>
      </c>
      <c r="N1406" s="10" t="n">
        <v>0</v>
      </c>
      <c r="P1406" s="10" t="n">
        <v>62</v>
      </c>
      <c r="Q1406" s="10">
        <f>A1406&amp;"|"&amp;B1406&amp;"|"&amp;C1406&amp;"|"&amp;D1406&amp;"|"&amp;E1406&amp;"|"&amp;F1406&amp;"|"&amp;G1406&amp;"|"&amp;H1406&amp;"|"&amp;I1406&amp;"|"&amp;J1406&amp;"|"&amp;K1406&amp;"|"&amp;L1406&amp;"|"&amp;M1406&amp;"|"&amp;N1406&amp;"|"&amp;O1406&amp;"|"&amp;P1406</f>
        <v/>
      </c>
      <c r="R1406" s="10">
        <f>IF(COUNTIF($Q$2:$Q$1409,Q1406)&gt;1,IF(COUNTIF($Q$2:Q1406,Q1406)=1,"Exact Duplicate - Keep First","Exact Duplicate - Remove"),"Unique")</f>
        <v/>
      </c>
    </row>
    <row r="1407" ht="15" customHeight="1" s="11">
      <c r="A1407" s="10" t="inlineStr">
        <is>
          <t>USR-101232</t>
        </is>
      </c>
      <c r="B1407" s="14" t="n">
        <v>45746</v>
      </c>
      <c r="C1407" s="10" t="inlineStr">
        <is>
          <t>Treatment</t>
        </is>
      </c>
      <c r="D1407" s="10" t="inlineStr">
        <is>
          <t>East</t>
        </is>
      </c>
      <c r="E1407" s="10" t="inlineStr">
        <is>
          <t>Mobile</t>
        </is>
      </c>
      <c r="F1407" s="10" t="inlineStr">
        <is>
          <t>Organic</t>
        </is>
      </c>
      <c r="G1407" s="10" t="inlineStr">
        <is>
          <t>Free</t>
        </is>
      </c>
      <c r="H1407" s="10" t="n">
        <v>1</v>
      </c>
      <c r="I1407" s="10" t="n">
        <v>1</v>
      </c>
      <c r="J1407" s="10" t="n">
        <v>1</v>
      </c>
      <c r="K1407" s="10" t="n">
        <v>0</v>
      </c>
      <c r="L1407" s="10" t="n">
        <v>0</v>
      </c>
      <c r="M1407" s="10" t="n">
        <v>1</v>
      </c>
      <c r="N1407" s="10" t="n">
        <v>0</v>
      </c>
      <c r="P1407" s="10" t="n">
        <v>72.5</v>
      </c>
      <c r="Q1407" s="10">
        <f>A1407&amp;"|"&amp;B1407&amp;"|"&amp;C1407&amp;"|"&amp;D1407&amp;"|"&amp;E1407&amp;"|"&amp;F1407&amp;"|"&amp;G1407&amp;"|"&amp;H1407&amp;"|"&amp;I1407&amp;"|"&amp;J1407&amp;"|"&amp;K1407&amp;"|"&amp;L1407&amp;"|"&amp;M1407&amp;"|"&amp;N1407&amp;"|"&amp;O1407&amp;"|"&amp;P1407</f>
        <v/>
      </c>
      <c r="R1407" s="10">
        <f>IF(COUNTIF($Q$2:$Q$1409,Q1407)&gt;1,IF(COUNTIF($Q$2:Q1407,Q1407)=1,"Exact Duplicate - Keep First","Exact Duplicate - Remove"),"Unique")</f>
        <v/>
      </c>
    </row>
    <row r="1408" ht="15" customHeight="1" s="11">
      <c r="A1408" s="10" t="inlineStr">
        <is>
          <t>USR-101059</t>
        </is>
      </c>
      <c r="B1408" s="14" t="n">
        <v>45793</v>
      </c>
      <c r="C1408" s="10" t="inlineStr">
        <is>
          <t>Treatment</t>
        </is>
      </c>
      <c r="D1408" s="10" t="inlineStr">
        <is>
          <t>South</t>
        </is>
      </c>
      <c r="E1408" s="10" t="inlineStr">
        <is>
          <t>Mobile</t>
        </is>
      </c>
      <c r="F1408" s="10" t="inlineStr">
        <is>
          <t>Organic</t>
        </is>
      </c>
      <c r="G1408" s="10" t="inlineStr">
        <is>
          <t>Free</t>
        </is>
      </c>
      <c r="H1408" s="10" t="n">
        <v>1</v>
      </c>
      <c r="I1408" s="10" t="n">
        <v>0</v>
      </c>
      <c r="J1408" s="10" t="n">
        <v>0</v>
      </c>
      <c r="K1408" s="10" t="n">
        <v>0</v>
      </c>
      <c r="L1408" s="10" t="n">
        <v>0</v>
      </c>
      <c r="M1408" s="10" t="n">
        <v>0</v>
      </c>
      <c r="N1408" s="10" t="n">
        <v>0</v>
      </c>
      <c r="P1408" s="10" t="n">
        <v>70.3</v>
      </c>
      <c r="Q1408" s="10">
        <f>A1408&amp;"|"&amp;B1408&amp;"|"&amp;C1408&amp;"|"&amp;D1408&amp;"|"&amp;E1408&amp;"|"&amp;F1408&amp;"|"&amp;G1408&amp;"|"&amp;H1408&amp;"|"&amp;I1408&amp;"|"&amp;J1408&amp;"|"&amp;K1408&amp;"|"&amp;L1408&amp;"|"&amp;M1408&amp;"|"&amp;N1408&amp;"|"&amp;O1408&amp;"|"&amp;P1408</f>
        <v/>
      </c>
      <c r="R1408" s="10">
        <f>IF(COUNTIF($Q$2:$Q$1409,Q1408)&gt;1,IF(COUNTIF($Q$2:Q1408,Q1408)=1,"Exact Duplicate - Keep First","Exact Duplicate - Remove"),"Unique")</f>
        <v/>
      </c>
    </row>
    <row r="1409" ht="15" customHeight="1" s="11">
      <c r="A1409" s="10" t="inlineStr">
        <is>
          <t>USR-100541</t>
        </is>
      </c>
      <c r="B1409" s="14" t="n">
        <v>45799</v>
      </c>
      <c r="C1409" s="10" t="inlineStr">
        <is>
          <t>Control</t>
        </is>
      </c>
      <c r="D1409" s="10" t="inlineStr">
        <is>
          <t>North</t>
        </is>
      </c>
      <c r="E1409" s="10" t="inlineStr">
        <is>
          <t>Mobile</t>
        </is>
      </c>
      <c r="F1409" s="10" t="inlineStr">
        <is>
          <t>Paid Search</t>
        </is>
      </c>
      <c r="G1409" s="10" t="inlineStr">
        <is>
          <t>Basic</t>
        </is>
      </c>
      <c r="H1409" s="10" t="n">
        <v>1</v>
      </c>
      <c r="I1409" s="10" t="n">
        <v>1</v>
      </c>
      <c r="J1409" s="10" t="n">
        <v>0</v>
      </c>
      <c r="K1409" s="10" t="n">
        <v>0</v>
      </c>
      <c r="L1409" s="10" t="n">
        <v>0</v>
      </c>
      <c r="M1409" s="10" t="n">
        <v>0</v>
      </c>
      <c r="N1409" s="10" t="n">
        <v>0</v>
      </c>
      <c r="P1409" s="10" t="n">
        <v>39.9</v>
      </c>
      <c r="Q1409" s="10">
        <f>A1409&amp;"|"&amp;B1409&amp;"|"&amp;C1409&amp;"|"&amp;D1409&amp;"|"&amp;E1409&amp;"|"&amp;F1409&amp;"|"&amp;G1409&amp;"|"&amp;H1409&amp;"|"&amp;I1409&amp;"|"&amp;J1409&amp;"|"&amp;K1409&amp;"|"&amp;L1409&amp;"|"&amp;M1409&amp;"|"&amp;N1409&amp;"|"&amp;O1409&amp;"|"&amp;P1409</f>
        <v/>
      </c>
      <c r="R1409" s="10">
        <f>IF(COUNTIF($Q$2:$Q$1409,Q1409)&gt;1,IF(COUNTIF($Q$2:Q1409,Q1409)=1,"Exact Duplicate - Keep First","Exact Duplicate - Remove"),"Unique")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10" min="1" max="1"/>
    <col width="16" customWidth="1" style="10" min="2" max="2"/>
    <col width="14" customWidth="1" style="10" min="3" max="3"/>
    <col width="12" customWidth="1" style="10" min="4" max="4"/>
  </cols>
  <sheetData>
    <row r="1" ht="15.75" customHeight="1" s="11">
      <c r="A1" s="15" t="inlineStr">
        <is>
          <t>Data Quality Checks – Campaign Experiment Data</t>
        </is>
      </c>
    </row>
    <row r="3" ht="15" customHeight="1" s="11">
      <c r="A3" s="16" t="inlineStr">
        <is>
          <t>1. Missing Value Summary</t>
        </is>
      </c>
    </row>
    <row r="4" ht="15" customHeight="1" s="11">
      <c r="A4" s="13" t="inlineStr">
        <is>
          <t>Column</t>
        </is>
      </c>
      <c r="B4" s="13" t="inlineStr">
        <is>
          <t>Total Rows</t>
        </is>
      </c>
      <c r="C4" s="13" t="inlineStr">
        <is>
          <t>Missing Count</t>
        </is>
      </c>
      <c r="D4" s="13" t="inlineStr">
        <is>
          <t>% Missing</t>
        </is>
      </c>
    </row>
    <row r="5" ht="15" customHeight="1" s="11">
      <c r="A5" s="10" t="inlineStr">
        <is>
          <t>user_id</t>
        </is>
      </c>
      <c r="B5" s="10">
        <f>COUNTA(raw_data!A$2:A$1409)+COUNTBLANK(raw_data!A$2:A$1409)</f>
        <v/>
      </c>
      <c r="C5" s="10">
        <f>COUNTBLANK(raw_data!A$2:A$1409)</f>
        <v/>
      </c>
      <c r="D5" s="17">
        <f>C5/B5</f>
        <v/>
      </c>
    </row>
    <row r="6" ht="15" customHeight="1" s="11">
      <c r="A6" s="10" t="inlineStr">
        <is>
          <t>signup_date</t>
        </is>
      </c>
      <c r="B6" s="10">
        <f>COUNTA(raw_data!B$2:B$1409)+COUNTBLANK(raw_data!B$2:B$1409)</f>
        <v/>
      </c>
      <c r="C6" s="10">
        <f>COUNTBLANK(raw_data!B$2:B$1409)</f>
        <v/>
      </c>
      <c r="D6" s="17">
        <f>C6/B6</f>
        <v/>
      </c>
    </row>
    <row r="7" ht="15" customHeight="1" s="11">
      <c r="A7" s="10" t="inlineStr">
        <is>
          <t>experiment_group</t>
        </is>
      </c>
      <c r="B7" s="10">
        <f>COUNTA(raw_data!C$2:C$1409)+COUNTBLANK(raw_data!C$2:C$1409)</f>
        <v/>
      </c>
      <c r="C7" s="10">
        <f>COUNTBLANK(raw_data!C$2:C$1409)</f>
        <v/>
      </c>
      <c r="D7" s="17">
        <f>C7/B7</f>
        <v/>
      </c>
    </row>
    <row r="8" ht="15" customHeight="1" s="11">
      <c r="A8" s="10" t="inlineStr">
        <is>
          <t>region</t>
        </is>
      </c>
      <c r="B8" s="10">
        <f>COUNTA(raw_data!D$2:D$1409)+COUNTBLANK(raw_data!D$2:D$1409)</f>
        <v/>
      </c>
      <c r="C8" s="10">
        <f>COUNTBLANK(raw_data!D$2:D$1409)</f>
        <v/>
      </c>
      <c r="D8" s="17">
        <f>C8/B8</f>
        <v/>
      </c>
    </row>
    <row r="9" ht="15" customHeight="1" s="11">
      <c r="A9" s="10" t="inlineStr">
        <is>
          <t>device_type</t>
        </is>
      </c>
      <c r="B9" s="10">
        <f>COUNTA(raw_data!E$2:E$1409)+COUNTBLANK(raw_data!E$2:E$1409)</f>
        <v/>
      </c>
      <c r="C9" s="10">
        <f>COUNTBLANK(raw_data!E$2:E$1409)</f>
        <v/>
      </c>
      <c r="D9" s="17">
        <f>C9/B9</f>
        <v/>
      </c>
    </row>
    <row r="10" ht="15" customHeight="1" s="11">
      <c r="A10" s="10" t="inlineStr">
        <is>
          <t>traffic_source</t>
        </is>
      </c>
      <c r="B10" s="10">
        <f>COUNTA(raw_data!F$2:F$1409)+COUNTBLANK(raw_data!F$2:F$1409)</f>
        <v/>
      </c>
      <c r="C10" s="10">
        <f>COUNTBLANK(raw_data!F$2:F$1409)</f>
        <v/>
      </c>
      <c r="D10" s="17">
        <f>C10/B10</f>
        <v/>
      </c>
    </row>
    <row r="11" ht="15" customHeight="1" s="11">
      <c r="A11" s="10" t="inlineStr">
        <is>
          <t>plan_type</t>
        </is>
      </c>
      <c r="B11" s="10">
        <f>COUNTA(raw_data!G$2:G$1409)+COUNTBLANK(raw_data!G$2:G$1409)</f>
        <v/>
      </c>
      <c r="C11" s="10">
        <f>COUNTBLANK(raw_data!G$2:G$1409)</f>
        <v/>
      </c>
      <c r="D11" s="17">
        <f>C11/B11</f>
        <v/>
      </c>
    </row>
    <row r="12" ht="15" customHeight="1" s="11">
      <c r="A12" s="10" t="inlineStr">
        <is>
          <t>visited_landing_page</t>
        </is>
      </c>
      <c r="B12" s="10">
        <f>COUNTA(raw_data!H$2:H$1409)+COUNTBLANK(raw_data!H$2:H$1409)</f>
        <v/>
      </c>
      <c r="C12" s="10">
        <f>COUNTBLANK(raw_data!H$2:H$1409)</f>
        <v/>
      </c>
      <c r="D12" s="17">
        <f>C12/B12</f>
        <v/>
      </c>
    </row>
    <row r="13" ht="15" customHeight="1" s="11">
      <c r="A13" s="10" t="inlineStr">
        <is>
          <t>started_trial</t>
        </is>
      </c>
      <c r="B13" s="10">
        <f>COUNTA(raw_data!I$2:I$1409)+COUNTBLANK(raw_data!I$2:I$1409)</f>
        <v/>
      </c>
      <c r="C13" s="10">
        <f>COUNTBLANK(raw_data!I$2:I$1409)</f>
        <v/>
      </c>
      <c r="D13" s="17">
        <f>C13/B13</f>
        <v/>
      </c>
    </row>
    <row r="14" ht="15" customHeight="1" s="11">
      <c r="A14" s="10" t="inlineStr">
        <is>
          <t>completed_onboarding</t>
        </is>
      </c>
      <c r="B14" s="10">
        <f>COUNTA(raw_data!J$2:J$1409)+COUNTBLANK(raw_data!J$2:J$1409)</f>
        <v/>
      </c>
      <c r="C14" s="10">
        <f>COUNTBLANK(raw_data!J$2:J$1409)</f>
        <v/>
      </c>
      <c r="D14" s="17">
        <f>C14/B14</f>
        <v/>
      </c>
    </row>
    <row r="15" ht="15" customHeight="1" s="11">
      <c r="A15" s="10" t="inlineStr">
        <is>
          <t>converted_to_paid</t>
        </is>
      </c>
      <c r="B15" s="10">
        <f>COUNTA(raw_data!K$2:K$1409)+COUNTBLANK(raw_data!K$2:K$1409)</f>
        <v/>
      </c>
      <c r="C15" s="10">
        <f>COUNTBLANK(raw_data!K$2:K$1409)</f>
        <v/>
      </c>
      <c r="D15" s="17">
        <f>C15/B15</f>
        <v/>
      </c>
    </row>
    <row r="16" ht="15" customHeight="1" s="11">
      <c r="A16" s="10" t="inlineStr">
        <is>
          <t>revenue_30d</t>
        </is>
      </c>
      <c r="B16" s="10">
        <f>COUNTA(raw_data!L$2:L$1409)+COUNTBLANK(raw_data!L$2:L$1409)</f>
        <v/>
      </c>
      <c r="C16" s="10">
        <f>COUNTBLANK(raw_data!L$2:L$1409)</f>
        <v/>
      </c>
      <c r="D16" s="17">
        <f>C16/B16</f>
        <v/>
      </c>
    </row>
    <row r="17" ht="15" customHeight="1" s="11">
      <c r="A17" s="10" t="inlineStr">
        <is>
          <t>support_tickets_30d</t>
        </is>
      </c>
      <c r="B17" s="10">
        <f>COUNTA(raw_data!M$2:M$1409)+COUNTBLANK(raw_data!M$2:M$1409)</f>
        <v/>
      </c>
      <c r="C17" s="10">
        <f>COUNTBLANK(raw_data!M$2:M$1409)</f>
        <v/>
      </c>
      <c r="D17" s="17">
        <f>C17/B17</f>
        <v/>
      </c>
    </row>
    <row r="18" ht="15" customHeight="1" s="11">
      <c r="A18" s="10" t="inlineStr">
        <is>
          <t>refund_requested</t>
        </is>
      </c>
      <c r="B18" s="10">
        <f>COUNTA(raw_data!N$2:N$1409)+COUNTBLANK(raw_data!N$2:N$1409)</f>
        <v/>
      </c>
      <c r="C18" s="10">
        <f>COUNTBLANK(raw_data!N$2:N$1409)</f>
        <v/>
      </c>
      <c r="D18" s="17">
        <f>C18/B18</f>
        <v/>
      </c>
    </row>
    <row r="19" ht="15" customHeight="1" s="11">
      <c r="A19" s="10" t="inlineStr">
        <is>
          <t>days_to_convert</t>
        </is>
      </c>
      <c r="B19" s="10">
        <f>COUNTA(raw_data!O$2:O$1409)+COUNTBLANK(raw_data!O$2:O$1409)</f>
        <v/>
      </c>
      <c r="C19" s="10">
        <f>COUNTBLANK(raw_data!O$2:O$1409)</f>
        <v/>
      </c>
      <c r="D19" s="17">
        <f>C19/B19</f>
        <v/>
      </c>
    </row>
    <row r="20" ht="15" customHeight="1" s="11">
      <c r="A20" s="10" t="inlineStr">
        <is>
          <t>engagement_score</t>
        </is>
      </c>
      <c r="B20" s="10">
        <f>COUNTA(raw_data!P$2:P$1409)+COUNTBLANK(raw_data!P$2:P$1409)</f>
        <v/>
      </c>
      <c r="C20" s="10">
        <f>COUNTBLANK(raw_data!P$2:P$1409)</f>
        <v/>
      </c>
      <c r="D20" s="17">
        <f>C20/B20</f>
        <v/>
      </c>
    </row>
    <row r="22" ht="15" customHeight="1" s="11">
      <c r="A22" s="16" t="inlineStr">
        <is>
          <t>2. Duplicate Checks</t>
        </is>
      </c>
    </row>
    <row r="23" ht="15" customHeight="1" s="11">
      <c r="A23" s="10" t="inlineStr">
        <is>
          <t>Total raw rows</t>
        </is>
      </c>
      <c r="B23" s="10">
        <f>COUNTA(raw_data!A2:A1409)</f>
        <v/>
      </c>
    </row>
    <row r="24" ht="15" customHeight="1" s="11">
      <c r="A24" s="10" t="inlineStr">
        <is>
          <t>Distinct user_ids</t>
        </is>
      </c>
      <c r="B24" s="10">
        <f>SUMPRODUCT(1/COUNTIF(raw_data!A2:A1409,raw_data!A2:A1409))</f>
        <v/>
      </c>
    </row>
    <row r="25" ht="15" customHeight="1" s="11">
      <c r="A25" s="10" t="inlineStr">
        <is>
          <t>Duplicate user_id rows (extra occurrences)</t>
        </is>
      </c>
      <c r="B25" s="10">
        <f>B23-B24</f>
        <v/>
      </c>
    </row>
    <row r="27" ht="15" customHeight="1" s="11">
      <c r="A27" s="16" t="inlineStr">
        <is>
          <t>3. Invalid Binary Value Checks (should only contain 0/1)</t>
        </is>
      </c>
    </row>
    <row r="28" ht="15" customHeight="1" s="11">
      <c r="A28" s="13" t="inlineStr">
        <is>
          <t>Column</t>
        </is>
      </c>
      <c r="B28" s="13" t="inlineStr">
        <is>
          <t>Invalid (not 0 or 1) count</t>
        </is>
      </c>
    </row>
    <row r="29" ht="15" customHeight="1" s="11">
      <c r="A29" s="10" t="inlineStr">
        <is>
          <t>visited_landing_page</t>
        </is>
      </c>
      <c r="B29" s="10">
        <f>SUMPRODUCT((raw_data!H2:H1409&lt;&gt;0)*(raw_data!H2:H1409&lt;&gt;1))</f>
        <v/>
      </c>
    </row>
    <row r="30" ht="15" customHeight="1" s="11">
      <c r="A30" s="10" t="inlineStr">
        <is>
          <t>started_trial</t>
        </is>
      </c>
      <c r="B30" s="10">
        <f>SUMPRODUCT((raw_data!I2:I1409&lt;&gt;0)*(raw_data!I2:I1409&lt;&gt;1))</f>
        <v/>
      </c>
    </row>
    <row r="31" ht="15" customHeight="1" s="11">
      <c r="A31" s="10" t="inlineStr">
        <is>
          <t>completed_onboarding</t>
        </is>
      </c>
      <c r="B31" s="10">
        <f>SUMPRODUCT((raw_data!J2:J1409&lt;&gt;0)*(raw_data!J2:J1409&lt;&gt;1))</f>
        <v/>
      </c>
    </row>
    <row r="32" ht="15" customHeight="1" s="11">
      <c r="A32" s="10" t="inlineStr">
        <is>
          <t>converted_to_paid</t>
        </is>
      </c>
      <c r="B32" s="10">
        <f>SUMPRODUCT((raw_data!K2:K1409&lt;&gt;0)*(raw_data!K2:K1409&lt;&gt;1))</f>
        <v/>
      </c>
    </row>
    <row r="33" ht="15" customHeight="1" s="11">
      <c r="A33" s="10" t="inlineStr">
        <is>
          <t>refund_requested</t>
        </is>
      </c>
      <c r="B33" s="10">
        <f>SUMPRODUCT((raw_data!N2:N1409&lt;&gt;0)*(raw_data!N2:N1409&lt;&gt;1))</f>
        <v/>
      </c>
    </row>
    <row r="35" ht="15" customHeight="1" s="11">
      <c r="A35" s="16" t="inlineStr">
        <is>
          <t>4. Group Counts</t>
        </is>
      </c>
    </row>
    <row r="36" ht="15" customHeight="1" s="11">
      <c r="A36" s="10" t="inlineStr">
        <is>
          <t>Control (raw, incl. duplicates)</t>
        </is>
      </c>
      <c r="B36" s="10">
        <f>COUNTIF(raw_data!C2:C1409,"Control")</f>
        <v/>
      </c>
    </row>
    <row r="37" ht="15" customHeight="1" s="11">
      <c r="A37" s="10" t="inlineStr">
        <is>
          <t>Treatment (raw, incl. duplicates)</t>
        </is>
      </c>
      <c r="B37" s="10">
        <f>COUNTIF(raw_data!C2:C1409,"Treatment")</f>
        <v/>
      </c>
    </row>
    <row r="39" ht="15" customHeight="1" s="11">
      <c r="A39" s="16" t="inlineStr">
        <is>
          <t>5. Revenue Outlier Check (converted users, IQR method)</t>
        </is>
      </c>
    </row>
    <row r="40" ht="15" customHeight="1" s="11">
      <c r="A40" s="10" t="inlineStr">
        <is>
          <t>Q1 revenue (converted users)</t>
        </is>
      </c>
      <c r="B40" s="18">
        <f>QUARTILE(IF(raw_data!K2:K1409=1,raw_data!L2:L1409),1)</f>
        <v/>
      </c>
    </row>
    <row r="41" ht="15" customHeight="1" s="11">
      <c r="A41" s="10" t="inlineStr">
        <is>
          <t>Q3 revenue (converted users)</t>
        </is>
      </c>
      <c r="B41" s="18">
        <f>QUARTILE(IF(raw_data!K2:K1409=1,raw_data!L2:L1409),3)</f>
        <v/>
      </c>
    </row>
    <row r="42" ht="15" customHeight="1" s="11">
      <c r="A42" s="10" t="inlineStr">
        <is>
          <t>IQR Upper Bound (Q3 + 1.5*IQR)</t>
        </is>
      </c>
      <c r="B42" s="18">
        <f>B41+1.5*(B41-B40)</f>
        <v/>
      </c>
    </row>
    <row r="43" ht="15" customHeight="1" s="11">
      <c r="A43" s="10" t="inlineStr">
        <is>
          <t>Count of converted users above upper bound (flagged as outliers)</t>
        </is>
      </c>
      <c r="B43" s="10">
        <f>SUMPRODUCT((raw_data!K2:K1409=1)*(raw_data!L2:L1409&gt;B42))</f>
        <v/>
      </c>
    </row>
    <row r="45" ht="15" customHeight="1" s="11">
      <c r="A45" s="16" t="inlineStr">
        <is>
          <t>6. Segment Distribution Across Groups (counts)</t>
        </is>
      </c>
    </row>
    <row r="46" ht="15" customHeight="1" s="11">
      <c r="A46" s="19" t="inlineStr">
        <is>
          <t>-- region --</t>
        </is>
      </c>
    </row>
    <row r="47" ht="15" customHeight="1" s="11">
      <c r="A47" s="13" t="inlineStr">
        <is>
          <t>Value</t>
        </is>
      </c>
      <c r="B47" s="13" t="inlineStr">
        <is>
          <t>Control</t>
        </is>
      </c>
      <c r="C47" s="13" t="inlineStr">
        <is>
          <t>Treatment</t>
        </is>
      </c>
    </row>
    <row r="48" ht="15" customHeight="1" s="11">
      <c r="A48" s="10" t="inlineStr">
        <is>
          <t>East</t>
        </is>
      </c>
      <c r="B48" s="10">
        <f>COUNTIFS(raw_data!D2:D1409,A48,raw_data!C2:C1409,"Control")</f>
        <v/>
      </c>
      <c r="C48" s="10">
        <f>COUNTIFS(raw_data!D2:D1409,A48,raw_data!C2:C1409,"Treatment")</f>
        <v/>
      </c>
    </row>
    <row r="49" ht="15" customHeight="1" s="11">
      <c r="A49" s="10" t="inlineStr">
        <is>
          <t>North</t>
        </is>
      </c>
      <c r="B49" s="10">
        <f>COUNTIFS(raw_data!D2:D1409,A49,raw_data!C2:C1409,"Control")</f>
        <v/>
      </c>
      <c r="C49" s="10">
        <f>COUNTIFS(raw_data!D2:D1409,A49,raw_data!C2:C1409,"Treatment")</f>
        <v/>
      </c>
    </row>
    <row r="50" ht="15" customHeight="1" s="11">
      <c r="A50" s="10" t="inlineStr">
        <is>
          <t>South</t>
        </is>
      </c>
      <c r="B50" s="10">
        <f>COUNTIFS(raw_data!D2:D1409,A50,raw_data!C2:C1409,"Control")</f>
        <v/>
      </c>
      <c r="C50" s="10">
        <f>COUNTIFS(raw_data!D2:D1409,A50,raw_data!C2:C1409,"Treatment")</f>
        <v/>
      </c>
    </row>
    <row r="51" ht="15" customHeight="1" s="11">
      <c r="A51" s="10" t="inlineStr">
        <is>
          <t>West</t>
        </is>
      </c>
      <c r="B51" s="10">
        <f>COUNTIFS(raw_data!D2:D1409,A51,raw_data!C2:C1409,"Control")</f>
        <v/>
      </c>
      <c r="C51" s="10">
        <f>COUNTIFS(raw_data!D2:D1409,A51,raw_data!C2:C1409,"Treatment")</f>
        <v/>
      </c>
    </row>
    <row r="53" ht="15" customHeight="1" s="11">
      <c r="A53" s="19" t="inlineStr">
        <is>
          <t>-- device_type --</t>
        </is>
      </c>
    </row>
    <row r="54" ht="15" customHeight="1" s="11">
      <c r="A54" s="13" t="inlineStr">
        <is>
          <t>Value</t>
        </is>
      </c>
      <c r="B54" s="13" t="inlineStr">
        <is>
          <t>Control</t>
        </is>
      </c>
      <c r="C54" s="13" t="inlineStr">
        <is>
          <t>Treatment</t>
        </is>
      </c>
    </row>
    <row r="55" ht="15" customHeight="1" s="11">
      <c r="A55" s="10" t="inlineStr">
        <is>
          <t>Desktop</t>
        </is>
      </c>
      <c r="B55" s="10">
        <f>COUNTIFS(raw_data!E2:E1409,A55,raw_data!C2:C1409,"Control")</f>
        <v/>
      </c>
      <c r="C55" s="10">
        <f>COUNTIFS(raw_data!E2:E1409,A55,raw_data!C2:C1409,"Treatment")</f>
        <v/>
      </c>
    </row>
    <row r="56" ht="15" customHeight="1" s="11">
      <c r="A56" s="10" t="inlineStr">
        <is>
          <t>Mobile</t>
        </is>
      </c>
      <c r="B56" s="10">
        <f>COUNTIFS(raw_data!E2:E1409,A56,raw_data!C2:C1409,"Control")</f>
        <v/>
      </c>
      <c r="C56" s="10">
        <f>COUNTIFS(raw_data!E2:E1409,A56,raw_data!C2:C1409,"Treatment")</f>
        <v/>
      </c>
    </row>
    <row r="57" ht="15" customHeight="1" s="11">
      <c r="A57" s="10" t="inlineStr">
        <is>
          <t>Tablet</t>
        </is>
      </c>
      <c r="B57" s="10">
        <f>COUNTIFS(raw_data!E2:E1409,A57,raw_data!C2:C1409,"Control")</f>
        <v/>
      </c>
      <c r="C57" s="10">
        <f>COUNTIFS(raw_data!E2:E1409,A57,raw_data!C2:C1409,"Treatment")</f>
        <v/>
      </c>
    </row>
    <row r="59" ht="15" customHeight="1" s="11">
      <c r="A59" s="19" t="inlineStr">
        <is>
          <t>-- traffic_source --</t>
        </is>
      </c>
    </row>
    <row r="60" ht="15" customHeight="1" s="11">
      <c r="A60" s="13" t="inlineStr">
        <is>
          <t>Value</t>
        </is>
      </c>
      <c r="B60" s="13" t="inlineStr">
        <is>
          <t>Control</t>
        </is>
      </c>
      <c r="C60" s="13" t="inlineStr">
        <is>
          <t>Treatment</t>
        </is>
      </c>
    </row>
    <row r="61" ht="15" customHeight="1" s="11">
      <c r="A61" s="10" t="inlineStr">
        <is>
          <t>Email</t>
        </is>
      </c>
      <c r="B61" s="10">
        <f>COUNTIFS(raw_data!F2:F1409,A61,raw_data!C2:C1409,"Control")</f>
        <v/>
      </c>
      <c r="C61" s="10">
        <f>COUNTIFS(raw_data!F2:F1409,A61,raw_data!C2:C1409,"Treatment")</f>
        <v/>
      </c>
    </row>
    <row r="62" ht="15" customHeight="1" s="11">
      <c r="A62" s="10" t="inlineStr">
        <is>
          <t>Organic</t>
        </is>
      </c>
      <c r="B62" s="10">
        <f>COUNTIFS(raw_data!F2:F1409,A62,raw_data!C2:C1409,"Control")</f>
        <v/>
      </c>
      <c r="C62" s="10">
        <f>COUNTIFS(raw_data!F2:F1409,A62,raw_data!C2:C1409,"Treatment")</f>
        <v/>
      </c>
    </row>
    <row r="63" ht="15" customHeight="1" s="11">
      <c r="A63" s="10" t="inlineStr">
        <is>
          <t>Paid Search</t>
        </is>
      </c>
      <c r="B63" s="10">
        <f>COUNTIFS(raw_data!F2:F1409,A63,raw_data!C2:C1409,"Control")</f>
        <v/>
      </c>
      <c r="C63" s="10">
        <f>COUNTIFS(raw_data!F2:F1409,A63,raw_data!C2:C1409,"Treatment")</f>
        <v/>
      </c>
    </row>
    <row r="64" ht="15" customHeight="1" s="11">
      <c r="A64" s="10" t="inlineStr">
        <is>
          <t>Referral</t>
        </is>
      </c>
      <c r="B64" s="10">
        <f>COUNTIFS(raw_data!F2:F1409,A64,raw_data!C2:C1409,"Control")</f>
        <v/>
      </c>
      <c r="C64" s="10">
        <f>COUNTIFS(raw_data!F2:F1409,A64,raw_data!C2:C1409,"Treatment")</f>
        <v/>
      </c>
    </row>
    <row r="65" ht="15" customHeight="1" s="11">
      <c r="A65" s="10" t="inlineStr">
        <is>
          <t>Social</t>
        </is>
      </c>
      <c r="B65" s="10">
        <f>COUNTIFS(raw_data!F2:F1409,A65,raw_data!C2:C1409,"Control")</f>
        <v/>
      </c>
      <c r="C65" s="10">
        <f>COUNTIFS(raw_data!F2:F1409,A65,raw_data!C2:C1409,"Treatment")</f>
        <v/>
      </c>
    </row>
    <row r="67" ht="15" customHeight="1" s="11">
      <c r="A67" s="19" t="inlineStr">
        <is>
          <t>-- plan_type --</t>
        </is>
      </c>
    </row>
    <row r="68" ht="15" customHeight="1" s="11">
      <c r="A68" s="13" t="inlineStr">
        <is>
          <t>Value</t>
        </is>
      </c>
      <c r="B68" s="13" t="inlineStr">
        <is>
          <t>Control</t>
        </is>
      </c>
      <c r="C68" s="13" t="inlineStr">
        <is>
          <t>Treatment</t>
        </is>
      </c>
    </row>
    <row r="69" ht="15" customHeight="1" s="11">
      <c r="A69" s="10" t="inlineStr">
        <is>
          <t>Basic</t>
        </is>
      </c>
      <c r="B69" s="10">
        <f>COUNTIFS(raw_data!G2:G1409,A69,raw_data!C2:C1409,"Control")</f>
        <v/>
      </c>
      <c r="C69" s="10">
        <f>COUNTIFS(raw_data!G2:G1409,A69,raw_data!C2:C1409,"Treatment")</f>
        <v/>
      </c>
    </row>
    <row r="70" ht="15" customHeight="1" s="11">
      <c r="A70" s="10" t="inlineStr">
        <is>
          <t>Free</t>
        </is>
      </c>
      <c r="B70" s="10">
        <f>COUNTIFS(raw_data!G2:G1409,A70,raw_data!C2:C1409,"Control")</f>
        <v/>
      </c>
      <c r="C70" s="10">
        <f>COUNTIFS(raw_data!G2:G1409,A70,raw_data!C2:C1409,"Treatment")</f>
        <v/>
      </c>
    </row>
    <row r="71" ht="15" customHeight="1" s="11">
      <c r="A71" s="10" t="inlineStr">
        <is>
          <t>Premium</t>
        </is>
      </c>
      <c r="B71" s="10">
        <f>COUNTIFS(raw_data!G2:G1409,A71,raw_data!C2:C1409,"Control")</f>
        <v/>
      </c>
      <c r="C71" s="10">
        <f>COUNTIFS(raw_data!G2:G1409,A71,raw_data!C2:C1409,"Treatment")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cols>
    <col width="14" customWidth="1" style="11" min="1" max="1"/>
    <col width="14" customWidth="1" style="11" min="2" max="2"/>
    <col width="18" customWidth="1" style="11" min="3" max="3"/>
    <col width="14" customWidth="1" style="11" min="4" max="4"/>
    <col width="14" customWidth="1" style="11" min="5" max="5"/>
    <col width="16" customWidth="1" style="11" min="6" max="6"/>
    <col width="14" customWidth="1" style="11" min="7" max="7"/>
    <col width="22" customWidth="1" style="11" min="8" max="8"/>
    <col width="15" customWidth="1" style="11" min="9" max="9"/>
    <col width="22" customWidth="1" style="11" min="10" max="10"/>
    <col width="19" customWidth="1" style="11" min="11" max="11"/>
    <col width="14" customWidth="1" style="11" min="12" max="12"/>
    <col width="21" customWidth="1" style="11" min="13" max="13"/>
    <col width="18" customWidth="1" style="11" min="14" max="14"/>
    <col width="17" customWidth="1" style="11" min="15" max="15"/>
    <col width="18" customWidth="1" style="11" min="16" max="16"/>
  </cols>
  <sheetData>
    <row r="1">
      <c r="A1" s="20" t="inlineStr">
        <is>
          <t>user_id</t>
        </is>
      </c>
      <c r="B1" s="20" t="inlineStr">
        <is>
          <t>signup_date</t>
        </is>
      </c>
      <c r="C1" s="20" t="inlineStr">
        <is>
          <t>experiment_group</t>
        </is>
      </c>
      <c r="D1" s="20" t="inlineStr">
        <is>
          <t>region</t>
        </is>
      </c>
      <c r="E1" s="20" t="inlineStr">
        <is>
          <t>device_type</t>
        </is>
      </c>
      <c r="F1" s="20" t="inlineStr">
        <is>
          <t>traffic_source</t>
        </is>
      </c>
      <c r="G1" s="20" t="inlineStr">
        <is>
          <t>plan_type</t>
        </is>
      </c>
      <c r="H1" s="20" t="inlineStr">
        <is>
          <t>visited_landing_page</t>
        </is>
      </c>
      <c r="I1" s="20" t="inlineStr">
        <is>
          <t>started_trial</t>
        </is>
      </c>
      <c r="J1" s="20" t="inlineStr">
        <is>
          <t>completed_onboarding</t>
        </is>
      </c>
      <c r="K1" s="20" t="inlineStr">
        <is>
          <t>converted_to_paid</t>
        </is>
      </c>
      <c r="L1" s="20" t="inlineStr">
        <is>
          <t>revenue_30d</t>
        </is>
      </c>
      <c r="M1" s="20" t="inlineStr">
        <is>
          <t>support_tickets_30d</t>
        </is>
      </c>
      <c r="N1" s="20" t="inlineStr">
        <is>
          <t>refund_requested</t>
        </is>
      </c>
      <c r="O1" s="20" t="inlineStr">
        <is>
          <t>days_to_convert</t>
        </is>
      </c>
      <c r="P1" s="20" t="inlineStr">
        <is>
          <t>engagement_score</t>
        </is>
      </c>
    </row>
    <row r="2">
      <c r="A2" s="0" t="inlineStr">
        <is>
          <t>USR-100001</t>
        </is>
      </c>
      <c r="B2" s="23" t="n">
        <v>45732</v>
      </c>
      <c r="C2" s="0" t="inlineStr">
        <is>
          <t>Control</t>
        </is>
      </c>
      <c r="D2" s="0" t="inlineStr">
        <is>
          <t>North</t>
        </is>
      </c>
      <c r="E2" s="0" t="inlineStr">
        <is>
          <t>Desktop</t>
        </is>
      </c>
      <c r="F2" s="0" t="inlineStr">
        <is>
          <t>Email</t>
        </is>
      </c>
      <c r="G2" s="0" t="inlineStr">
        <is>
          <t>Basic</t>
        </is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P2" s="0" t="n">
        <v>45.7</v>
      </c>
    </row>
    <row r="3">
      <c r="A3" s="0" t="inlineStr">
        <is>
          <t>USR-100002</t>
        </is>
      </c>
      <c r="B3" s="23" t="n">
        <v>45724</v>
      </c>
      <c r="C3" s="0" t="inlineStr">
        <is>
          <t>Control</t>
        </is>
      </c>
      <c r="D3" s="0" t="inlineStr">
        <is>
          <t>West</t>
        </is>
      </c>
      <c r="E3" s="0" t="inlineStr">
        <is>
          <t>Mobile</t>
        </is>
      </c>
      <c r="F3" s="0" t="inlineStr">
        <is>
          <t>Organic</t>
        </is>
      </c>
      <c r="G3" s="0" t="inlineStr">
        <is>
          <t>Free</t>
        </is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P3" s="0" t="n">
        <v>48.6</v>
      </c>
    </row>
    <row r="4">
      <c r="A4" s="0" t="inlineStr">
        <is>
          <t>USR-100003</t>
        </is>
      </c>
      <c r="B4" s="23" t="n">
        <v>45771</v>
      </c>
      <c r="C4" s="0" t="inlineStr">
        <is>
          <t>Control</t>
        </is>
      </c>
      <c r="D4" s="0" t="inlineStr">
        <is>
          <t>East</t>
        </is>
      </c>
      <c r="E4" s="0" t="inlineStr">
        <is>
          <t>Mobile</t>
        </is>
      </c>
      <c r="F4" s="0" t="inlineStr">
        <is>
          <t>Paid Search</t>
        </is>
      </c>
      <c r="G4" s="0" t="inlineStr">
        <is>
          <t>Premium</t>
        </is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P4" s="0" t="n">
        <v>35.4</v>
      </c>
    </row>
    <row r="5">
      <c r="A5" s="0" t="inlineStr">
        <is>
          <t>USR-100004</t>
        </is>
      </c>
      <c r="B5" s="23" t="n">
        <v>45781</v>
      </c>
      <c r="C5" s="0" t="inlineStr">
        <is>
          <t>Control</t>
        </is>
      </c>
      <c r="D5" s="0" t="inlineStr">
        <is>
          <t>South</t>
        </is>
      </c>
      <c r="E5" s="0" t="inlineStr">
        <is>
          <t>Mobile</t>
        </is>
      </c>
      <c r="F5" s="0" t="inlineStr">
        <is>
          <t>Email</t>
        </is>
      </c>
      <c r="G5" s="0" t="inlineStr">
        <is>
          <t>Basic</t>
        </is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P5" s="0" t="n">
        <v>64.59999999999999</v>
      </c>
    </row>
    <row r="6">
      <c r="A6" s="0" t="inlineStr">
        <is>
          <t>USR-100005</t>
        </is>
      </c>
      <c r="B6" s="23" t="n">
        <v>45700</v>
      </c>
      <c r="C6" s="0" t="inlineStr">
        <is>
          <t>Control</t>
        </is>
      </c>
      <c r="D6" s="0" t="inlineStr">
        <is>
          <t>North</t>
        </is>
      </c>
      <c r="E6" s="0" t="inlineStr">
        <is>
          <t>Tablet</t>
        </is>
      </c>
      <c r="F6" s="0" t="inlineStr">
        <is>
          <t>Organic</t>
        </is>
      </c>
      <c r="G6" s="0" t="inlineStr">
        <is>
          <t>Free</t>
        </is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P6" s="0" t="n">
        <v>66.59999999999999</v>
      </c>
    </row>
    <row r="7">
      <c r="A7" s="0" t="inlineStr">
        <is>
          <t>USR-100006</t>
        </is>
      </c>
      <c r="B7" s="23" t="n">
        <v>45685</v>
      </c>
      <c r="C7" s="0" t="inlineStr">
        <is>
          <t>Control</t>
        </is>
      </c>
      <c r="D7" s="0" t="inlineStr">
        <is>
          <t>East</t>
        </is>
      </c>
      <c r="E7" s="0" t="inlineStr">
        <is>
          <t>Mobile</t>
        </is>
      </c>
      <c r="F7" s="0" t="inlineStr">
        <is>
          <t>Organic</t>
        </is>
      </c>
      <c r="G7" s="0" t="inlineStr">
        <is>
          <t>Premium</t>
        </is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P7" s="0" t="n">
        <v>40.8</v>
      </c>
    </row>
    <row r="8">
      <c r="A8" s="0" t="inlineStr">
        <is>
          <t>USR-100007</t>
        </is>
      </c>
      <c r="B8" s="23" t="n">
        <v>45755</v>
      </c>
      <c r="C8" s="0" t="inlineStr">
        <is>
          <t>Control</t>
        </is>
      </c>
      <c r="D8" s="0" t="inlineStr">
        <is>
          <t>East</t>
        </is>
      </c>
      <c r="E8" s="0" t="inlineStr">
        <is>
          <t>Mobile</t>
        </is>
      </c>
      <c r="F8" s="0" t="inlineStr">
        <is>
          <t>Paid Search</t>
        </is>
      </c>
      <c r="G8" s="0" t="inlineStr">
        <is>
          <t>Basic</t>
        </is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P8" s="0" t="n">
        <v>57.1</v>
      </c>
    </row>
    <row r="9">
      <c r="A9" s="0" t="inlineStr">
        <is>
          <t>USR-100008</t>
        </is>
      </c>
      <c r="B9" s="23" t="n">
        <v>45794</v>
      </c>
      <c r="C9" s="0" t="inlineStr">
        <is>
          <t>Control</t>
        </is>
      </c>
      <c r="D9" s="0" t="inlineStr">
        <is>
          <t>South</t>
        </is>
      </c>
      <c r="E9" s="0" t="inlineStr">
        <is>
          <t>Mobile</t>
        </is>
      </c>
      <c r="F9" s="0" t="inlineStr">
        <is>
          <t>Paid Search</t>
        </is>
      </c>
      <c r="G9" s="0" t="inlineStr">
        <is>
          <t>Free</t>
        </is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P9" s="0" t="n">
        <v>36.4</v>
      </c>
    </row>
    <row r="10">
      <c r="A10" s="0" t="inlineStr">
        <is>
          <t>USR-100009</t>
        </is>
      </c>
      <c r="B10" s="23" t="n">
        <v>45711</v>
      </c>
      <c r="C10" s="0" t="inlineStr">
        <is>
          <t>Control</t>
        </is>
      </c>
      <c r="D10" s="0" t="inlineStr">
        <is>
          <t>South</t>
        </is>
      </c>
      <c r="E10" s="0" t="inlineStr">
        <is>
          <t>Tablet</t>
        </is>
      </c>
      <c r="F10" s="0" t="inlineStr">
        <is>
          <t>Referral</t>
        </is>
      </c>
      <c r="G10" s="0" t="inlineStr">
        <is>
          <t>Basic</t>
        </is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P10" s="0" t="n">
        <v>55.4</v>
      </c>
    </row>
    <row r="11">
      <c r="A11" s="0" t="inlineStr">
        <is>
          <t>USR-100010</t>
        </is>
      </c>
      <c r="B11" s="23" t="n">
        <v>45806</v>
      </c>
      <c r="C11" s="0" t="inlineStr">
        <is>
          <t>Control</t>
        </is>
      </c>
      <c r="D11" s="0" t="inlineStr">
        <is>
          <t>West</t>
        </is>
      </c>
      <c r="E11" s="0" t="inlineStr">
        <is>
          <t>Desktop</t>
        </is>
      </c>
      <c r="F11" s="0" t="inlineStr">
        <is>
          <t>Social</t>
        </is>
      </c>
      <c r="G11" s="0" t="inlineStr">
        <is>
          <t>Free</t>
        </is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P11" s="0" t="n">
        <v>57.3</v>
      </c>
    </row>
    <row r="12">
      <c r="A12" s="0" t="inlineStr">
        <is>
          <t>USR-100011</t>
        </is>
      </c>
      <c r="B12" s="23" t="n">
        <v>45777</v>
      </c>
      <c r="C12" s="0" t="inlineStr">
        <is>
          <t>Control</t>
        </is>
      </c>
      <c r="D12" s="0" t="inlineStr">
        <is>
          <t>East</t>
        </is>
      </c>
      <c r="E12" s="0" t="inlineStr">
        <is>
          <t>Mobile</t>
        </is>
      </c>
      <c r="F12" s="0" t="inlineStr">
        <is>
          <t>Paid Search</t>
        </is>
      </c>
      <c r="G12" s="0" t="inlineStr">
        <is>
          <t>Basic</t>
        </is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P12" s="0" t="n">
        <v>63.6</v>
      </c>
    </row>
    <row r="13">
      <c r="A13" s="0" t="inlineStr">
        <is>
          <t>USR-100012</t>
        </is>
      </c>
      <c r="B13" s="23" t="n">
        <v>45732</v>
      </c>
      <c r="C13" s="0" t="inlineStr">
        <is>
          <t>Control</t>
        </is>
      </c>
      <c r="D13" s="0" t="inlineStr">
        <is>
          <t>East</t>
        </is>
      </c>
      <c r="E13" s="0" t="inlineStr">
        <is>
          <t>Mobile</t>
        </is>
      </c>
      <c r="F13" s="0" t="inlineStr">
        <is>
          <t>Social</t>
        </is>
      </c>
      <c r="G13" s="0" t="inlineStr">
        <is>
          <t>Premium</t>
        </is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P13" s="0" t="n">
        <v>80.40000000000001</v>
      </c>
    </row>
    <row r="14">
      <c r="A14" s="0" t="inlineStr">
        <is>
          <t>USR-100013</t>
        </is>
      </c>
      <c r="B14" s="23" t="n">
        <v>45695</v>
      </c>
      <c r="C14" s="0" t="inlineStr">
        <is>
          <t>Control</t>
        </is>
      </c>
      <c r="D14" s="0" t="inlineStr">
        <is>
          <t>South</t>
        </is>
      </c>
      <c r="E14" s="0" t="inlineStr">
        <is>
          <t>Desktop</t>
        </is>
      </c>
      <c r="F14" s="0" t="inlineStr">
        <is>
          <t>Email</t>
        </is>
      </c>
      <c r="G14" s="0" t="inlineStr">
        <is>
          <t>Basic</t>
        </is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P14" s="0" t="n">
        <v>62.4</v>
      </c>
    </row>
    <row r="15">
      <c r="A15" s="0" t="inlineStr">
        <is>
          <t>USR-100014</t>
        </is>
      </c>
      <c r="B15" s="23" t="n">
        <v>45718</v>
      </c>
      <c r="C15" s="0" t="inlineStr">
        <is>
          <t>Control</t>
        </is>
      </c>
      <c r="D15" s="0" t="inlineStr">
        <is>
          <t>West</t>
        </is>
      </c>
      <c r="E15" s="0" t="inlineStr">
        <is>
          <t>Mobile</t>
        </is>
      </c>
      <c r="F15" s="0" t="inlineStr">
        <is>
          <t>Social</t>
        </is>
      </c>
      <c r="G15" s="0" t="inlineStr">
        <is>
          <t>Basic</t>
        </is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P15" s="0" t="n">
        <v>82.40000000000001</v>
      </c>
    </row>
    <row r="16">
      <c r="A16" s="0" t="inlineStr">
        <is>
          <t>USR-100015</t>
        </is>
      </c>
      <c r="B16" s="23" t="n">
        <v>45807</v>
      </c>
      <c r="C16" s="0" t="inlineStr">
        <is>
          <t>Control</t>
        </is>
      </c>
      <c r="D16" s="0" t="inlineStr">
        <is>
          <t>South</t>
        </is>
      </c>
      <c r="E16" s="0" t="inlineStr">
        <is>
          <t>Mobile</t>
        </is>
      </c>
      <c r="F16" s="0" t="inlineStr">
        <is>
          <t>Organic</t>
        </is>
      </c>
      <c r="G16" s="0" t="inlineStr">
        <is>
          <t>Basic</t>
        </is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P16" s="0" t="n">
        <v>61.2</v>
      </c>
    </row>
    <row r="17">
      <c r="A17" s="0" t="inlineStr">
        <is>
          <t>USR-100016</t>
        </is>
      </c>
      <c r="B17" s="23" t="n">
        <v>45741</v>
      </c>
      <c r="C17" s="0" t="inlineStr">
        <is>
          <t>Control</t>
        </is>
      </c>
      <c r="D17" s="0" t="inlineStr">
        <is>
          <t>South</t>
        </is>
      </c>
      <c r="E17" s="0" t="inlineStr">
        <is>
          <t>Mobile</t>
        </is>
      </c>
      <c r="F17" s="0" t="inlineStr">
        <is>
          <t>Social</t>
        </is>
      </c>
      <c r="G17" s="0" t="inlineStr">
        <is>
          <t>Basic</t>
        </is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P17" s="0" t="n">
        <v>68.90000000000001</v>
      </c>
    </row>
    <row r="18">
      <c r="A18" s="0" t="inlineStr">
        <is>
          <t>USR-100017</t>
        </is>
      </c>
      <c r="B18" s="23" t="n">
        <v>45743</v>
      </c>
      <c r="C18" s="0" t="inlineStr">
        <is>
          <t>Control</t>
        </is>
      </c>
      <c r="D18" s="0" t="inlineStr">
        <is>
          <t>East</t>
        </is>
      </c>
      <c r="E18" s="0" t="inlineStr">
        <is>
          <t>Desktop</t>
        </is>
      </c>
      <c r="F18" s="0" t="inlineStr">
        <is>
          <t>Paid Search</t>
        </is>
      </c>
      <c r="G18" s="0" t="inlineStr">
        <is>
          <t>Free</t>
        </is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P18" s="0" t="n">
        <v>71.90000000000001</v>
      </c>
    </row>
    <row r="19">
      <c r="A19" s="0" t="inlineStr">
        <is>
          <t>USR-100018</t>
        </is>
      </c>
      <c r="B19" s="23" t="n">
        <v>45805</v>
      </c>
      <c r="C19" s="0" t="inlineStr">
        <is>
          <t>Control</t>
        </is>
      </c>
      <c r="D19" s="0" t="inlineStr">
        <is>
          <t>South</t>
        </is>
      </c>
      <c r="E19" s="0" t="inlineStr">
        <is>
          <t>Desktop</t>
        </is>
      </c>
      <c r="F19" s="0" t="inlineStr">
        <is>
          <t>Paid Search</t>
        </is>
      </c>
      <c r="G19" s="0" t="inlineStr">
        <is>
          <t>Free</t>
        </is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P19" s="0" t="n">
        <v>50.5</v>
      </c>
    </row>
    <row r="20">
      <c r="A20" s="0" t="inlineStr">
        <is>
          <t>USR-100019</t>
        </is>
      </c>
      <c r="B20" s="23" t="n">
        <v>45703</v>
      </c>
      <c r="C20" s="0" t="inlineStr">
        <is>
          <t>Control</t>
        </is>
      </c>
      <c r="D20" s="0" t="inlineStr">
        <is>
          <t>North</t>
        </is>
      </c>
      <c r="E20" s="0" t="inlineStr">
        <is>
          <t>Desktop</t>
        </is>
      </c>
      <c r="F20" s="0" t="inlineStr">
        <is>
          <t>Paid Search</t>
        </is>
      </c>
      <c r="G20" s="0" t="inlineStr">
        <is>
          <t>Basic</t>
        </is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P20" s="0" t="n">
        <v>49.3</v>
      </c>
    </row>
    <row r="21">
      <c r="A21" s="0" t="inlineStr">
        <is>
          <t>USR-100020</t>
        </is>
      </c>
      <c r="B21" s="23" t="n">
        <v>45782</v>
      </c>
      <c r="C21" s="0" t="inlineStr">
        <is>
          <t>Control</t>
        </is>
      </c>
      <c r="D21" s="0" t="inlineStr">
        <is>
          <t>West</t>
        </is>
      </c>
      <c r="E21" s="0" t="inlineStr">
        <is>
          <t>Desktop</t>
        </is>
      </c>
      <c r="F21" s="0" t="inlineStr">
        <is>
          <t>Organic</t>
        </is>
      </c>
      <c r="G21" s="0" t="inlineStr">
        <is>
          <t>Basic</t>
        </is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0</v>
      </c>
      <c r="P21" s="0" t="n">
        <v>60.9</v>
      </c>
    </row>
    <row r="22">
      <c r="A22" s="0" t="inlineStr">
        <is>
          <t>USR-100021</t>
        </is>
      </c>
      <c r="B22" s="23" t="n">
        <v>45760</v>
      </c>
      <c r="C22" s="0" t="inlineStr">
        <is>
          <t>Control</t>
        </is>
      </c>
      <c r="D22" s="0" t="inlineStr">
        <is>
          <t>East</t>
        </is>
      </c>
      <c r="E22" s="0" t="inlineStr">
        <is>
          <t>Mobile</t>
        </is>
      </c>
      <c r="F22" s="0" t="inlineStr">
        <is>
          <t>Social</t>
        </is>
      </c>
      <c r="G22" s="0" t="inlineStr">
        <is>
          <t>Free</t>
        </is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P22" s="0" t="n">
        <v>62.7</v>
      </c>
    </row>
    <row r="23">
      <c r="A23" s="0" t="inlineStr">
        <is>
          <t>USR-100022</t>
        </is>
      </c>
      <c r="B23" s="23" t="n">
        <v>45784</v>
      </c>
      <c r="C23" s="0" t="inlineStr">
        <is>
          <t>Control</t>
        </is>
      </c>
      <c r="D23" s="0" t="inlineStr">
        <is>
          <t>North</t>
        </is>
      </c>
      <c r="E23" s="0" t="inlineStr">
        <is>
          <t>Desktop</t>
        </is>
      </c>
      <c r="F23" s="0" t="inlineStr">
        <is>
          <t>Paid Search</t>
        </is>
      </c>
      <c r="G23" s="0" t="inlineStr">
        <is>
          <t>Free</t>
        </is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P23" s="0" t="n">
        <v>52.7</v>
      </c>
    </row>
    <row r="24">
      <c r="A24" s="0" t="inlineStr">
        <is>
          <t>USR-100023</t>
        </is>
      </c>
      <c r="B24" s="23" t="n">
        <v>45802</v>
      </c>
      <c r="C24" s="0" t="inlineStr">
        <is>
          <t>Control</t>
        </is>
      </c>
      <c r="D24" s="0" t="inlineStr">
        <is>
          <t>North</t>
        </is>
      </c>
      <c r="E24" s="0" t="inlineStr">
        <is>
          <t>Desktop</t>
        </is>
      </c>
      <c r="F24" s="0" t="inlineStr">
        <is>
          <t>Organic</t>
        </is>
      </c>
      <c r="G24" s="0" t="inlineStr">
        <is>
          <t>Free</t>
        </is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P24" s="0" t="n">
        <v>54</v>
      </c>
    </row>
    <row r="25">
      <c r="A25" s="0" t="inlineStr">
        <is>
          <t>USR-100024</t>
        </is>
      </c>
      <c r="B25" s="23" t="n">
        <v>45748</v>
      </c>
      <c r="C25" s="0" t="inlineStr">
        <is>
          <t>Control</t>
        </is>
      </c>
      <c r="D25" s="0" t="inlineStr">
        <is>
          <t>East</t>
        </is>
      </c>
      <c r="E25" s="0" t="inlineStr">
        <is>
          <t>Mobile</t>
        </is>
      </c>
      <c r="F25" s="0" t="inlineStr">
        <is>
          <t>Paid Search</t>
        </is>
      </c>
      <c r="G25" s="0" t="inlineStr">
        <is>
          <t>Premium</t>
        </is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P25" s="0" t="n">
        <v>51.6</v>
      </c>
    </row>
    <row r="26">
      <c r="A26" s="0" t="inlineStr">
        <is>
          <t>USR-100025</t>
        </is>
      </c>
      <c r="B26" s="23" t="n">
        <v>45710</v>
      </c>
      <c r="C26" s="0" t="inlineStr">
        <is>
          <t>Control</t>
        </is>
      </c>
      <c r="D26" s="0" t="inlineStr">
        <is>
          <t>North</t>
        </is>
      </c>
      <c r="E26" s="0" t="inlineStr">
        <is>
          <t>Mobile</t>
        </is>
      </c>
      <c r="F26" s="0" t="inlineStr">
        <is>
          <t>Paid Search</t>
        </is>
      </c>
      <c r="G26" s="0" t="inlineStr">
        <is>
          <t>Premium</t>
        </is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P26" s="0" t="n">
        <v>66.90000000000001</v>
      </c>
    </row>
    <row r="27">
      <c r="A27" s="0" t="inlineStr">
        <is>
          <t>USR-100026</t>
        </is>
      </c>
      <c r="B27" s="23" t="n">
        <v>45740</v>
      </c>
      <c r="C27" s="0" t="inlineStr">
        <is>
          <t>Control</t>
        </is>
      </c>
      <c r="D27" s="0" t="inlineStr">
        <is>
          <t>East</t>
        </is>
      </c>
      <c r="E27" s="0" t="inlineStr">
        <is>
          <t>Mobile</t>
        </is>
      </c>
      <c r="F27" s="0" t="inlineStr">
        <is>
          <t>Organic</t>
        </is>
      </c>
      <c r="G27" s="0" t="inlineStr">
        <is>
          <t>Basic</t>
        </is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P27" s="0" t="n">
        <v>67.40000000000001</v>
      </c>
    </row>
    <row r="28">
      <c r="A28" s="0" t="inlineStr">
        <is>
          <t>USR-100027</t>
        </is>
      </c>
      <c r="B28" s="23" t="n">
        <v>45701</v>
      </c>
      <c r="C28" s="0" t="inlineStr">
        <is>
          <t>Control</t>
        </is>
      </c>
      <c r="D28" s="0" t="inlineStr">
        <is>
          <t>North</t>
        </is>
      </c>
      <c r="E28" s="0" t="inlineStr">
        <is>
          <t>Mobile</t>
        </is>
      </c>
      <c r="F28" s="0" t="inlineStr">
        <is>
          <t>Organic</t>
        </is>
      </c>
      <c r="G28" s="0" t="inlineStr">
        <is>
          <t>Free</t>
        </is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P28" s="0" t="n">
        <v>58.8</v>
      </c>
    </row>
    <row r="29">
      <c r="A29" s="0" t="inlineStr">
        <is>
          <t>USR-100028</t>
        </is>
      </c>
      <c r="B29" s="23" t="n">
        <v>45807</v>
      </c>
      <c r="C29" s="0" t="inlineStr">
        <is>
          <t>Control</t>
        </is>
      </c>
      <c r="D29" s="0" t="inlineStr">
        <is>
          <t>South</t>
        </is>
      </c>
      <c r="E29" s="0" t="inlineStr">
        <is>
          <t>Mobile</t>
        </is>
      </c>
      <c r="F29" s="0" t="inlineStr">
        <is>
          <t>Organic</t>
        </is>
      </c>
      <c r="G29" s="0" t="inlineStr">
        <is>
          <t>Free</t>
        </is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P29" s="0" t="n">
        <v>73.8</v>
      </c>
    </row>
    <row r="30">
      <c r="A30" s="0" t="inlineStr">
        <is>
          <t>USR-100029</t>
        </is>
      </c>
      <c r="B30" s="23" t="n">
        <v>45677</v>
      </c>
      <c r="C30" s="0" t="inlineStr">
        <is>
          <t>Control</t>
        </is>
      </c>
      <c r="D30" s="0" t="inlineStr">
        <is>
          <t>East</t>
        </is>
      </c>
      <c r="E30" s="0" t="inlineStr">
        <is>
          <t>Tablet</t>
        </is>
      </c>
      <c r="F30" s="0" t="inlineStr">
        <is>
          <t>Organic</t>
        </is>
      </c>
      <c r="G30" s="0" t="inlineStr">
        <is>
          <t>Basic</t>
        </is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P30" s="0" t="n">
        <v>60.1</v>
      </c>
    </row>
    <row r="31">
      <c r="A31" s="0" t="inlineStr">
        <is>
          <t>USR-100030</t>
        </is>
      </c>
      <c r="B31" s="23" t="n">
        <v>45796</v>
      </c>
      <c r="C31" s="0" t="inlineStr">
        <is>
          <t>Control</t>
        </is>
      </c>
      <c r="D31" s="0" t="inlineStr">
        <is>
          <t>East</t>
        </is>
      </c>
      <c r="E31" s="0" t="inlineStr">
        <is>
          <t>Mobile</t>
        </is>
      </c>
      <c r="F31" s="0" t="inlineStr">
        <is>
          <t>Social</t>
        </is>
      </c>
      <c r="G31" s="0" t="inlineStr">
        <is>
          <t>Basic</t>
        </is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P31" s="0" t="n">
        <v>41</v>
      </c>
    </row>
    <row r="32">
      <c r="A32" s="0" t="inlineStr">
        <is>
          <t>USR-100031</t>
        </is>
      </c>
      <c r="B32" s="23" t="n">
        <v>45706</v>
      </c>
      <c r="C32" s="0" t="inlineStr">
        <is>
          <t>Control</t>
        </is>
      </c>
      <c r="D32" s="0" t="inlineStr">
        <is>
          <t>South</t>
        </is>
      </c>
      <c r="E32" s="0" t="inlineStr">
        <is>
          <t>Mobile</t>
        </is>
      </c>
      <c r="F32" s="0" t="inlineStr">
        <is>
          <t>Organic</t>
        </is>
      </c>
      <c r="G32" s="0" t="inlineStr">
        <is>
          <t>Basic</t>
        </is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P32" s="0" t="n">
        <v>80.3</v>
      </c>
    </row>
    <row r="33">
      <c r="A33" s="0" t="inlineStr">
        <is>
          <t>USR-100032</t>
        </is>
      </c>
      <c r="B33" s="23" t="n">
        <v>45701</v>
      </c>
      <c r="C33" s="0" t="inlineStr">
        <is>
          <t>Control</t>
        </is>
      </c>
      <c r="D33" s="0" t="inlineStr">
        <is>
          <t>East</t>
        </is>
      </c>
      <c r="E33" s="0" t="inlineStr">
        <is>
          <t>Mobile</t>
        </is>
      </c>
      <c r="F33" s="0" t="inlineStr">
        <is>
          <t>Organic</t>
        </is>
      </c>
      <c r="G33" s="0" t="inlineStr">
        <is>
          <t>Free</t>
        </is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P33" s="0" t="n">
        <v>67.59999999999999</v>
      </c>
    </row>
    <row r="34">
      <c r="A34" s="0" t="inlineStr">
        <is>
          <t>USR-100033</t>
        </is>
      </c>
      <c r="B34" s="23" t="n">
        <v>45724</v>
      </c>
      <c r="C34" s="0" t="inlineStr">
        <is>
          <t>Control</t>
        </is>
      </c>
      <c r="D34" s="0" t="inlineStr">
        <is>
          <t>East</t>
        </is>
      </c>
      <c r="E34" s="0" t="inlineStr">
        <is>
          <t>Desktop</t>
        </is>
      </c>
      <c r="F34" s="0" t="inlineStr">
        <is>
          <t>Referral</t>
        </is>
      </c>
      <c r="G34" s="0" t="inlineStr">
        <is>
          <t>Premium</t>
        </is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P34" s="0" t="n">
        <v>64</v>
      </c>
    </row>
    <row r="35">
      <c r="A35" s="0" t="inlineStr">
        <is>
          <t>USR-100034</t>
        </is>
      </c>
      <c r="B35" s="23" t="n">
        <v>45668</v>
      </c>
      <c r="C35" s="0" t="inlineStr">
        <is>
          <t>Control</t>
        </is>
      </c>
      <c r="D35" s="0" t="inlineStr">
        <is>
          <t>North</t>
        </is>
      </c>
      <c r="E35" s="0" t="inlineStr">
        <is>
          <t>Mobile</t>
        </is>
      </c>
      <c r="F35" s="0" t="inlineStr">
        <is>
          <t>Paid Search</t>
        </is>
      </c>
      <c r="G35" s="0" t="inlineStr">
        <is>
          <t>Free</t>
        </is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P35" s="0" t="n">
        <v>27.2</v>
      </c>
    </row>
    <row r="36">
      <c r="A36" s="0" t="inlineStr">
        <is>
          <t>USR-100035</t>
        </is>
      </c>
      <c r="B36" s="23" t="n">
        <v>45700</v>
      </c>
      <c r="C36" s="0" t="inlineStr">
        <is>
          <t>Control</t>
        </is>
      </c>
      <c r="D36" s="0" t="inlineStr">
        <is>
          <t>North</t>
        </is>
      </c>
      <c r="E36" s="0" t="inlineStr">
        <is>
          <t>Desktop</t>
        </is>
      </c>
      <c r="F36" s="0" t="inlineStr">
        <is>
          <t>Organic</t>
        </is>
      </c>
      <c r="G36" s="0" t="inlineStr">
        <is>
          <t>Free</t>
        </is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P36" s="0" t="n">
        <v>85.40000000000001</v>
      </c>
    </row>
    <row r="37">
      <c r="A37" s="0" t="inlineStr">
        <is>
          <t>USR-100036</t>
        </is>
      </c>
      <c r="B37" s="23" t="n">
        <v>45760</v>
      </c>
      <c r="C37" s="0" t="inlineStr">
        <is>
          <t>Control</t>
        </is>
      </c>
      <c r="D37" s="0" t="inlineStr">
        <is>
          <t>East</t>
        </is>
      </c>
      <c r="E37" s="0" t="inlineStr">
        <is>
          <t>Desktop</t>
        </is>
      </c>
      <c r="F37" s="0" t="inlineStr">
        <is>
          <t>Organic</t>
        </is>
      </c>
      <c r="G37" s="0" t="inlineStr">
        <is>
          <t>Basic</t>
        </is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P37" s="0" t="n">
        <v>75.90000000000001</v>
      </c>
    </row>
    <row r="38">
      <c r="A38" s="0" t="inlineStr">
        <is>
          <t>USR-100037</t>
        </is>
      </c>
      <c r="B38" s="23" t="n">
        <v>45786</v>
      </c>
      <c r="C38" s="0" t="inlineStr">
        <is>
          <t>Control</t>
        </is>
      </c>
      <c r="D38" s="0" t="inlineStr">
        <is>
          <t>East</t>
        </is>
      </c>
      <c r="E38" s="0" t="inlineStr">
        <is>
          <t>Mobile</t>
        </is>
      </c>
      <c r="F38" s="0" t="inlineStr">
        <is>
          <t>Organic</t>
        </is>
      </c>
      <c r="G38" s="0" t="inlineStr">
        <is>
          <t>Premium</t>
        </is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P38" s="0" t="n">
        <v>34.8</v>
      </c>
    </row>
    <row r="39">
      <c r="A39" s="0" t="inlineStr">
        <is>
          <t>USR-100038</t>
        </is>
      </c>
      <c r="B39" s="23" t="n">
        <v>45677</v>
      </c>
      <c r="C39" s="0" t="inlineStr">
        <is>
          <t>Control</t>
        </is>
      </c>
      <c r="D39" s="0" t="inlineStr">
        <is>
          <t>East</t>
        </is>
      </c>
      <c r="E39" s="0" t="inlineStr">
        <is>
          <t>Mobile</t>
        </is>
      </c>
      <c r="F39" s="0" t="inlineStr">
        <is>
          <t>Organic</t>
        </is>
      </c>
      <c r="G39" s="0" t="inlineStr">
        <is>
          <t>Free</t>
        </is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3</v>
      </c>
      <c r="N39" s="0" t="n">
        <v>0</v>
      </c>
      <c r="P39" s="0" t="n">
        <v>48.9</v>
      </c>
    </row>
    <row r="40">
      <c r="A40" s="0" t="inlineStr">
        <is>
          <t>USR-100039</t>
        </is>
      </c>
      <c r="B40" s="23" t="n">
        <v>45790</v>
      </c>
      <c r="C40" s="0" t="inlineStr">
        <is>
          <t>Control</t>
        </is>
      </c>
      <c r="D40" s="0" t="inlineStr">
        <is>
          <t>East</t>
        </is>
      </c>
      <c r="E40" s="0" t="inlineStr">
        <is>
          <t>Mobile</t>
        </is>
      </c>
      <c r="F40" s="0" t="inlineStr">
        <is>
          <t>Email</t>
        </is>
      </c>
      <c r="G40" s="0" t="inlineStr">
        <is>
          <t>Premium</t>
        </is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P40" s="0" t="n">
        <v>41.5</v>
      </c>
    </row>
    <row r="41">
      <c r="A41" s="0" t="inlineStr">
        <is>
          <t>USR-100040</t>
        </is>
      </c>
      <c r="B41" s="23" t="n">
        <v>45754</v>
      </c>
      <c r="C41" s="0" t="inlineStr">
        <is>
          <t>Control</t>
        </is>
      </c>
      <c r="D41" s="0" t="inlineStr">
        <is>
          <t>North</t>
        </is>
      </c>
      <c r="E41" s="0" t="inlineStr">
        <is>
          <t>Desktop</t>
        </is>
      </c>
      <c r="F41" s="0" t="inlineStr">
        <is>
          <t>Organic</t>
        </is>
      </c>
      <c r="G41" s="0" t="inlineStr">
        <is>
          <t>Basic</t>
        </is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P41" s="0" t="n">
        <v>51.5</v>
      </c>
    </row>
    <row r="42">
      <c r="A42" s="0" t="inlineStr">
        <is>
          <t>USR-100041</t>
        </is>
      </c>
      <c r="B42" s="23" t="n">
        <v>45747</v>
      </c>
      <c r="C42" s="0" t="inlineStr">
        <is>
          <t>Control</t>
        </is>
      </c>
      <c r="D42" s="0" t="inlineStr">
        <is>
          <t>North</t>
        </is>
      </c>
      <c r="E42" s="0" t="inlineStr">
        <is>
          <t>Desktop</t>
        </is>
      </c>
      <c r="F42" s="0" t="inlineStr">
        <is>
          <t>Organic</t>
        </is>
      </c>
      <c r="G42" s="0" t="inlineStr">
        <is>
          <t>Free</t>
        </is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P42" s="0" t="n">
        <v>53.2</v>
      </c>
    </row>
    <row r="43">
      <c r="A43" s="0" t="inlineStr">
        <is>
          <t>USR-100042</t>
        </is>
      </c>
      <c r="B43" s="23" t="n">
        <v>45682</v>
      </c>
      <c r="C43" s="0" t="inlineStr">
        <is>
          <t>Control</t>
        </is>
      </c>
      <c r="D43" s="0" t="inlineStr">
        <is>
          <t>East</t>
        </is>
      </c>
      <c r="E43" s="0" t="inlineStr">
        <is>
          <t>Mobile</t>
        </is>
      </c>
      <c r="F43" s="0" t="inlineStr">
        <is>
          <t>Email</t>
        </is>
      </c>
      <c r="G43" s="0" t="inlineStr">
        <is>
          <t>Premium</t>
        </is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P43" s="0" t="n">
        <v>55.6</v>
      </c>
    </row>
    <row r="44">
      <c r="A44" s="0" t="inlineStr">
        <is>
          <t>USR-100043</t>
        </is>
      </c>
      <c r="B44" s="23" t="n">
        <v>45702</v>
      </c>
      <c r="C44" s="0" t="inlineStr">
        <is>
          <t>Control</t>
        </is>
      </c>
      <c r="D44" s="0" t="inlineStr">
        <is>
          <t>South</t>
        </is>
      </c>
      <c r="E44" s="0" t="inlineStr">
        <is>
          <t>Desktop</t>
        </is>
      </c>
      <c r="F44" s="0" t="inlineStr">
        <is>
          <t>Organic</t>
        </is>
      </c>
      <c r="G44" s="0" t="inlineStr">
        <is>
          <t>Free</t>
        </is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P44" s="0" t="n">
        <v>73</v>
      </c>
    </row>
    <row r="45">
      <c r="A45" s="0" t="inlineStr">
        <is>
          <t>USR-100044</t>
        </is>
      </c>
      <c r="B45" s="23" t="n">
        <v>45715</v>
      </c>
      <c r="C45" s="0" t="inlineStr">
        <is>
          <t>Control</t>
        </is>
      </c>
      <c r="D45" s="0" t="inlineStr">
        <is>
          <t>East</t>
        </is>
      </c>
      <c r="E45" s="0" t="inlineStr">
        <is>
          <t>Mobile</t>
        </is>
      </c>
      <c r="F45" s="0" t="inlineStr">
        <is>
          <t>Email</t>
        </is>
      </c>
      <c r="G45" s="0" t="inlineStr">
        <is>
          <t>Free</t>
        </is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P45" s="0" t="n">
        <v>65</v>
      </c>
    </row>
    <row r="46">
      <c r="A46" s="0" t="inlineStr">
        <is>
          <t>USR-100045</t>
        </is>
      </c>
      <c r="B46" s="23" t="n">
        <v>45744</v>
      </c>
      <c r="C46" s="0" t="inlineStr">
        <is>
          <t>Control</t>
        </is>
      </c>
      <c r="D46" s="0" t="inlineStr">
        <is>
          <t>East</t>
        </is>
      </c>
      <c r="E46" s="0" t="inlineStr">
        <is>
          <t>Mobile</t>
        </is>
      </c>
      <c r="F46" s="0" t="inlineStr">
        <is>
          <t>Social</t>
        </is>
      </c>
      <c r="G46" s="0" t="inlineStr">
        <is>
          <t>Free</t>
        </is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4</v>
      </c>
      <c r="N46" s="0" t="n">
        <v>0</v>
      </c>
      <c r="P46" s="0" t="n">
        <v>56.3</v>
      </c>
    </row>
    <row r="47">
      <c r="A47" s="0" t="inlineStr">
        <is>
          <t>USR-100046</t>
        </is>
      </c>
      <c r="B47" s="23" t="n">
        <v>45802</v>
      </c>
      <c r="C47" s="0" t="inlineStr">
        <is>
          <t>Control</t>
        </is>
      </c>
      <c r="D47" s="0" t="inlineStr">
        <is>
          <t>East</t>
        </is>
      </c>
      <c r="E47" s="0" t="inlineStr">
        <is>
          <t>Mobile</t>
        </is>
      </c>
      <c r="F47" s="0" t="inlineStr">
        <is>
          <t>Referral</t>
        </is>
      </c>
      <c r="G47" s="0" t="inlineStr">
        <is>
          <t>Premium</t>
        </is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P47" s="0" t="n">
        <v>62.4</v>
      </c>
    </row>
    <row r="48">
      <c r="A48" s="0" t="inlineStr">
        <is>
          <t>USR-100047</t>
        </is>
      </c>
      <c r="B48" s="23" t="n">
        <v>45782</v>
      </c>
      <c r="C48" s="0" t="inlineStr">
        <is>
          <t>Control</t>
        </is>
      </c>
      <c r="D48" s="0" t="inlineStr">
        <is>
          <t>West</t>
        </is>
      </c>
      <c r="E48" s="0" t="inlineStr">
        <is>
          <t>Desktop</t>
        </is>
      </c>
      <c r="F48" s="0" t="inlineStr">
        <is>
          <t>Organic</t>
        </is>
      </c>
      <c r="G48" s="0" t="inlineStr">
        <is>
          <t>Free</t>
        </is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P48" s="0" t="n">
        <v>58.1</v>
      </c>
    </row>
    <row r="49">
      <c r="A49" s="0" t="inlineStr">
        <is>
          <t>USR-100048</t>
        </is>
      </c>
      <c r="B49" s="23" t="n">
        <v>45793</v>
      </c>
      <c r="C49" s="0" t="inlineStr">
        <is>
          <t>Control</t>
        </is>
      </c>
      <c r="D49" s="0" t="inlineStr">
        <is>
          <t>North</t>
        </is>
      </c>
      <c r="E49" s="0" t="inlineStr">
        <is>
          <t>Mobile</t>
        </is>
      </c>
      <c r="F49" s="0" t="inlineStr">
        <is>
          <t>Organic</t>
        </is>
      </c>
      <c r="G49" s="0" t="inlineStr">
        <is>
          <t>Free</t>
        </is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P49" s="0" t="n">
        <v>80.8</v>
      </c>
    </row>
    <row r="50">
      <c r="A50" s="0" t="inlineStr">
        <is>
          <t>USR-100049</t>
        </is>
      </c>
      <c r="B50" s="23" t="n">
        <v>45665</v>
      </c>
      <c r="C50" s="0" t="inlineStr">
        <is>
          <t>Control</t>
        </is>
      </c>
      <c r="D50" s="0" t="inlineStr">
        <is>
          <t>North</t>
        </is>
      </c>
      <c r="E50" s="0" t="inlineStr">
        <is>
          <t>Mobile</t>
        </is>
      </c>
      <c r="F50" s="0" t="inlineStr">
        <is>
          <t>Social</t>
        </is>
      </c>
      <c r="G50" s="0" t="inlineStr">
        <is>
          <t>Free</t>
        </is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P50" s="0" t="n">
        <v>42.9</v>
      </c>
    </row>
    <row r="51">
      <c r="A51" s="0" t="inlineStr">
        <is>
          <t>USR-100050</t>
        </is>
      </c>
      <c r="B51" s="23" t="n">
        <v>45663</v>
      </c>
      <c r="C51" s="0" t="inlineStr">
        <is>
          <t>Control</t>
        </is>
      </c>
      <c r="D51" s="0" t="inlineStr">
        <is>
          <t>West</t>
        </is>
      </c>
      <c r="E51" s="0" t="inlineStr">
        <is>
          <t>Desktop</t>
        </is>
      </c>
      <c r="F51" s="0" t="inlineStr">
        <is>
          <t>Paid Search</t>
        </is>
      </c>
      <c r="G51" s="0" t="inlineStr">
        <is>
          <t>Free</t>
        </is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P51" s="0" t="n">
        <v>52.7</v>
      </c>
    </row>
    <row r="52">
      <c r="A52" s="0" t="inlineStr">
        <is>
          <t>USR-100051</t>
        </is>
      </c>
      <c r="B52" s="23" t="n">
        <v>45669</v>
      </c>
      <c r="C52" s="0" t="inlineStr">
        <is>
          <t>Control</t>
        </is>
      </c>
      <c r="D52" s="0" t="inlineStr">
        <is>
          <t>North</t>
        </is>
      </c>
      <c r="E52" s="0" t="inlineStr">
        <is>
          <t>Mobile</t>
        </is>
      </c>
      <c r="F52" s="0" t="inlineStr">
        <is>
          <t>Social</t>
        </is>
      </c>
      <c r="G52" s="0" t="inlineStr">
        <is>
          <t>Basic</t>
        </is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P52" s="0" t="n">
        <v>46.9</v>
      </c>
    </row>
    <row r="53">
      <c r="A53" s="0" t="inlineStr">
        <is>
          <t>USR-100052</t>
        </is>
      </c>
      <c r="B53" s="23" t="n">
        <v>45702</v>
      </c>
      <c r="C53" s="0" t="inlineStr">
        <is>
          <t>Control</t>
        </is>
      </c>
      <c r="D53" s="0" t="inlineStr">
        <is>
          <t>East</t>
        </is>
      </c>
      <c r="E53" s="0" t="inlineStr">
        <is>
          <t>Desktop</t>
        </is>
      </c>
      <c r="F53" s="0" t="inlineStr">
        <is>
          <t>Email</t>
        </is>
      </c>
      <c r="G53" s="0" t="inlineStr">
        <is>
          <t>Premium</t>
        </is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P53" s="0" t="n">
        <v>63</v>
      </c>
    </row>
    <row r="54">
      <c r="A54" s="0" t="inlineStr">
        <is>
          <t>USR-100053</t>
        </is>
      </c>
      <c r="B54" s="23" t="n">
        <v>45726</v>
      </c>
      <c r="C54" s="0" t="inlineStr">
        <is>
          <t>Control</t>
        </is>
      </c>
      <c r="D54" s="0" t="inlineStr">
        <is>
          <t>South</t>
        </is>
      </c>
      <c r="E54" s="0" t="inlineStr">
        <is>
          <t>Tablet</t>
        </is>
      </c>
      <c r="F54" s="0" t="inlineStr">
        <is>
          <t>Organic</t>
        </is>
      </c>
      <c r="G54" s="0" t="inlineStr">
        <is>
          <t>Free</t>
        </is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P54" s="0" t="n">
        <v>53.6</v>
      </c>
    </row>
    <row r="55">
      <c r="A55" s="0" t="inlineStr">
        <is>
          <t>USR-100054</t>
        </is>
      </c>
      <c r="B55" s="23" t="n">
        <v>45767</v>
      </c>
      <c r="C55" s="0" t="inlineStr">
        <is>
          <t>Control</t>
        </is>
      </c>
      <c r="D55" s="0" t="inlineStr">
        <is>
          <t>West</t>
        </is>
      </c>
      <c r="E55" s="0" t="inlineStr">
        <is>
          <t>Desktop</t>
        </is>
      </c>
      <c r="F55" s="0" t="inlineStr">
        <is>
          <t>Organic</t>
        </is>
      </c>
      <c r="G55" s="0" t="inlineStr">
        <is>
          <t>Basic</t>
        </is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P55" s="0" t="n">
        <v>49.6</v>
      </c>
    </row>
    <row r="56">
      <c r="A56" s="0" t="inlineStr">
        <is>
          <t>USR-100055</t>
        </is>
      </c>
      <c r="B56" s="23" t="n">
        <v>45707</v>
      </c>
      <c r="C56" s="0" t="inlineStr">
        <is>
          <t>Control</t>
        </is>
      </c>
      <c r="D56" s="0" t="inlineStr">
        <is>
          <t>South</t>
        </is>
      </c>
      <c r="E56" s="0" t="inlineStr">
        <is>
          <t>Mobile</t>
        </is>
      </c>
      <c r="F56" s="0" t="inlineStr">
        <is>
          <t>Organic</t>
        </is>
      </c>
      <c r="G56" s="0" t="inlineStr">
        <is>
          <t>Free</t>
        </is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P56" s="0" t="n">
        <v>54</v>
      </c>
    </row>
    <row r="57">
      <c r="A57" s="0" t="inlineStr">
        <is>
          <t>USR-100056</t>
        </is>
      </c>
      <c r="B57" s="23" t="n">
        <v>45794</v>
      </c>
      <c r="C57" s="0" t="inlineStr">
        <is>
          <t>Control</t>
        </is>
      </c>
      <c r="D57" s="0" t="inlineStr">
        <is>
          <t>South</t>
        </is>
      </c>
      <c r="E57" s="0" t="inlineStr">
        <is>
          <t>Mobile</t>
        </is>
      </c>
      <c r="F57" s="0" t="inlineStr">
        <is>
          <t>Social</t>
        </is>
      </c>
      <c r="G57" s="0" t="inlineStr">
        <is>
          <t>Basic</t>
        </is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0</v>
      </c>
      <c r="P57" s="0" t="n">
        <v>50</v>
      </c>
    </row>
    <row r="58">
      <c r="A58" s="0" t="inlineStr">
        <is>
          <t>USR-100057</t>
        </is>
      </c>
      <c r="B58" s="23" t="n">
        <v>45748</v>
      </c>
      <c r="C58" s="0" t="inlineStr">
        <is>
          <t>Control</t>
        </is>
      </c>
      <c r="D58" s="0" t="inlineStr">
        <is>
          <t>East</t>
        </is>
      </c>
      <c r="E58" s="0" t="inlineStr">
        <is>
          <t>Mobile</t>
        </is>
      </c>
      <c r="F58" s="0" t="inlineStr">
        <is>
          <t>Social</t>
        </is>
      </c>
      <c r="G58" s="0" t="inlineStr">
        <is>
          <t>Basic</t>
        </is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P58" s="0" t="n">
        <v>48.1</v>
      </c>
    </row>
    <row r="59">
      <c r="A59" s="0" t="inlineStr">
        <is>
          <t>USR-100058</t>
        </is>
      </c>
      <c r="B59" s="23" t="n">
        <v>45692</v>
      </c>
      <c r="C59" s="0" t="inlineStr">
        <is>
          <t>Control</t>
        </is>
      </c>
      <c r="D59" s="0" t="inlineStr">
        <is>
          <t>North</t>
        </is>
      </c>
      <c r="E59" s="0" t="inlineStr">
        <is>
          <t>Desktop</t>
        </is>
      </c>
      <c r="F59" s="0" t="inlineStr">
        <is>
          <t>Organic</t>
        </is>
      </c>
      <c r="G59" s="0" t="inlineStr">
        <is>
          <t>Free</t>
        </is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P59" s="0" t="n">
        <v>49.6</v>
      </c>
    </row>
    <row r="60">
      <c r="A60" s="0" t="inlineStr">
        <is>
          <t>USR-100059</t>
        </is>
      </c>
      <c r="B60" s="23" t="n">
        <v>45761</v>
      </c>
      <c r="C60" s="0" t="inlineStr">
        <is>
          <t>Control</t>
        </is>
      </c>
      <c r="D60" s="0" t="inlineStr">
        <is>
          <t>North</t>
        </is>
      </c>
      <c r="E60" s="0" t="inlineStr">
        <is>
          <t>Mobile</t>
        </is>
      </c>
      <c r="F60" s="0" t="inlineStr">
        <is>
          <t>Social</t>
        </is>
      </c>
      <c r="G60" s="0" t="inlineStr">
        <is>
          <t>Free</t>
        </is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P60" s="0" t="n">
        <v>48.9</v>
      </c>
    </row>
    <row r="61">
      <c r="A61" s="0" t="inlineStr">
        <is>
          <t>USR-100060</t>
        </is>
      </c>
      <c r="B61" s="23" t="n">
        <v>45658</v>
      </c>
      <c r="C61" s="0" t="inlineStr">
        <is>
          <t>Control</t>
        </is>
      </c>
      <c r="D61" s="0" t="inlineStr">
        <is>
          <t>West</t>
        </is>
      </c>
      <c r="E61" s="0" t="inlineStr">
        <is>
          <t>Mobile</t>
        </is>
      </c>
      <c r="F61" s="0" t="inlineStr">
        <is>
          <t>Social</t>
        </is>
      </c>
      <c r="G61" s="0" t="inlineStr">
        <is>
          <t>Free</t>
        </is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240.42</v>
      </c>
      <c r="M61" s="0" t="n">
        <v>0</v>
      </c>
      <c r="N61" s="0" t="n">
        <v>0</v>
      </c>
      <c r="O61" s="0" t="n">
        <v>16</v>
      </c>
      <c r="P61" s="0" t="n">
        <v>56.5</v>
      </c>
    </row>
    <row r="62">
      <c r="A62" s="0" t="inlineStr">
        <is>
          <t>USR-100061</t>
        </is>
      </c>
      <c r="B62" s="23" t="n">
        <v>45749</v>
      </c>
      <c r="C62" s="0" t="inlineStr">
        <is>
          <t>Control</t>
        </is>
      </c>
      <c r="D62" s="0" t="inlineStr">
        <is>
          <t>South</t>
        </is>
      </c>
      <c r="E62" s="0" t="inlineStr">
        <is>
          <t>Mobile</t>
        </is>
      </c>
      <c r="F62" s="0" t="inlineStr">
        <is>
          <t>Referral</t>
        </is>
      </c>
      <c r="G62" s="0" t="inlineStr">
        <is>
          <t>Free</t>
        </is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P62" s="0" t="n">
        <v>53.7</v>
      </c>
    </row>
    <row r="63">
      <c r="A63" s="0" t="inlineStr">
        <is>
          <t>USR-100062</t>
        </is>
      </c>
      <c r="B63" s="23" t="n">
        <v>45745</v>
      </c>
      <c r="C63" s="0" t="inlineStr">
        <is>
          <t>Control</t>
        </is>
      </c>
      <c r="D63" s="0" t="inlineStr">
        <is>
          <t>North</t>
        </is>
      </c>
      <c r="E63" s="0" t="inlineStr">
        <is>
          <t>Mobile</t>
        </is>
      </c>
      <c r="F63" s="0" t="inlineStr">
        <is>
          <t>Social</t>
        </is>
      </c>
      <c r="G63" s="0" t="inlineStr">
        <is>
          <t>Premium</t>
        </is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P63" s="0" t="n">
        <v>62.2</v>
      </c>
    </row>
    <row r="64">
      <c r="A64" s="0" t="inlineStr">
        <is>
          <t>USR-100063</t>
        </is>
      </c>
      <c r="B64" s="23" t="n">
        <v>45792</v>
      </c>
      <c r="C64" s="0" t="inlineStr">
        <is>
          <t>Control</t>
        </is>
      </c>
      <c r="D64" s="0" t="inlineStr">
        <is>
          <t>South</t>
        </is>
      </c>
      <c r="E64" s="0" t="inlineStr">
        <is>
          <t>Desktop</t>
        </is>
      </c>
      <c r="F64" s="0" t="inlineStr">
        <is>
          <t>Organic</t>
        </is>
      </c>
      <c r="G64" s="0" t="inlineStr">
        <is>
          <t>Free</t>
        </is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P64" s="0" t="n">
        <v>50.2</v>
      </c>
    </row>
    <row r="65">
      <c r="A65" s="0" t="inlineStr">
        <is>
          <t>USR-100064</t>
        </is>
      </c>
      <c r="B65" s="23" t="n">
        <v>45758</v>
      </c>
      <c r="C65" s="0" t="inlineStr">
        <is>
          <t>Control</t>
        </is>
      </c>
      <c r="D65" s="0" t="inlineStr">
        <is>
          <t>North</t>
        </is>
      </c>
      <c r="E65" s="0" t="inlineStr">
        <is>
          <t>Mobile</t>
        </is>
      </c>
      <c r="F65" s="0" t="inlineStr">
        <is>
          <t>Organic</t>
        </is>
      </c>
      <c r="G65" s="0" t="inlineStr">
        <is>
          <t>Basic</t>
        </is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P65" s="0" t="n">
        <v>74.3</v>
      </c>
    </row>
    <row r="66">
      <c r="A66" s="0" t="inlineStr">
        <is>
          <t>USR-100065</t>
        </is>
      </c>
      <c r="B66" s="23" t="n">
        <v>45723</v>
      </c>
      <c r="C66" s="0" t="inlineStr">
        <is>
          <t>Control</t>
        </is>
      </c>
      <c r="D66" s="0" t="inlineStr">
        <is>
          <t>South</t>
        </is>
      </c>
      <c r="E66" s="0" t="inlineStr">
        <is>
          <t>Desktop</t>
        </is>
      </c>
      <c r="F66" s="0" t="inlineStr">
        <is>
          <t>Paid Search</t>
        </is>
      </c>
      <c r="G66" s="0" t="inlineStr">
        <is>
          <t>Free</t>
        </is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P66" s="0" t="n">
        <v>58</v>
      </c>
    </row>
    <row r="67">
      <c r="A67" s="0" t="inlineStr">
        <is>
          <t>USR-100066</t>
        </is>
      </c>
      <c r="B67" s="23" t="n">
        <v>45807</v>
      </c>
      <c r="C67" s="0" t="inlineStr">
        <is>
          <t>Control</t>
        </is>
      </c>
      <c r="D67" s="0" t="inlineStr">
        <is>
          <t>South</t>
        </is>
      </c>
      <c r="E67" s="0" t="inlineStr">
        <is>
          <t>Mobile</t>
        </is>
      </c>
      <c r="F67" s="0" t="inlineStr">
        <is>
          <t>Organic</t>
        </is>
      </c>
      <c r="G67" s="0" t="inlineStr">
        <is>
          <t>Free</t>
        </is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P67" s="0" t="n">
        <v>46.7</v>
      </c>
    </row>
    <row r="68">
      <c r="A68" s="0" t="inlineStr">
        <is>
          <t>USR-100067</t>
        </is>
      </c>
      <c r="B68" s="23" t="n">
        <v>45664</v>
      </c>
      <c r="C68" s="0" t="inlineStr">
        <is>
          <t>Control</t>
        </is>
      </c>
      <c r="D68" s="0" t="inlineStr">
        <is>
          <t>South</t>
        </is>
      </c>
      <c r="E68" s="0" t="inlineStr">
        <is>
          <t>Desktop</t>
        </is>
      </c>
      <c r="F68" s="0" t="inlineStr">
        <is>
          <t>Organic</t>
        </is>
      </c>
      <c r="G68" s="0" t="inlineStr">
        <is>
          <t>Premium</t>
        </is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P68" s="0" t="n">
        <v>49.6</v>
      </c>
    </row>
    <row r="69">
      <c r="A69" s="0" t="inlineStr">
        <is>
          <t>USR-100068</t>
        </is>
      </c>
      <c r="B69" s="23" t="n">
        <v>45785</v>
      </c>
      <c r="C69" s="0" t="inlineStr">
        <is>
          <t>Control</t>
        </is>
      </c>
      <c r="D69" s="0" t="inlineStr">
        <is>
          <t>West</t>
        </is>
      </c>
      <c r="E69" s="0" t="inlineStr">
        <is>
          <t>Mobile</t>
        </is>
      </c>
      <c r="F69" s="0" t="inlineStr">
        <is>
          <t>Social</t>
        </is>
      </c>
      <c r="G69" s="0" t="inlineStr">
        <is>
          <t>Free</t>
        </is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P69" s="0" t="n">
        <v>60.4</v>
      </c>
    </row>
    <row r="70">
      <c r="A70" s="0" t="inlineStr">
        <is>
          <t>USR-100069</t>
        </is>
      </c>
      <c r="B70" s="23" t="n">
        <v>45735</v>
      </c>
      <c r="C70" s="0" t="inlineStr">
        <is>
          <t>Control</t>
        </is>
      </c>
      <c r="D70" s="0" t="inlineStr">
        <is>
          <t>East</t>
        </is>
      </c>
      <c r="E70" s="0" t="inlineStr">
        <is>
          <t>Desktop</t>
        </is>
      </c>
      <c r="F70" s="0" t="inlineStr">
        <is>
          <t>Email</t>
        </is>
      </c>
      <c r="G70" s="0" t="inlineStr">
        <is>
          <t>Free</t>
        </is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P70" s="0" t="n">
        <v>55.3</v>
      </c>
    </row>
    <row r="71">
      <c r="A71" s="0" t="inlineStr">
        <is>
          <t>USR-100070</t>
        </is>
      </c>
      <c r="B71" s="23" t="n">
        <v>45793</v>
      </c>
      <c r="C71" s="0" t="inlineStr">
        <is>
          <t>Control</t>
        </is>
      </c>
      <c r="D71" s="0" t="inlineStr">
        <is>
          <t>North</t>
        </is>
      </c>
      <c r="E71" s="0" t="inlineStr">
        <is>
          <t>Desktop</t>
        </is>
      </c>
      <c r="F71" s="0" t="inlineStr">
        <is>
          <t>Organic</t>
        </is>
      </c>
      <c r="G71" s="0" t="inlineStr">
        <is>
          <t>Free</t>
        </is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P71" s="0" t="n">
        <v>56.2</v>
      </c>
    </row>
    <row r="72">
      <c r="A72" s="0" t="inlineStr">
        <is>
          <t>USR-100071</t>
        </is>
      </c>
      <c r="B72" s="23" t="n">
        <v>45724</v>
      </c>
      <c r="C72" s="0" t="inlineStr">
        <is>
          <t>Control</t>
        </is>
      </c>
      <c r="D72" s="0" t="inlineStr">
        <is>
          <t>West</t>
        </is>
      </c>
      <c r="E72" s="0" t="inlineStr">
        <is>
          <t>Mobile</t>
        </is>
      </c>
      <c r="F72" s="0" t="inlineStr">
        <is>
          <t>Email</t>
        </is>
      </c>
      <c r="G72" s="0" t="inlineStr">
        <is>
          <t>Free</t>
        </is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P72" s="0" t="n">
        <v>29.4</v>
      </c>
    </row>
    <row r="73">
      <c r="A73" s="0" t="inlineStr">
        <is>
          <t>USR-100072</t>
        </is>
      </c>
      <c r="B73" s="23" t="n">
        <v>45724</v>
      </c>
      <c r="C73" s="0" t="inlineStr">
        <is>
          <t>Control</t>
        </is>
      </c>
      <c r="D73" s="0" t="inlineStr">
        <is>
          <t>East</t>
        </is>
      </c>
      <c r="E73" s="0" t="inlineStr">
        <is>
          <t>Mobile</t>
        </is>
      </c>
      <c r="F73" s="0" t="inlineStr">
        <is>
          <t>Email</t>
        </is>
      </c>
      <c r="G73" s="0" t="inlineStr">
        <is>
          <t>Free</t>
        </is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P73" s="0" t="n">
        <v>54.2</v>
      </c>
    </row>
    <row r="74">
      <c r="A74" s="0" t="inlineStr">
        <is>
          <t>USR-100073</t>
        </is>
      </c>
      <c r="B74" s="23" t="n">
        <v>45671</v>
      </c>
      <c r="C74" s="0" t="inlineStr">
        <is>
          <t>Control</t>
        </is>
      </c>
      <c r="D74" s="0" t="inlineStr">
        <is>
          <t>East</t>
        </is>
      </c>
      <c r="E74" s="0" t="inlineStr">
        <is>
          <t>Desktop</t>
        </is>
      </c>
      <c r="F74" s="0" t="inlineStr">
        <is>
          <t>Paid Search</t>
        </is>
      </c>
      <c r="G74" s="0" t="inlineStr">
        <is>
          <t>Basic</t>
        </is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P74" s="0" t="n">
        <v>46.4</v>
      </c>
    </row>
    <row r="75">
      <c r="A75" s="0" t="inlineStr">
        <is>
          <t>USR-100074</t>
        </is>
      </c>
      <c r="B75" s="23" t="n">
        <v>45698</v>
      </c>
      <c r="C75" s="0" t="inlineStr">
        <is>
          <t>Control</t>
        </is>
      </c>
      <c r="D75" s="0" t="inlineStr">
        <is>
          <t>South</t>
        </is>
      </c>
      <c r="E75" s="0" t="inlineStr">
        <is>
          <t>Mobile</t>
        </is>
      </c>
      <c r="F75" s="0" t="inlineStr">
        <is>
          <t>Paid Search</t>
        </is>
      </c>
      <c r="G75" s="0" t="inlineStr">
        <is>
          <t>Basic</t>
        </is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P75" s="0" t="n">
        <v>54.5</v>
      </c>
    </row>
    <row r="76">
      <c r="A76" s="0" t="inlineStr">
        <is>
          <t>USR-100075</t>
        </is>
      </c>
      <c r="B76" s="23" t="n">
        <v>45733</v>
      </c>
      <c r="C76" s="0" t="inlineStr">
        <is>
          <t>Control</t>
        </is>
      </c>
      <c r="D76" s="0" t="inlineStr">
        <is>
          <t>North</t>
        </is>
      </c>
      <c r="E76" s="0" t="inlineStr">
        <is>
          <t>Mobile</t>
        </is>
      </c>
      <c r="F76" s="0" t="inlineStr">
        <is>
          <t>Organic</t>
        </is>
      </c>
      <c r="G76" s="0" t="inlineStr">
        <is>
          <t>Free</t>
        </is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P76" s="0" t="n">
        <v>58.5</v>
      </c>
    </row>
    <row r="77">
      <c r="A77" s="0" t="inlineStr">
        <is>
          <t>USR-100076</t>
        </is>
      </c>
      <c r="B77" s="23" t="n">
        <v>45666</v>
      </c>
      <c r="C77" s="0" t="inlineStr">
        <is>
          <t>Control</t>
        </is>
      </c>
      <c r="D77" s="0" t="inlineStr">
        <is>
          <t>South</t>
        </is>
      </c>
      <c r="E77" s="0" t="inlineStr">
        <is>
          <t>Mobile</t>
        </is>
      </c>
      <c r="F77" s="0" t="inlineStr">
        <is>
          <t>Email</t>
        </is>
      </c>
      <c r="G77" s="0" t="inlineStr">
        <is>
          <t>Free</t>
        </is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P77" s="0" t="n">
        <v>75.90000000000001</v>
      </c>
    </row>
    <row r="78">
      <c r="A78" s="0" t="inlineStr">
        <is>
          <t>USR-100077</t>
        </is>
      </c>
      <c r="B78" s="23" t="n">
        <v>45764</v>
      </c>
      <c r="C78" s="0" t="inlineStr">
        <is>
          <t>Control</t>
        </is>
      </c>
      <c r="D78" s="0" t="inlineStr">
        <is>
          <t>North</t>
        </is>
      </c>
      <c r="E78" s="0" t="inlineStr">
        <is>
          <t>Mobile</t>
        </is>
      </c>
      <c r="F78" s="0" t="inlineStr">
        <is>
          <t>Referral</t>
        </is>
      </c>
      <c r="G78" s="0" t="inlineStr">
        <is>
          <t>Free</t>
        </is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P78" s="0" t="n">
        <v>84.90000000000001</v>
      </c>
    </row>
    <row r="79">
      <c r="A79" s="0" t="inlineStr">
        <is>
          <t>USR-100078</t>
        </is>
      </c>
      <c r="B79" s="23" t="n">
        <v>45673</v>
      </c>
      <c r="C79" s="0" t="inlineStr">
        <is>
          <t>Control</t>
        </is>
      </c>
      <c r="D79" s="0" t="inlineStr">
        <is>
          <t>North</t>
        </is>
      </c>
      <c r="E79" s="0" t="inlineStr">
        <is>
          <t>Mobile</t>
        </is>
      </c>
      <c r="F79" s="0" t="inlineStr">
        <is>
          <t>Organic</t>
        </is>
      </c>
      <c r="G79" s="0" t="inlineStr">
        <is>
          <t>Free</t>
        </is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0</v>
      </c>
      <c r="P79" s="0" t="n">
        <v>48.4</v>
      </c>
    </row>
    <row r="80">
      <c r="A80" s="0" t="inlineStr">
        <is>
          <t>USR-100079</t>
        </is>
      </c>
      <c r="B80" s="23" t="n">
        <v>45708</v>
      </c>
      <c r="C80" s="0" t="inlineStr">
        <is>
          <t>Control</t>
        </is>
      </c>
      <c r="D80" s="0" t="inlineStr">
        <is>
          <t>West</t>
        </is>
      </c>
      <c r="E80" s="0" t="inlineStr">
        <is>
          <t>Desktop</t>
        </is>
      </c>
      <c r="F80" s="0" t="inlineStr">
        <is>
          <t>Organic</t>
        </is>
      </c>
      <c r="G80" s="0" t="inlineStr">
        <is>
          <t>Free</t>
        </is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457.51</v>
      </c>
      <c r="M80" s="0" t="n">
        <v>0</v>
      </c>
      <c r="N80" s="0" t="n">
        <v>0</v>
      </c>
      <c r="O80" s="0" t="n">
        <v>7</v>
      </c>
      <c r="P80" s="0" t="n">
        <v>38</v>
      </c>
    </row>
    <row r="81">
      <c r="A81" s="0" t="inlineStr">
        <is>
          <t>USR-100080</t>
        </is>
      </c>
      <c r="B81" s="23" t="n">
        <v>45798</v>
      </c>
      <c r="C81" s="0" t="inlineStr">
        <is>
          <t>Control</t>
        </is>
      </c>
      <c r="D81" s="0" t="inlineStr">
        <is>
          <t>East</t>
        </is>
      </c>
      <c r="E81" s="0" t="inlineStr">
        <is>
          <t>Mobile</t>
        </is>
      </c>
      <c r="F81" s="0" t="inlineStr">
        <is>
          <t>Social</t>
        </is>
      </c>
      <c r="G81" s="0" t="inlineStr">
        <is>
          <t>Free</t>
        </is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P81" s="0" t="n">
        <v>44.2</v>
      </c>
    </row>
    <row r="82">
      <c r="A82" s="0" t="inlineStr">
        <is>
          <t>USR-100081</t>
        </is>
      </c>
      <c r="B82" s="23" t="n">
        <v>45785</v>
      </c>
      <c r="C82" s="0" t="inlineStr">
        <is>
          <t>Control</t>
        </is>
      </c>
      <c r="D82" s="0" t="inlineStr">
        <is>
          <t>South</t>
        </is>
      </c>
      <c r="E82" s="0" t="inlineStr">
        <is>
          <t>Mobile</t>
        </is>
      </c>
      <c r="F82" s="0" t="inlineStr">
        <is>
          <t>Organic</t>
        </is>
      </c>
      <c r="G82" s="0" t="inlineStr">
        <is>
          <t>Free</t>
        </is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P82" s="0" t="n">
        <v>81.2</v>
      </c>
    </row>
    <row r="83">
      <c r="A83" s="0" t="inlineStr">
        <is>
          <t>USR-100082</t>
        </is>
      </c>
      <c r="B83" s="23" t="n">
        <v>45724</v>
      </c>
      <c r="C83" s="0" t="inlineStr">
        <is>
          <t>Control</t>
        </is>
      </c>
      <c r="D83" s="0" t="inlineStr">
        <is>
          <t>South</t>
        </is>
      </c>
      <c r="E83" s="0" t="inlineStr">
        <is>
          <t>Mobile</t>
        </is>
      </c>
      <c r="F83" s="0" t="inlineStr">
        <is>
          <t>Referral</t>
        </is>
      </c>
      <c r="G83" s="0" t="inlineStr">
        <is>
          <t>Free</t>
        </is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P83" s="0" t="n">
        <v>63.8</v>
      </c>
    </row>
    <row r="84">
      <c r="A84" s="0" t="inlineStr">
        <is>
          <t>USR-100083</t>
        </is>
      </c>
      <c r="B84" s="23" t="n">
        <v>45748</v>
      </c>
      <c r="C84" s="0" t="inlineStr">
        <is>
          <t>Control</t>
        </is>
      </c>
      <c r="D84" s="0" t="inlineStr">
        <is>
          <t>South</t>
        </is>
      </c>
      <c r="E84" s="0" t="inlineStr">
        <is>
          <t>Desktop</t>
        </is>
      </c>
      <c r="F84" s="0" t="inlineStr">
        <is>
          <t>Email</t>
        </is>
      </c>
      <c r="G84" s="0" t="inlineStr">
        <is>
          <t>Free</t>
        </is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P84" s="0" t="n">
        <v>64.7</v>
      </c>
    </row>
    <row r="85">
      <c r="A85" s="0" t="inlineStr">
        <is>
          <t>USR-100084</t>
        </is>
      </c>
      <c r="B85" s="23" t="n">
        <v>45719</v>
      </c>
      <c r="C85" s="0" t="inlineStr">
        <is>
          <t>Control</t>
        </is>
      </c>
      <c r="D85" s="0" t="inlineStr">
        <is>
          <t>West</t>
        </is>
      </c>
      <c r="E85" s="0" t="inlineStr">
        <is>
          <t>Mobile</t>
        </is>
      </c>
      <c r="F85" s="0" t="inlineStr">
        <is>
          <t>Social</t>
        </is>
      </c>
      <c r="G85" s="0" t="inlineStr">
        <is>
          <t>Basic</t>
        </is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P85" s="0" t="n">
        <v>60.4</v>
      </c>
    </row>
    <row r="86">
      <c r="A86" s="0" t="inlineStr">
        <is>
          <t>USR-100085</t>
        </is>
      </c>
      <c r="B86" s="23" t="n">
        <v>45763</v>
      </c>
      <c r="C86" s="0" t="inlineStr">
        <is>
          <t>Control</t>
        </is>
      </c>
      <c r="D86" s="0" t="inlineStr">
        <is>
          <t>South</t>
        </is>
      </c>
      <c r="E86" s="0" t="inlineStr">
        <is>
          <t>Mobile</t>
        </is>
      </c>
      <c r="F86" s="0" t="inlineStr">
        <is>
          <t>Paid Search</t>
        </is>
      </c>
      <c r="G86" s="0" t="inlineStr">
        <is>
          <t>Free</t>
        </is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P86" s="0" t="n">
        <v>66.59999999999999</v>
      </c>
    </row>
    <row r="87">
      <c r="A87" s="0" t="inlineStr">
        <is>
          <t>USR-100086</t>
        </is>
      </c>
      <c r="B87" s="23" t="n">
        <v>45666</v>
      </c>
      <c r="C87" s="0" t="inlineStr">
        <is>
          <t>Control</t>
        </is>
      </c>
      <c r="D87" s="0" t="inlineStr">
        <is>
          <t>North</t>
        </is>
      </c>
      <c r="E87" s="0" t="inlineStr">
        <is>
          <t>Desktop</t>
        </is>
      </c>
      <c r="F87" s="0" t="inlineStr">
        <is>
          <t>Organic</t>
        </is>
      </c>
      <c r="G87" s="0" t="inlineStr">
        <is>
          <t>Free</t>
        </is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P87" s="0" t="n">
        <v>50.9</v>
      </c>
    </row>
    <row r="88">
      <c r="A88" s="0" t="inlineStr">
        <is>
          <t>USR-100087</t>
        </is>
      </c>
      <c r="B88" s="23" t="n">
        <v>45679</v>
      </c>
      <c r="C88" s="0" t="inlineStr">
        <is>
          <t>Control</t>
        </is>
      </c>
      <c r="D88" s="0" t="inlineStr">
        <is>
          <t>West</t>
        </is>
      </c>
      <c r="E88" s="0" t="inlineStr">
        <is>
          <t>Desktop</t>
        </is>
      </c>
      <c r="F88" s="0" t="inlineStr">
        <is>
          <t>Social</t>
        </is>
      </c>
      <c r="G88" s="0" t="inlineStr">
        <is>
          <t>Basic</t>
        </is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P88" s="0" t="n">
        <v>51</v>
      </c>
    </row>
    <row r="89">
      <c r="A89" s="0" t="inlineStr">
        <is>
          <t>USR-100088</t>
        </is>
      </c>
      <c r="B89" s="23" t="n">
        <v>45777</v>
      </c>
      <c r="C89" s="0" t="inlineStr">
        <is>
          <t>Control</t>
        </is>
      </c>
      <c r="D89" s="0" t="inlineStr">
        <is>
          <t>South</t>
        </is>
      </c>
      <c r="E89" s="0" t="inlineStr">
        <is>
          <t>Mobile</t>
        </is>
      </c>
      <c r="F89" s="0" t="inlineStr">
        <is>
          <t>Email</t>
        </is>
      </c>
      <c r="G89" s="0" t="inlineStr">
        <is>
          <t>Premium</t>
        </is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P89" s="0" t="n">
        <v>65.8</v>
      </c>
    </row>
    <row r="90">
      <c r="A90" s="0" t="inlineStr">
        <is>
          <t>USR-100089</t>
        </is>
      </c>
      <c r="B90" s="23" t="n">
        <v>45772</v>
      </c>
      <c r="C90" s="0" t="inlineStr">
        <is>
          <t>Control</t>
        </is>
      </c>
      <c r="D90" s="0" t="inlineStr">
        <is>
          <t>North</t>
        </is>
      </c>
      <c r="E90" s="0" t="inlineStr">
        <is>
          <t>Mobile</t>
        </is>
      </c>
      <c r="F90" s="0" t="inlineStr">
        <is>
          <t>Referral</t>
        </is>
      </c>
      <c r="G90" s="0" t="inlineStr">
        <is>
          <t>Basic</t>
        </is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P90" s="0" t="n">
        <v>61.8</v>
      </c>
    </row>
    <row r="91">
      <c r="A91" s="0" t="inlineStr">
        <is>
          <t>USR-100090</t>
        </is>
      </c>
      <c r="B91" s="23" t="n">
        <v>45689</v>
      </c>
      <c r="C91" s="0" t="inlineStr">
        <is>
          <t>Control</t>
        </is>
      </c>
      <c r="D91" s="0" t="inlineStr">
        <is>
          <t>North</t>
        </is>
      </c>
      <c r="E91" s="0" t="inlineStr">
        <is>
          <t>Mobile</t>
        </is>
      </c>
      <c r="F91" s="0" t="inlineStr">
        <is>
          <t>Organic</t>
        </is>
      </c>
      <c r="G91" s="0" t="inlineStr">
        <is>
          <t>Basic</t>
        </is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P91" s="0" t="n">
        <v>54.5</v>
      </c>
    </row>
    <row r="92">
      <c r="A92" s="0" t="inlineStr">
        <is>
          <t>USR-100091</t>
        </is>
      </c>
      <c r="B92" s="23" t="n">
        <v>45770</v>
      </c>
      <c r="C92" s="0" t="inlineStr">
        <is>
          <t>Control</t>
        </is>
      </c>
      <c r="D92" s="0" t="inlineStr">
        <is>
          <t>South</t>
        </is>
      </c>
      <c r="E92" s="0" t="inlineStr">
        <is>
          <t>Desktop</t>
        </is>
      </c>
      <c r="F92" s="0" t="inlineStr">
        <is>
          <t>Organic</t>
        </is>
      </c>
      <c r="G92" s="0" t="inlineStr">
        <is>
          <t>Free</t>
        </is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P92" s="0" t="n">
        <v>72.2</v>
      </c>
    </row>
    <row r="93">
      <c r="A93" s="0" t="inlineStr">
        <is>
          <t>USR-100092</t>
        </is>
      </c>
      <c r="B93" s="23" t="n">
        <v>45715</v>
      </c>
      <c r="C93" s="0" t="inlineStr">
        <is>
          <t>Control</t>
        </is>
      </c>
      <c r="D93" s="0" t="inlineStr">
        <is>
          <t>South</t>
        </is>
      </c>
      <c r="E93" s="0" t="inlineStr">
        <is>
          <t>Mobile</t>
        </is>
      </c>
      <c r="F93" s="0" t="inlineStr">
        <is>
          <t>Social</t>
        </is>
      </c>
      <c r="G93" s="0" t="inlineStr">
        <is>
          <t>Free</t>
        </is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P93" s="0" t="n">
        <v>42.3</v>
      </c>
    </row>
    <row r="94">
      <c r="A94" s="0" t="inlineStr">
        <is>
          <t>USR-100093</t>
        </is>
      </c>
      <c r="B94" s="23" t="n">
        <v>45756</v>
      </c>
      <c r="C94" s="0" t="inlineStr">
        <is>
          <t>Control</t>
        </is>
      </c>
      <c r="D94" s="0" t="inlineStr">
        <is>
          <t>East</t>
        </is>
      </c>
      <c r="E94" s="0" t="inlineStr">
        <is>
          <t>Desktop</t>
        </is>
      </c>
      <c r="F94" s="0" t="inlineStr">
        <is>
          <t>Organic</t>
        </is>
      </c>
      <c r="G94" s="0" t="inlineStr">
        <is>
          <t>Basic</t>
        </is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P94" s="0" t="n">
        <v>76.2</v>
      </c>
    </row>
    <row r="95">
      <c r="A95" s="0" t="inlineStr">
        <is>
          <t>USR-100094</t>
        </is>
      </c>
      <c r="B95" s="23" t="n">
        <v>45790</v>
      </c>
      <c r="C95" s="0" t="inlineStr">
        <is>
          <t>Control</t>
        </is>
      </c>
      <c r="D95" s="0" t="inlineStr">
        <is>
          <t>South</t>
        </is>
      </c>
      <c r="E95" s="0" t="inlineStr">
        <is>
          <t>Tablet</t>
        </is>
      </c>
      <c r="F95" s="0" t="inlineStr">
        <is>
          <t>Organic</t>
        </is>
      </c>
      <c r="G95" s="0" t="inlineStr">
        <is>
          <t>Premium</t>
        </is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0</v>
      </c>
      <c r="P95" s="0" t="n">
        <v>37.4</v>
      </c>
    </row>
    <row r="96">
      <c r="A96" s="0" t="inlineStr">
        <is>
          <t>USR-100095</t>
        </is>
      </c>
      <c r="B96" s="23" t="n">
        <v>45760</v>
      </c>
      <c r="C96" s="0" t="inlineStr">
        <is>
          <t>Control</t>
        </is>
      </c>
      <c r="D96" s="0" t="inlineStr">
        <is>
          <t>East</t>
        </is>
      </c>
      <c r="E96" s="0" t="inlineStr">
        <is>
          <t>Mobile</t>
        </is>
      </c>
      <c r="F96" s="0" t="inlineStr">
        <is>
          <t>Organic</t>
        </is>
      </c>
      <c r="G96" s="0" t="inlineStr">
        <is>
          <t>Free</t>
        </is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P96" s="0" t="n">
        <v>84.2</v>
      </c>
    </row>
    <row r="97">
      <c r="A97" s="0" t="inlineStr">
        <is>
          <t>USR-100096</t>
        </is>
      </c>
      <c r="B97" s="23" t="n">
        <v>45693</v>
      </c>
      <c r="C97" s="0" t="inlineStr">
        <is>
          <t>Control</t>
        </is>
      </c>
      <c r="D97" s="0" t="inlineStr">
        <is>
          <t>East</t>
        </is>
      </c>
      <c r="E97" s="0" t="inlineStr">
        <is>
          <t>Mobile</t>
        </is>
      </c>
      <c r="F97" s="0" t="inlineStr">
        <is>
          <t>Social</t>
        </is>
      </c>
      <c r="G97" s="0" t="inlineStr">
        <is>
          <t>Free</t>
        </is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P97" s="0" t="n">
        <v>68</v>
      </c>
    </row>
    <row r="98">
      <c r="A98" s="0" t="inlineStr">
        <is>
          <t>USR-100097</t>
        </is>
      </c>
      <c r="B98" s="23" t="n">
        <v>45702</v>
      </c>
      <c r="C98" s="0" t="inlineStr">
        <is>
          <t>Control</t>
        </is>
      </c>
      <c r="D98" s="0" t="inlineStr">
        <is>
          <t>West</t>
        </is>
      </c>
      <c r="E98" s="0" t="inlineStr">
        <is>
          <t>Mobile</t>
        </is>
      </c>
      <c r="F98" s="0" t="inlineStr">
        <is>
          <t>Organic</t>
        </is>
      </c>
      <c r="G98" s="0" t="inlineStr">
        <is>
          <t>Basic</t>
        </is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P98" s="0" t="n">
        <v>53.5</v>
      </c>
    </row>
    <row r="99">
      <c r="A99" s="0" t="inlineStr">
        <is>
          <t>USR-100098</t>
        </is>
      </c>
      <c r="B99" s="23" t="n">
        <v>45699</v>
      </c>
      <c r="C99" s="0" t="inlineStr">
        <is>
          <t>Control</t>
        </is>
      </c>
      <c r="D99" s="0" t="inlineStr">
        <is>
          <t>North</t>
        </is>
      </c>
      <c r="E99" s="0" t="inlineStr">
        <is>
          <t>Desktop</t>
        </is>
      </c>
      <c r="F99" s="0" t="inlineStr">
        <is>
          <t>Organic</t>
        </is>
      </c>
      <c r="G99" s="0" t="inlineStr">
        <is>
          <t>Premium</t>
        </is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P99" s="0" t="n">
        <v>63.2</v>
      </c>
    </row>
    <row r="100">
      <c r="A100" s="0" t="inlineStr">
        <is>
          <t>USR-100099</t>
        </is>
      </c>
      <c r="B100" s="23" t="n">
        <v>45699</v>
      </c>
      <c r="C100" s="0" t="inlineStr">
        <is>
          <t>Control</t>
        </is>
      </c>
      <c r="D100" s="0" t="inlineStr">
        <is>
          <t>East</t>
        </is>
      </c>
      <c r="E100" s="0" t="inlineStr">
        <is>
          <t>Desktop</t>
        </is>
      </c>
      <c r="F100" s="0" t="inlineStr">
        <is>
          <t>Social</t>
        </is>
      </c>
      <c r="G100" s="0" t="inlineStr">
        <is>
          <t>Free</t>
        </is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363.32</v>
      </c>
      <c r="M100" s="0" t="n">
        <v>0</v>
      </c>
      <c r="N100" s="0" t="n">
        <v>0</v>
      </c>
      <c r="O100" s="0" t="n">
        <v>9</v>
      </c>
      <c r="P100" s="0" t="n">
        <v>55.9</v>
      </c>
    </row>
    <row r="101">
      <c r="A101" s="0" t="inlineStr">
        <is>
          <t>USR-100100</t>
        </is>
      </c>
      <c r="B101" s="23" t="n">
        <v>45803</v>
      </c>
      <c r="C101" s="0" t="inlineStr">
        <is>
          <t>Control</t>
        </is>
      </c>
      <c r="D101" s="0" t="inlineStr">
        <is>
          <t>North</t>
        </is>
      </c>
      <c r="E101" s="0" t="inlineStr">
        <is>
          <t>Mobile</t>
        </is>
      </c>
      <c r="F101" s="0" t="inlineStr">
        <is>
          <t>Organic</t>
        </is>
      </c>
      <c r="G101" s="0" t="inlineStr">
        <is>
          <t>Free</t>
        </is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P101" s="0" t="n">
        <v>63.5</v>
      </c>
    </row>
    <row r="102">
      <c r="A102" s="0" t="inlineStr">
        <is>
          <t>USR-100101</t>
        </is>
      </c>
      <c r="B102" s="23" t="n">
        <v>45738</v>
      </c>
      <c r="C102" s="0" t="inlineStr">
        <is>
          <t>Control</t>
        </is>
      </c>
      <c r="D102" s="0" t="inlineStr">
        <is>
          <t>North</t>
        </is>
      </c>
      <c r="E102" s="0" t="inlineStr">
        <is>
          <t>Mobile</t>
        </is>
      </c>
      <c r="F102" s="0" t="inlineStr">
        <is>
          <t>Paid Search</t>
        </is>
      </c>
      <c r="G102" s="0" t="inlineStr">
        <is>
          <t>Basic</t>
        </is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P102" s="0" t="n">
        <v>51.5</v>
      </c>
    </row>
    <row r="103">
      <c r="A103" s="0" t="inlineStr">
        <is>
          <t>USR-100102</t>
        </is>
      </c>
      <c r="B103" s="23" t="n">
        <v>45755</v>
      </c>
      <c r="C103" s="0" t="inlineStr">
        <is>
          <t>Control</t>
        </is>
      </c>
      <c r="D103" s="0" t="inlineStr">
        <is>
          <t>West</t>
        </is>
      </c>
      <c r="E103" s="0" t="inlineStr">
        <is>
          <t>Mobile</t>
        </is>
      </c>
      <c r="F103" s="0" t="inlineStr">
        <is>
          <t>Paid Search</t>
        </is>
      </c>
      <c r="G103" s="0" t="inlineStr">
        <is>
          <t>Free</t>
        </is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P103" s="0" t="n">
        <v>74.40000000000001</v>
      </c>
    </row>
    <row r="104">
      <c r="A104" s="0" t="inlineStr">
        <is>
          <t>USR-100103</t>
        </is>
      </c>
      <c r="B104" s="23" t="n">
        <v>45761</v>
      </c>
      <c r="C104" s="0" t="inlineStr">
        <is>
          <t>Control</t>
        </is>
      </c>
      <c r="D104" s="0" t="inlineStr">
        <is>
          <t>North</t>
        </is>
      </c>
      <c r="E104" s="0" t="inlineStr">
        <is>
          <t>Desktop</t>
        </is>
      </c>
      <c r="F104" s="0" t="inlineStr">
        <is>
          <t>Social</t>
        </is>
      </c>
      <c r="G104" s="0" t="inlineStr">
        <is>
          <t>Free</t>
        </is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3887.98</v>
      </c>
      <c r="M104" s="0" t="n">
        <v>0</v>
      </c>
      <c r="N104" s="0" t="n">
        <v>0</v>
      </c>
      <c r="O104" s="0" t="n">
        <v>13</v>
      </c>
      <c r="P104" s="0" t="n">
        <v>60.2</v>
      </c>
    </row>
    <row r="105">
      <c r="A105" s="0" t="inlineStr">
        <is>
          <t>USR-100104</t>
        </is>
      </c>
      <c r="B105" s="23" t="n">
        <v>45743</v>
      </c>
      <c r="C105" s="0" t="inlineStr">
        <is>
          <t>Control</t>
        </is>
      </c>
      <c r="D105" s="0" t="inlineStr">
        <is>
          <t>South</t>
        </is>
      </c>
      <c r="E105" s="0" t="inlineStr">
        <is>
          <t>Mobile</t>
        </is>
      </c>
      <c r="F105" s="0" t="inlineStr">
        <is>
          <t>Email</t>
        </is>
      </c>
      <c r="G105" s="0" t="inlineStr">
        <is>
          <t>Free</t>
        </is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P105" s="0" t="n">
        <v>67.2</v>
      </c>
    </row>
    <row r="106">
      <c r="A106" s="0" t="inlineStr">
        <is>
          <t>USR-100105</t>
        </is>
      </c>
      <c r="B106" s="23" t="n">
        <v>45662</v>
      </c>
      <c r="C106" s="0" t="inlineStr">
        <is>
          <t>Control</t>
        </is>
      </c>
      <c r="D106" s="0" t="inlineStr">
        <is>
          <t>South</t>
        </is>
      </c>
      <c r="E106" s="0" t="inlineStr">
        <is>
          <t>Mobile</t>
        </is>
      </c>
      <c r="F106" s="0" t="inlineStr">
        <is>
          <t>Social</t>
        </is>
      </c>
      <c r="G106" s="0" t="inlineStr">
        <is>
          <t>Free</t>
        </is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P106" s="0" t="n">
        <v>79.59999999999999</v>
      </c>
    </row>
    <row r="107">
      <c r="A107" s="0" t="inlineStr">
        <is>
          <t>USR-100106</t>
        </is>
      </c>
      <c r="B107" s="23" t="n">
        <v>45682</v>
      </c>
      <c r="C107" s="0" t="inlineStr">
        <is>
          <t>Control</t>
        </is>
      </c>
      <c r="D107" s="0" t="inlineStr">
        <is>
          <t>South</t>
        </is>
      </c>
      <c r="E107" s="0" t="inlineStr">
        <is>
          <t>Mobile</t>
        </is>
      </c>
      <c r="F107" s="0" t="inlineStr">
        <is>
          <t>Social</t>
        </is>
      </c>
      <c r="G107" s="0" t="inlineStr">
        <is>
          <t>Basic</t>
        </is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8610.719999999999</v>
      </c>
      <c r="M107" s="0" t="n">
        <v>0</v>
      </c>
      <c r="N107" s="0" t="n">
        <v>0</v>
      </c>
      <c r="O107" s="0" t="n">
        <v>6</v>
      </c>
      <c r="P107" s="0" t="n">
        <v>61</v>
      </c>
    </row>
    <row r="108">
      <c r="A108" s="0" t="inlineStr">
        <is>
          <t>USR-100107</t>
        </is>
      </c>
      <c r="B108" s="23" t="n">
        <v>45680</v>
      </c>
      <c r="C108" s="0" t="inlineStr">
        <is>
          <t>Control</t>
        </is>
      </c>
      <c r="D108" s="0" t="inlineStr">
        <is>
          <t>West</t>
        </is>
      </c>
      <c r="E108" s="0" t="inlineStr">
        <is>
          <t>Mobile</t>
        </is>
      </c>
      <c r="F108" s="0" t="inlineStr">
        <is>
          <t>Email</t>
        </is>
      </c>
      <c r="G108" s="0" t="inlineStr">
        <is>
          <t>Free</t>
        </is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4</v>
      </c>
      <c r="N108" s="0" t="n">
        <v>0</v>
      </c>
      <c r="P108" s="0" t="n">
        <v>51.1</v>
      </c>
    </row>
    <row r="109">
      <c r="A109" s="0" t="inlineStr">
        <is>
          <t>USR-100108</t>
        </is>
      </c>
      <c r="B109" s="23" t="n">
        <v>45802</v>
      </c>
      <c r="C109" s="0" t="inlineStr">
        <is>
          <t>Control</t>
        </is>
      </c>
      <c r="D109" s="0" t="inlineStr">
        <is>
          <t>East</t>
        </is>
      </c>
      <c r="E109" s="0" t="inlineStr">
        <is>
          <t>Desktop</t>
        </is>
      </c>
      <c r="F109" s="0" t="inlineStr">
        <is>
          <t>Referral</t>
        </is>
      </c>
      <c r="G109" s="0" t="inlineStr">
        <is>
          <t>Free</t>
        </is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P109" s="0" t="n">
        <v>92.09999999999999</v>
      </c>
    </row>
    <row r="110">
      <c r="A110" s="0" t="inlineStr">
        <is>
          <t>USR-100109</t>
        </is>
      </c>
      <c r="B110" s="23" t="n">
        <v>45738</v>
      </c>
      <c r="C110" s="0" t="inlineStr">
        <is>
          <t>Control</t>
        </is>
      </c>
      <c r="D110" s="0" t="inlineStr">
        <is>
          <t>South</t>
        </is>
      </c>
      <c r="E110" s="0" t="inlineStr">
        <is>
          <t>Mobile</t>
        </is>
      </c>
      <c r="F110" s="0" t="inlineStr">
        <is>
          <t>Referral</t>
        </is>
      </c>
      <c r="G110" s="0" t="inlineStr">
        <is>
          <t>Basic</t>
        </is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P110" s="0" t="n">
        <v>82.09999999999999</v>
      </c>
    </row>
    <row r="111">
      <c r="A111" s="0" t="inlineStr">
        <is>
          <t>USR-100110</t>
        </is>
      </c>
      <c r="B111" s="23" t="n">
        <v>45700</v>
      </c>
      <c r="C111" s="0" t="inlineStr">
        <is>
          <t>Control</t>
        </is>
      </c>
      <c r="D111" s="0" t="inlineStr">
        <is>
          <t>West</t>
        </is>
      </c>
      <c r="E111" s="0" t="inlineStr">
        <is>
          <t>Desktop</t>
        </is>
      </c>
      <c r="F111" s="0" t="inlineStr">
        <is>
          <t>Paid Search</t>
        </is>
      </c>
      <c r="G111" s="0" t="inlineStr">
        <is>
          <t>Basic</t>
        </is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P111" s="0" t="n">
        <v>74</v>
      </c>
    </row>
    <row r="112">
      <c r="A112" s="0" t="inlineStr">
        <is>
          <t>USR-100111</t>
        </is>
      </c>
      <c r="B112" s="23" t="n">
        <v>45775</v>
      </c>
      <c r="C112" s="0" t="inlineStr">
        <is>
          <t>Control</t>
        </is>
      </c>
      <c r="D112" s="0" t="inlineStr">
        <is>
          <t>West</t>
        </is>
      </c>
      <c r="E112" s="0" t="inlineStr">
        <is>
          <t>Desktop</t>
        </is>
      </c>
      <c r="F112" s="0" t="inlineStr">
        <is>
          <t>Organic</t>
        </is>
      </c>
      <c r="G112" s="0" t="inlineStr">
        <is>
          <t>Basic</t>
        </is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P112" s="0" t="n">
        <v>63.4</v>
      </c>
    </row>
    <row r="113">
      <c r="A113" s="0" t="inlineStr">
        <is>
          <t>USR-100112</t>
        </is>
      </c>
      <c r="B113" s="23" t="n">
        <v>45687</v>
      </c>
      <c r="C113" s="0" t="inlineStr">
        <is>
          <t>Control</t>
        </is>
      </c>
      <c r="D113" s="0" t="inlineStr">
        <is>
          <t>North</t>
        </is>
      </c>
      <c r="E113" s="0" t="inlineStr">
        <is>
          <t>Mobile</t>
        </is>
      </c>
      <c r="F113" s="0" t="inlineStr">
        <is>
          <t>Organic</t>
        </is>
      </c>
      <c r="G113" s="0" t="inlineStr">
        <is>
          <t>Basic</t>
        </is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P113" s="0" t="n">
        <v>53.2</v>
      </c>
    </row>
    <row r="114">
      <c r="A114" s="0" t="inlineStr">
        <is>
          <t>USR-100113</t>
        </is>
      </c>
      <c r="B114" s="23" t="n">
        <v>45796</v>
      </c>
      <c r="C114" s="0" t="inlineStr">
        <is>
          <t>Control</t>
        </is>
      </c>
      <c r="D114" s="0" t="inlineStr">
        <is>
          <t>East</t>
        </is>
      </c>
      <c r="E114" s="0" t="inlineStr">
        <is>
          <t>Tablet</t>
        </is>
      </c>
      <c r="F114" s="0" t="inlineStr">
        <is>
          <t>Paid Search</t>
        </is>
      </c>
      <c r="G114" s="0" t="inlineStr">
        <is>
          <t>Free</t>
        </is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P114" s="0" t="n">
        <v>48.1</v>
      </c>
    </row>
    <row r="115">
      <c r="A115" s="0" t="inlineStr">
        <is>
          <t>USR-100114</t>
        </is>
      </c>
      <c r="B115" s="23" t="n">
        <v>45680</v>
      </c>
      <c r="C115" s="0" t="inlineStr">
        <is>
          <t>Control</t>
        </is>
      </c>
      <c r="D115" s="0" t="inlineStr">
        <is>
          <t>South</t>
        </is>
      </c>
      <c r="E115" s="0" t="inlineStr">
        <is>
          <t>Mobile</t>
        </is>
      </c>
      <c r="F115" s="0" t="inlineStr">
        <is>
          <t>Social</t>
        </is>
      </c>
      <c r="G115" s="0" t="inlineStr">
        <is>
          <t>Free</t>
        </is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P115" s="0" t="n">
        <v>61.5</v>
      </c>
    </row>
    <row r="116">
      <c r="A116" s="0" t="inlineStr">
        <is>
          <t>USR-100115</t>
        </is>
      </c>
      <c r="B116" s="23" t="n">
        <v>45744</v>
      </c>
      <c r="C116" s="0" t="inlineStr">
        <is>
          <t>Control</t>
        </is>
      </c>
      <c r="D116" s="0" t="inlineStr">
        <is>
          <t>East</t>
        </is>
      </c>
      <c r="E116" s="0" t="inlineStr">
        <is>
          <t>Desktop</t>
        </is>
      </c>
      <c r="F116" s="0" t="inlineStr">
        <is>
          <t>Social</t>
        </is>
      </c>
      <c r="G116" s="0" t="inlineStr">
        <is>
          <t>Free</t>
        </is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P116" s="0" t="n">
        <v>63.2</v>
      </c>
    </row>
    <row r="117">
      <c r="A117" s="0" t="inlineStr">
        <is>
          <t>USR-100116</t>
        </is>
      </c>
      <c r="B117" s="23" t="n">
        <v>45668</v>
      </c>
      <c r="C117" s="0" t="inlineStr">
        <is>
          <t>Control</t>
        </is>
      </c>
      <c r="D117" s="0" t="inlineStr">
        <is>
          <t>West</t>
        </is>
      </c>
      <c r="E117" s="0" t="inlineStr">
        <is>
          <t>Mobile</t>
        </is>
      </c>
      <c r="F117" s="0" t="inlineStr">
        <is>
          <t>Organic</t>
        </is>
      </c>
      <c r="G117" s="0" t="inlineStr">
        <is>
          <t>Free</t>
        </is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P117" s="0" t="n">
        <v>71.90000000000001</v>
      </c>
    </row>
    <row r="118">
      <c r="A118" s="0" t="inlineStr">
        <is>
          <t>USR-100117</t>
        </is>
      </c>
      <c r="B118" s="23" t="n">
        <v>45758</v>
      </c>
      <c r="C118" s="0" t="inlineStr">
        <is>
          <t>Control</t>
        </is>
      </c>
      <c r="D118" s="0" t="inlineStr">
        <is>
          <t>North</t>
        </is>
      </c>
      <c r="E118" s="0" t="inlineStr">
        <is>
          <t>Mobile</t>
        </is>
      </c>
      <c r="F118" s="0" t="inlineStr">
        <is>
          <t>Referral</t>
        </is>
      </c>
      <c r="G118" s="0" t="inlineStr">
        <is>
          <t>Free</t>
        </is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P118" s="0" t="n">
        <v>62.7</v>
      </c>
    </row>
    <row r="119">
      <c r="A119" s="0" t="inlineStr">
        <is>
          <t>USR-100118</t>
        </is>
      </c>
      <c r="B119" s="23" t="n">
        <v>45659</v>
      </c>
      <c r="C119" s="0" t="inlineStr">
        <is>
          <t>Control</t>
        </is>
      </c>
      <c r="D119" s="0" t="inlineStr">
        <is>
          <t>West</t>
        </is>
      </c>
      <c r="E119" s="0" t="inlineStr">
        <is>
          <t>Mobile</t>
        </is>
      </c>
      <c r="F119" s="0" t="inlineStr">
        <is>
          <t>Paid Search</t>
        </is>
      </c>
      <c r="G119" s="0" t="inlineStr">
        <is>
          <t>Free</t>
        </is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P119" s="0" t="n">
        <v>51.5</v>
      </c>
    </row>
    <row r="120">
      <c r="A120" s="0" t="inlineStr">
        <is>
          <t>USR-100119</t>
        </is>
      </c>
      <c r="B120" s="23" t="n">
        <v>45734</v>
      </c>
      <c r="C120" s="0" t="inlineStr">
        <is>
          <t>Control</t>
        </is>
      </c>
      <c r="D120" s="0" t="inlineStr">
        <is>
          <t>East</t>
        </is>
      </c>
      <c r="E120" s="0" t="inlineStr">
        <is>
          <t>Mobile</t>
        </is>
      </c>
      <c r="F120" s="0" t="inlineStr">
        <is>
          <t>Social</t>
        </is>
      </c>
      <c r="G120" s="0" t="inlineStr">
        <is>
          <t>Free</t>
        </is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P120" s="0" t="n">
        <v>39.1</v>
      </c>
    </row>
    <row r="121">
      <c r="A121" s="0" t="inlineStr">
        <is>
          <t>USR-100120</t>
        </is>
      </c>
      <c r="B121" s="23" t="n">
        <v>45747</v>
      </c>
      <c r="C121" s="0" t="inlineStr">
        <is>
          <t>Control</t>
        </is>
      </c>
      <c r="D121" s="0" t="inlineStr">
        <is>
          <t>North</t>
        </is>
      </c>
      <c r="E121" s="0" t="inlineStr">
        <is>
          <t>Mobile</t>
        </is>
      </c>
      <c r="F121" s="0" t="inlineStr">
        <is>
          <t>Email</t>
        </is>
      </c>
      <c r="G121" s="0" t="inlineStr">
        <is>
          <t>Free</t>
        </is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P121" s="0" t="n">
        <v>43.8</v>
      </c>
    </row>
    <row r="122">
      <c r="A122" s="0" t="inlineStr">
        <is>
          <t>USR-100121</t>
        </is>
      </c>
      <c r="B122" s="23" t="n">
        <v>45663</v>
      </c>
      <c r="C122" s="0" t="inlineStr">
        <is>
          <t>Control</t>
        </is>
      </c>
      <c r="D122" s="0" t="inlineStr">
        <is>
          <t>North</t>
        </is>
      </c>
      <c r="E122" s="0" t="inlineStr">
        <is>
          <t>Mobile</t>
        </is>
      </c>
      <c r="F122" s="0" t="inlineStr">
        <is>
          <t>Paid Search</t>
        </is>
      </c>
      <c r="G122" s="0" t="inlineStr">
        <is>
          <t>Basic</t>
        </is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P122" s="0" t="n">
        <v>59.9</v>
      </c>
    </row>
    <row r="123">
      <c r="A123" s="0" t="inlineStr">
        <is>
          <t>USR-100122</t>
        </is>
      </c>
      <c r="B123" s="23" t="n">
        <v>45683</v>
      </c>
      <c r="C123" s="0" t="inlineStr">
        <is>
          <t>Control</t>
        </is>
      </c>
      <c r="D123" s="0" t="inlineStr">
        <is>
          <t>North</t>
        </is>
      </c>
      <c r="E123" s="0" t="inlineStr">
        <is>
          <t>Mobile</t>
        </is>
      </c>
      <c r="F123" s="0" t="inlineStr">
        <is>
          <t>Referral</t>
        </is>
      </c>
      <c r="G123" s="0" t="inlineStr">
        <is>
          <t>Free</t>
        </is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P123" s="0" t="n">
        <v>71.40000000000001</v>
      </c>
    </row>
    <row r="124">
      <c r="A124" s="0" t="inlineStr">
        <is>
          <t>USR-100123</t>
        </is>
      </c>
      <c r="B124" s="23" t="n">
        <v>45769</v>
      </c>
      <c r="C124" s="0" t="inlineStr">
        <is>
          <t>Control</t>
        </is>
      </c>
      <c r="D124" s="0" t="inlineStr">
        <is>
          <t>South</t>
        </is>
      </c>
      <c r="E124" s="0" t="inlineStr">
        <is>
          <t>Mobile</t>
        </is>
      </c>
      <c r="F124" s="0" t="inlineStr">
        <is>
          <t>Referral</t>
        </is>
      </c>
      <c r="G124" s="0" t="inlineStr">
        <is>
          <t>Basic</t>
        </is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P124" s="0" t="n">
        <v>36.1</v>
      </c>
    </row>
    <row r="125">
      <c r="A125" s="0" t="inlineStr">
        <is>
          <t>USR-100124</t>
        </is>
      </c>
      <c r="B125" s="23" t="n">
        <v>45807</v>
      </c>
      <c r="C125" s="0" t="inlineStr">
        <is>
          <t>Control</t>
        </is>
      </c>
      <c r="D125" s="0" t="inlineStr">
        <is>
          <t>West</t>
        </is>
      </c>
      <c r="E125" s="0" t="inlineStr">
        <is>
          <t>Unknown</t>
        </is>
      </c>
      <c r="F125" s="0" t="inlineStr">
        <is>
          <t>Email</t>
        </is>
      </c>
      <c r="G125" s="0" t="inlineStr">
        <is>
          <t>Basic</t>
        </is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P125" s="0" t="n">
        <v>47.9</v>
      </c>
    </row>
    <row r="126">
      <c r="A126" s="0" t="inlineStr">
        <is>
          <t>USR-100125</t>
        </is>
      </c>
      <c r="B126" s="23" t="n">
        <v>45795</v>
      </c>
      <c r="C126" s="0" t="inlineStr">
        <is>
          <t>Control</t>
        </is>
      </c>
      <c r="D126" s="0" t="inlineStr">
        <is>
          <t>West</t>
        </is>
      </c>
      <c r="E126" s="0" t="inlineStr">
        <is>
          <t>Desktop</t>
        </is>
      </c>
      <c r="F126" s="0" t="inlineStr">
        <is>
          <t>Organic</t>
        </is>
      </c>
      <c r="G126" s="0" t="inlineStr">
        <is>
          <t>Premium</t>
        </is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P126" s="0" t="n">
        <v>62.5</v>
      </c>
    </row>
    <row r="127">
      <c r="A127" s="0" t="inlineStr">
        <is>
          <t>USR-100126</t>
        </is>
      </c>
      <c r="B127" s="23" t="n">
        <v>45670</v>
      </c>
      <c r="C127" s="0" t="inlineStr">
        <is>
          <t>Control</t>
        </is>
      </c>
      <c r="D127" s="0" t="inlineStr">
        <is>
          <t>South</t>
        </is>
      </c>
      <c r="E127" s="0" t="inlineStr">
        <is>
          <t>Desktop</t>
        </is>
      </c>
      <c r="F127" s="0" t="inlineStr">
        <is>
          <t>Paid Search</t>
        </is>
      </c>
      <c r="G127" s="0" t="inlineStr">
        <is>
          <t>Premium</t>
        </is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P127" s="0" t="n">
        <v>56.9</v>
      </c>
    </row>
    <row r="128">
      <c r="A128" s="0" t="inlineStr">
        <is>
          <t>USR-100127</t>
        </is>
      </c>
      <c r="B128" s="23" t="n">
        <v>45741</v>
      </c>
      <c r="C128" s="0" t="inlineStr">
        <is>
          <t>Control</t>
        </is>
      </c>
      <c r="D128" s="0" t="inlineStr">
        <is>
          <t>North</t>
        </is>
      </c>
      <c r="E128" s="0" t="inlineStr">
        <is>
          <t>Desktop</t>
        </is>
      </c>
      <c r="F128" s="0" t="inlineStr">
        <is>
          <t>Email</t>
        </is>
      </c>
      <c r="G128" s="0" t="inlineStr">
        <is>
          <t>Free</t>
        </is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P128" s="0" t="n">
        <v>64.7</v>
      </c>
    </row>
    <row r="129">
      <c r="A129" s="0" t="inlineStr">
        <is>
          <t>USR-100128</t>
        </is>
      </c>
      <c r="B129" s="23" t="n">
        <v>45776</v>
      </c>
      <c r="C129" s="0" t="inlineStr">
        <is>
          <t>Control</t>
        </is>
      </c>
      <c r="D129" s="0" t="inlineStr">
        <is>
          <t>South</t>
        </is>
      </c>
      <c r="E129" s="0" t="inlineStr">
        <is>
          <t>Desktop</t>
        </is>
      </c>
      <c r="F129" s="0" t="inlineStr">
        <is>
          <t>Organic</t>
        </is>
      </c>
      <c r="G129" s="0" t="inlineStr">
        <is>
          <t>Free</t>
        </is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P129" s="0" t="n">
        <v>64</v>
      </c>
    </row>
    <row r="130">
      <c r="A130" s="0" t="inlineStr">
        <is>
          <t>USR-100129</t>
        </is>
      </c>
      <c r="B130" s="23" t="n">
        <v>45794</v>
      </c>
      <c r="C130" s="0" t="inlineStr">
        <is>
          <t>Control</t>
        </is>
      </c>
      <c r="D130" s="0" t="inlineStr">
        <is>
          <t>East</t>
        </is>
      </c>
      <c r="E130" s="0" t="inlineStr">
        <is>
          <t>Mobile</t>
        </is>
      </c>
      <c r="F130" s="0" t="inlineStr">
        <is>
          <t>Referral</t>
        </is>
      </c>
      <c r="G130" s="0" t="inlineStr">
        <is>
          <t>Basic</t>
        </is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P130" s="0" t="n">
        <v>75.2</v>
      </c>
    </row>
    <row r="131">
      <c r="A131" s="0" t="inlineStr">
        <is>
          <t>USR-100130</t>
        </is>
      </c>
      <c r="B131" s="23" t="n">
        <v>45659</v>
      </c>
      <c r="C131" s="0" t="inlineStr">
        <is>
          <t>Control</t>
        </is>
      </c>
      <c r="D131" s="0" t="inlineStr">
        <is>
          <t>North</t>
        </is>
      </c>
      <c r="E131" s="0" t="inlineStr">
        <is>
          <t>Mobile</t>
        </is>
      </c>
      <c r="F131" s="0" t="inlineStr">
        <is>
          <t>Paid Search</t>
        </is>
      </c>
      <c r="G131" s="0" t="inlineStr">
        <is>
          <t>Free</t>
        </is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P131" s="0" t="n">
        <v>79</v>
      </c>
    </row>
    <row r="132">
      <c r="A132" s="0" t="inlineStr">
        <is>
          <t>USR-100131</t>
        </is>
      </c>
      <c r="B132" s="23" t="n">
        <v>45691</v>
      </c>
      <c r="C132" s="0" t="inlineStr">
        <is>
          <t>Control</t>
        </is>
      </c>
      <c r="D132" s="0" t="inlineStr">
        <is>
          <t>South</t>
        </is>
      </c>
      <c r="E132" s="0" t="inlineStr">
        <is>
          <t>Mobile</t>
        </is>
      </c>
      <c r="F132" s="0" t="inlineStr">
        <is>
          <t>Organic</t>
        </is>
      </c>
      <c r="G132" s="0" t="inlineStr">
        <is>
          <t>Free</t>
        </is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P132" s="0" t="n">
        <v>33</v>
      </c>
    </row>
    <row r="133">
      <c r="A133" s="0" t="inlineStr">
        <is>
          <t>USR-100132</t>
        </is>
      </c>
      <c r="B133" s="23" t="n">
        <v>45720</v>
      </c>
      <c r="C133" s="0" t="inlineStr">
        <is>
          <t>Control</t>
        </is>
      </c>
      <c r="D133" s="0" t="inlineStr">
        <is>
          <t>East</t>
        </is>
      </c>
      <c r="E133" s="0" t="inlineStr">
        <is>
          <t>Mobile</t>
        </is>
      </c>
      <c r="F133" s="0" t="inlineStr">
        <is>
          <t>Organic</t>
        </is>
      </c>
      <c r="G133" s="0" t="inlineStr">
        <is>
          <t>Free</t>
        </is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P133" s="0" t="n">
        <v>67.90000000000001</v>
      </c>
    </row>
    <row r="134">
      <c r="A134" s="0" t="inlineStr">
        <is>
          <t>USR-100133</t>
        </is>
      </c>
      <c r="B134" s="23" t="n">
        <v>45683</v>
      </c>
      <c r="C134" s="0" t="inlineStr">
        <is>
          <t>Control</t>
        </is>
      </c>
      <c r="D134" s="0" t="inlineStr">
        <is>
          <t>South</t>
        </is>
      </c>
      <c r="E134" s="0" t="inlineStr">
        <is>
          <t>Mobile</t>
        </is>
      </c>
      <c r="F134" s="0" t="inlineStr">
        <is>
          <t>Paid Search</t>
        </is>
      </c>
      <c r="G134" s="0" t="inlineStr">
        <is>
          <t>Basic</t>
        </is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P134" s="0" t="n">
        <v>42.2</v>
      </c>
    </row>
    <row r="135">
      <c r="A135" s="0" t="inlineStr">
        <is>
          <t>USR-100134</t>
        </is>
      </c>
      <c r="B135" s="23" t="n">
        <v>45789</v>
      </c>
      <c r="C135" s="0" t="inlineStr">
        <is>
          <t>Control</t>
        </is>
      </c>
      <c r="D135" s="0" t="inlineStr">
        <is>
          <t>West</t>
        </is>
      </c>
      <c r="E135" s="0" t="inlineStr">
        <is>
          <t>Mobile</t>
        </is>
      </c>
      <c r="F135" s="0" t="inlineStr">
        <is>
          <t>Paid Search</t>
        </is>
      </c>
      <c r="G135" s="0" t="inlineStr">
        <is>
          <t>Basic</t>
        </is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P135" s="0" t="n">
        <v>43.4</v>
      </c>
    </row>
    <row r="136">
      <c r="A136" s="0" t="inlineStr">
        <is>
          <t>USR-100135</t>
        </is>
      </c>
      <c r="B136" s="23" t="n">
        <v>45722</v>
      </c>
      <c r="C136" s="0" t="inlineStr">
        <is>
          <t>Control</t>
        </is>
      </c>
      <c r="D136" s="0" t="inlineStr">
        <is>
          <t>North</t>
        </is>
      </c>
      <c r="E136" s="0" t="inlineStr">
        <is>
          <t>Mobile</t>
        </is>
      </c>
      <c r="F136" s="0" t="inlineStr">
        <is>
          <t>Organic</t>
        </is>
      </c>
      <c r="G136" s="0" t="inlineStr">
        <is>
          <t>Basic</t>
        </is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P136" s="0" t="n">
        <v>54.4</v>
      </c>
    </row>
    <row r="137">
      <c r="A137" s="0" t="inlineStr">
        <is>
          <t>USR-100136</t>
        </is>
      </c>
      <c r="B137" s="23" t="n">
        <v>45726</v>
      </c>
      <c r="C137" s="0" t="inlineStr">
        <is>
          <t>Control</t>
        </is>
      </c>
      <c r="D137" s="0" t="inlineStr">
        <is>
          <t>South</t>
        </is>
      </c>
      <c r="E137" s="0" t="inlineStr">
        <is>
          <t>Desktop</t>
        </is>
      </c>
      <c r="F137" s="0" t="inlineStr">
        <is>
          <t>Email</t>
        </is>
      </c>
      <c r="G137" s="0" t="inlineStr">
        <is>
          <t>Premium</t>
        </is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P137" s="0" t="n">
        <v>45.7</v>
      </c>
    </row>
    <row r="138">
      <c r="A138" s="0" t="inlineStr">
        <is>
          <t>USR-100137</t>
        </is>
      </c>
      <c r="B138" s="23" t="n">
        <v>45783</v>
      </c>
      <c r="C138" s="0" t="inlineStr">
        <is>
          <t>Control</t>
        </is>
      </c>
      <c r="D138" s="0" t="inlineStr">
        <is>
          <t>North</t>
        </is>
      </c>
      <c r="E138" s="0" t="inlineStr">
        <is>
          <t>Mobile</t>
        </is>
      </c>
      <c r="F138" s="0" t="inlineStr">
        <is>
          <t>Paid Search</t>
        </is>
      </c>
      <c r="G138" s="0" t="inlineStr">
        <is>
          <t>Free</t>
        </is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3</v>
      </c>
      <c r="N138" s="0" t="n">
        <v>0</v>
      </c>
      <c r="P138" s="0" t="n">
        <v>32</v>
      </c>
    </row>
    <row r="139">
      <c r="A139" s="0" t="inlineStr">
        <is>
          <t>USR-100138</t>
        </is>
      </c>
      <c r="B139" s="23" t="n">
        <v>45711</v>
      </c>
      <c r="C139" s="0" t="inlineStr">
        <is>
          <t>Control</t>
        </is>
      </c>
      <c r="D139" s="0" t="inlineStr">
        <is>
          <t>South</t>
        </is>
      </c>
      <c r="E139" s="0" t="inlineStr">
        <is>
          <t>Desktop</t>
        </is>
      </c>
      <c r="F139" s="0" t="inlineStr">
        <is>
          <t>Paid Search</t>
        </is>
      </c>
      <c r="G139" s="0" t="inlineStr">
        <is>
          <t>Free</t>
        </is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P139" s="0" t="n">
        <v>70.90000000000001</v>
      </c>
    </row>
    <row r="140">
      <c r="A140" s="0" t="inlineStr">
        <is>
          <t>USR-100139</t>
        </is>
      </c>
      <c r="B140" s="23" t="n">
        <v>45686</v>
      </c>
      <c r="C140" s="0" t="inlineStr">
        <is>
          <t>Control</t>
        </is>
      </c>
      <c r="D140" s="0" t="inlineStr">
        <is>
          <t>West</t>
        </is>
      </c>
      <c r="E140" s="0" t="inlineStr">
        <is>
          <t>Mobile</t>
        </is>
      </c>
      <c r="F140" s="0" t="inlineStr">
        <is>
          <t>Social</t>
        </is>
      </c>
      <c r="G140" s="0" t="inlineStr">
        <is>
          <t>Basic</t>
        </is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P140" s="0" t="n">
        <v>59.1</v>
      </c>
    </row>
    <row r="141">
      <c r="A141" s="0" t="inlineStr">
        <is>
          <t>USR-100140</t>
        </is>
      </c>
      <c r="B141" s="23" t="n">
        <v>45688</v>
      </c>
      <c r="C141" s="0" t="inlineStr">
        <is>
          <t>Control</t>
        </is>
      </c>
      <c r="D141" s="0" t="inlineStr">
        <is>
          <t>North</t>
        </is>
      </c>
      <c r="E141" s="0" t="inlineStr">
        <is>
          <t>Mobile</t>
        </is>
      </c>
      <c r="F141" s="0" t="inlineStr">
        <is>
          <t>Organic</t>
        </is>
      </c>
      <c r="G141" s="0" t="inlineStr">
        <is>
          <t>Basic</t>
        </is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P141" s="0" t="n">
        <v>62.4</v>
      </c>
    </row>
    <row r="142">
      <c r="A142" s="0" t="inlineStr">
        <is>
          <t>USR-100141</t>
        </is>
      </c>
      <c r="B142" s="23" t="n">
        <v>45676</v>
      </c>
      <c r="C142" s="0" t="inlineStr">
        <is>
          <t>Control</t>
        </is>
      </c>
      <c r="D142" s="0" t="inlineStr">
        <is>
          <t>South</t>
        </is>
      </c>
      <c r="E142" s="0" t="inlineStr">
        <is>
          <t>Mobile</t>
        </is>
      </c>
      <c r="F142" s="0" t="inlineStr">
        <is>
          <t>Organic</t>
        </is>
      </c>
      <c r="G142" s="0" t="inlineStr">
        <is>
          <t>Free</t>
        </is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P142" s="0" t="n">
        <v>49.6</v>
      </c>
    </row>
    <row r="143">
      <c r="A143" s="0" t="inlineStr">
        <is>
          <t>USR-100142</t>
        </is>
      </c>
      <c r="B143" s="23" t="n">
        <v>45750</v>
      </c>
      <c r="C143" s="0" t="inlineStr">
        <is>
          <t>Control</t>
        </is>
      </c>
      <c r="D143" s="0" t="inlineStr">
        <is>
          <t>West</t>
        </is>
      </c>
      <c r="E143" s="0" t="inlineStr">
        <is>
          <t>Desktop</t>
        </is>
      </c>
      <c r="F143" s="0" t="inlineStr">
        <is>
          <t>Social</t>
        </is>
      </c>
      <c r="G143" s="0" t="inlineStr">
        <is>
          <t>Free</t>
        </is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404.4</v>
      </c>
      <c r="M143" s="0" t="n">
        <v>0</v>
      </c>
      <c r="N143" s="0" t="n">
        <v>0</v>
      </c>
      <c r="O143" s="0" t="n">
        <v>9</v>
      </c>
      <c r="P143" s="0" t="n">
        <v>80.59999999999999</v>
      </c>
    </row>
    <row r="144">
      <c r="A144" s="0" t="inlineStr">
        <is>
          <t>USR-100143</t>
        </is>
      </c>
      <c r="B144" s="23" t="n">
        <v>45754</v>
      </c>
      <c r="C144" s="0" t="inlineStr">
        <is>
          <t>Control</t>
        </is>
      </c>
      <c r="D144" s="0" t="inlineStr">
        <is>
          <t>North</t>
        </is>
      </c>
      <c r="E144" s="0" t="inlineStr">
        <is>
          <t>Mobile</t>
        </is>
      </c>
      <c r="F144" s="0" t="inlineStr">
        <is>
          <t>Paid Search</t>
        </is>
      </c>
      <c r="G144" s="0" t="inlineStr">
        <is>
          <t>Free</t>
        </is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P144" s="0" t="n">
        <v>47.9</v>
      </c>
    </row>
    <row r="145">
      <c r="A145" s="0" t="inlineStr">
        <is>
          <t>USR-100144</t>
        </is>
      </c>
      <c r="B145" s="23" t="n">
        <v>45663</v>
      </c>
      <c r="C145" s="0" t="inlineStr">
        <is>
          <t>Control</t>
        </is>
      </c>
      <c r="D145" s="0" t="inlineStr">
        <is>
          <t>East</t>
        </is>
      </c>
      <c r="E145" s="0" t="inlineStr">
        <is>
          <t>Mobile</t>
        </is>
      </c>
      <c r="F145" s="0" t="inlineStr">
        <is>
          <t>Paid Search</t>
        </is>
      </c>
      <c r="G145" s="0" t="inlineStr">
        <is>
          <t>Basic</t>
        </is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P145" s="0" t="n">
        <v>54.8</v>
      </c>
    </row>
    <row r="146">
      <c r="A146" s="0" t="inlineStr">
        <is>
          <t>USR-100145</t>
        </is>
      </c>
      <c r="B146" s="23" t="n">
        <v>45758</v>
      </c>
      <c r="C146" s="0" t="inlineStr">
        <is>
          <t>Control</t>
        </is>
      </c>
      <c r="D146" s="0" t="inlineStr">
        <is>
          <t>East</t>
        </is>
      </c>
      <c r="E146" s="0" t="inlineStr">
        <is>
          <t>Mobile</t>
        </is>
      </c>
      <c r="F146" s="0" t="inlineStr">
        <is>
          <t>Organic</t>
        </is>
      </c>
      <c r="G146" s="0" t="inlineStr">
        <is>
          <t>Free</t>
        </is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P146" s="0" t="n">
        <v>53.9</v>
      </c>
    </row>
    <row r="147">
      <c r="A147" s="0" t="inlineStr">
        <is>
          <t>USR-100146</t>
        </is>
      </c>
      <c r="B147" s="23" t="n">
        <v>45770</v>
      </c>
      <c r="C147" s="0" t="inlineStr">
        <is>
          <t>Control</t>
        </is>
      </c>
      <c r="D147" s="0" t="inlineStr">
        <is>
          <t>East</t>
        </is>
      </c>
      <c r="E147" s="0" t="inlineStr">
        <is>
          <t>Mobile</t>
        </is>
      </c>
      <c r="F147" s="0" t="inlineStr">
        <is>
          <t>Paid Search</t>
        </is>
      </c>
      <c r="G147" s="0" t="inlineStr">
        <is>
          <t>Free</t>
        </is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P147" s="0" t="n">
        <v>41.3</v>
      </c>
    </row>
    <row r="148">
      <c r="A148" s="0" t="inlineStr">
        <is>
          <t>USR-100147</t>
        </is>
      </c>
      <c r="B148" s="23" t="n">
        <v>45741</v>
      </c>
      <c r="C148" s="0" t="inlineStr">
        <is>
          <t>Control</t>
        </is>
      </c>
      <c r="D148" s="0" t="inlineStr">
        <is>
          <t>West</t>
        </is>
      </c>
      <c r="E148" s="0" t="inlineStr">
        <is>
          <t>Mobile</t>
        </is>
      </c>
      <c r="F148" s="0" t="inlineStr">
        <is>
          <t>Organic</t>
        </is>
      </c>
      <c r="G148" s="0" t="inlineStr">
        <is>
          <t>Basic</t>
        </is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P148" s="0" t="n">
        <v>38.9</v>
      </c>
    </row>
    <row r="149">
      <c r="A149" s="0" t="inlineStr">
        <is>
          <t>USR-100148</t>
        </is>
      </c>
      <c r="B149" s="23" t="n">
        <v>45802</v>
      </c>
      <c r="C149" s="0" t="inlineStr">
        <is>
          <t>Control</t>
        </is>
      </c>
      <c r="D149" s="0" t="inlineStr">
        <is>
          <t>South</t>
        </is>
      </c>
      <c r="E149" s="0" t="inlineStr">
        <is>
          <t>Desktop</t>
        </is>
      </c>
      <c r="F149" s="0" t="inlineStr">
        <is>
          <t>Organic</t>
        </is>
      </c>
      <c r="G149" s="0" t="inlineStr">
        <is>
          <t>Basic</t>
        </is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P149" s="0" t="n">
        <v>63.6</v>
      </c>
    </row>
    <row r="150">
      <c r="A150" s="0" t="inlineStr">
        <is>
          <t>USR-100149</t>
        </is>
      </c>
      <c r="B150" s="23" t="n">
        <v>45685</v>
      </c>
      <c r="C150" s="0" t="inlineStr">
        <is>
          <t>Control</t>
        </is>
      </c>
      <c r="D150" s="0" t="inlineStr">
        <is>
          <t>North</t>
        </is>
      </c>
      <c r="E150" s="0" t="inlineStr">
        <is>
          <t>Mobile</t>
        </is>
      </c>
      <c r="F150" s="0" t="inlineStr">
        <is>
          <t>Organic</t>
        </is>
      </c>
      <c r="G150" s="0" t="inlineStr">
        <is>
          <t>Free</t>
        </is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577.9400000000001</v>
      </c>
      <c r="M150" s="0" t="n">
        <v>0</v>
      </c>
      <c r="N150" s="0" t="n">
        <v>0</v>
      </c>
      <c r="O150" s="0" t="n">
        <v>9</v>
      </c>
      <c r="P150" s="0" t="n">
        <v>76.59999999999999</v>
      </c>
    </row>
    <row r="151">
      <c r="A151" s="0" t="inlineStr">
        <is>
          <t>USR-100150</t>
        </is>
      </c>
      <c r="B151" s="23" t="n">
        <v>45700</v>
      </c>
      <c r="C151" s="0" t="inlineStr">
        <is>
          <t>Control</t>
        </is>
      </c>
      <c r="D151" s="0" t="inlineStr">
        <is>
          <t>West</t>
        </is>
      </c>
      <c r="E151" s="0" t="inlineStr">
        <is>
          <t>Mobile</t>
        </is>
      </c>
      <c r="F151" s="0" t="inlineStr">
        <is>
          <t>Paid Search</t>
        </is>
      </c>
      <c r="G151" s="0" t="inlineStr">
        <is>
          <t>Premium</t>
        </is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P151" s="0" t="n">
        <v>67.59999999999999</v>
      </c>
    </row>
    <row r="152">
      <c r="A152" s="0" t="inlineStr">
        <is>
          <t>USR-100151</t>
        </is>
      </c>
      <c r="B152" s="23" t="n">
        <v>45776</v>
      </c>
      <c r="C152" s="0" t="inlineStr">
        <is>
          <t>Control</t>
        </is>
      </c>
      <c r="D152" s="0" t="inlineStr">
        <is>
          <t>North</t>
        </is>
      </c>
      <c r="E152" s="0" t="inlineStr">
        <is>
          <t>Mobile</t>
        </is>
      </c>
      <c r="F152" s="0" t="inlineStr">
        <is>
          <t>Social</t>
        </is>
      </c>
      <c r="G152" s="0" t="inlineStr">
        <is>
          <t>Premium</t>
        </is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P152" s="0" t="n">
        <v>43.1</v>
      </c>
    </row>
    <row r="153">
      <c r="A153" s="0" t="inlineStr">
        <is>
          <t>USR-100152</t>
        </is>
      </c>
      <c r="B153" s="23" t="n">
        <v>45729</v>
      </c>
      <c r="C153" s="0" t="inlineStr">
        <is>
          <t>Control</t>
        </is>
      </c>
      <c r="D153" s="0" t="inlineStr">
        <is>
          <t>South</t>
        </is>
      </c>
      <c r="E153" s="0" t="inlineStr">
        <is>
          <t>Mobile</t>
        </is>
      </c>
      <c r="F153" s="0" t="inlineStr">
        <is>
          <t>Email</t>
        </is>
      </c>
      <c r="G153" s="0" t="inlineStr">
        <is>
          <t>Free</t>
        </is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P153" s="0" t="n">
        <v>58.3</v>
      </c>
    </row>
    <row r="154">
      <c r="A154" s="0" t="inlineStr">
        <is>
          <t>USR-100153</t>
        </is>
      </c>
      <c r="B154" s="23" t="n">
        <v>45692</v>
      </c>
      <c r="C154" s="0" t="inlineStr">
        <is>
          <t>Control</t>
        </is>
      </c>
      <c r="D154" s="0" t="inlineStr">
        <is>
          <t>East</t>
        </is>
      </c>
      <c r="E154" s="0" t="inlineStr">
        <is>
          <t>Desktop</t>
        </is>
      </c>
      <c r="F154" s="0" t="inlineStr">
        <is>
          <t>Paid Search</t>
        </is>
      </c>
      <c r="G154" s="0" t="inlineStr">
        <is>
          <t>Free</t>
        </is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P154" s="0" t="n">
        <v>69.8</v>
      </c>
    </row>
    <row r="155">
      <c r="A155" s="0" t="inlineStr">
        <is>
          <t>USR-100154</t>
        </is>
      </c>
      <c r="B155" s="23" t="n">
        <v>45720</v>
      </c>
      <c r="C155" s="0" t="inlineStr">
        <is>
          <t>Control</t>
        </is>
      </c>
      <c r="D155" s="0" t="inlineStr">
        <is>
          <t>South</t>
        </is>
      </c>
      <c r="E155" s="0" t="inlineStr">
        <is>
          <t>Mobile</t>
        </is>
      </c>
      <c r="F155" s="0" t="inlineStr">
        <is>
          <t>Referral</t>
        </is>
      </c>
      <c r="G155" s="0" t="inlineStr">
        <is>
          <t>Free</t>
        </is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>
      <c r="A156" s="0" t="inlineStr">
        <is>
          <t>USR-100155</t>
        </is>
      </c>
      <c r="B156" s="23" t="n">
        <v>45692</v>
      </c>
      <c r="C156" s="0" t="inlineStr">
        <is>
          <t>Control</t>
        </is>
      </c>
      <c r="D156" s="0" t="inlineStr">
        <is>
          <t>West</t>
        </is>
      </c>
      <c r="E156" s="0" t="inlineStr">
        <is>
          <t>Mobile</t>
        </is>
      </c>
      <c r="F156" s="0" t="inlineStr">
        <is>
          <t>Paid Search</t>
        </is>
      </c>
      <c r="G156" s="0" t="inlineStr">
        <is>
          <t>Basic</t>
        </is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P156" s="0" t="n">
        <v>41.9</v>
      </c>
    </row>
    <row r="157">
      <c r="A157" s="0" t="inlineStr">
        <is>
          <t>USR-100156</t>
        </is>
      </c>
      <c r="B157" s="23" t="n">
        <v>45727</v>
      </c>
      <c r="C157" s="0" t="inlineStr">
        <is>
          <t>Control</t>
        </is>
      </c>
      <c r="D157" s="0" t="inlineStr">
        <is>
          <t>North</t>
        </is>
      </c>
      <c r="E157" s="0" t="inlineStr">
        <is>
          <t>Desktop</t>
        </is>
      </c>
      <c r="F157" s="0" t="inlineStr">
        <is>
          <t>Organic</t>
        </is>
      </c>
      <c r="G157" s="0" t="inlineStr">
        <is>
          <t>Free</t>
        </is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P157" s="0" t="n">
        <v>33.1</v>
      </c>
    </row>
    <row r="158">
      <c r="A158" s="0" t="inlineStr">
        <is>
          <t>USR-100157</t>
        </is>
      </c>
      <c r="B158" s="23" t="n">
        <v>45769</v>
      </c>
      <c r="C158" s="0" t="inlineStr">
        <is>
          <t>Control</t>
        </is>
      </c>
      <c r="D158" s="0" t="inlineStr">
        <is>
          <t>West</t>
        </is>
      </c>
      <c r="E158" s="0" t="inlineStr">
        <is>
          <t>Mobile</t>
        </is>
      </c>
      <c r="F158" s="0" t="inlineStr">
        <is>
          <t>Organic</t>
        </is>
      </c>
      <c r="G158" s="0" t="inlineStr">
        <is>
          <t>Free</t>
        </is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P158" s="0" t="n">
        <v>58.6</v>
      </c>
    </row>
    <row r="159">
      <c r="A159" s="0" t="inlineStr">
        <is>
          <t>USR-100158</t>
        </is>
      </c>
      <c r="B159" s="23" t="n">
        <v>45724</v>
      </c>
      <c r="C159" s="0" t="inlineStr">
        <is>
          <t>Control</t>
        </is>
      </c>
      <c r="D159" s="0" t="inlineStr">
        <is>
          <t>North</t>
        </is>
      </c>
      <c r="E159" s="0" t="inlineStr">
        <is>
          <t>Desktop</t>
        </is>
      </c>
      <c r="F159" s="0" t="inlineStr">
        <is>
          <t>Paid Search</t>
        </is>
      </c>
      <c r="G159" s="0" t="inlineStr">
        <is>
          <t>Free</t>
        </is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P159" s="0" t="n">
        <v>55.7</v>
      </c>
    </row>
    <row r="160">
      <c r="A160" s="0" t="inlineStr">
        <is>
          <t>USR-100159</t>
        </is>
      </c>
      <c r="B160" s="23" t="n">
        <v>45726</v>
      </c>
      <c r="C160" s="0" t="inlineStr">
        <is>
          <t>Control</t>
        </is>
      </c>
      <c r="D160" s="0" t="inlineStr">
        <is>
          <t>East</t>
        </is>
      </c>
      <c r="E160" s="0" t="inlineStr">
        <is>
          <t>Mobile</t>
        </is>
      </c>
      <c r="F160" s="0" t="inlineStr">
        <is>
          <t>Organic</t>
        </is>
      </c>
      <c r="G160" s="0" t="inlineStr">
        <is>
          <t>Free</t>
        </is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0</v>
      </c>
      <c r="P160" s="0" t="n">
        <v>64.90000000000001</v>
      </c>
    </row>
    <row r="161">
      <c r="A161" s="0" t="inlineStr">
        <is>
          <t>USR-100160</t>
        </is>
      </c>
      <c r="B161" s="23" t="n">
        <v>45795</v>
      </c>
      <c r="C161" s="0" t="inlineStr">
        <is>
          <t>Control</t>
        </is>
      </c>
      <c r="D161" s="0" t="inlineStr">
        <is>
          <t>North</t>
        </is>
      </c>
      <c r="E161" s="0" t="inlineStr">
        <is>
          <t>Desktop</t>
        </is>
      </c>
      <c r="F161" s="0" t="inlineStr">
        <is>
          <t>Paid Search</t>
        </is>
      </c>
      <c r="G161" s="0" t="inlineStr">
        <is>
          <t>Basic</t>
        </is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P161" s="0" t="n">
        <v>72.3</v>
      </c>
    </row>
    <row r="162">
      <c r="A162" s="0" t="inlineStr">
        <is>
          <t>USR-100161</t>
        </is>
      </c>
      <c r="B162" s="23" t="n">
        <v>45791</v>
      </c>
      <c r="C162" s="0" t="inlineStr">
        <is>
          <t>Control</t>
        </is>
      </c>
      <c r="D162" s="0" t="inlineStr">
        <is>
          <t>North</t>
        </is>
      </c>
      <c r="E162" s="0" t="inlineStr">
        <is>
          <t>Mobile</t>
        </is>
      </c>
      <c r="F162" s="0" t="inlineStr">
        <is>
          <t>Social</t>
        </is>
      </c>
      <c r="G162" s="0" t="inlineStr">
        <is>
          <t>Basic</t>
        </is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P162" s="0" t="n">
        <v>42.1</v>
      </c>
    </row>
    <row r="163">
      <c r="A163" s="0" t="inlineStr">
        <is>
          <t>USR-100162</t>
        </is>
      </c>
      <c r="B163" s="23" t="n">
        <v>45689</v>
      </c>
      <c r="C163" s="0" t="inlineStr">
        <is>
          <t>Control</t>
        </is>
      </c>
      <c r="D163" s="0" t="inlineStr">
        <is>
          <t>North</t>
        </is>
      </c>
      <c r="E163" s="0" t="inlineStr">
        <is>
          <t>Mobile</t>
        </is>
      </c>
      <c r="F163" s="0" t="inlineStr">
        <is>
          <t>Organic</t>
        </is>
      </c>
      <c r="G163" s="0" t="inlineStr">
        <is>
          <t>Free</t>
        </is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</row>
    <row r="164">
      <c r="A164" s="0" t="inlineStr">
        <is>
          <t>USR-100163</t>
        </is>
      </c>
      <c r="B164" s="23" t="n">
        <v>45758</v>
      </c>
      <c r="C164" s="0" t="inlineStr">
        <is>
          <t>Control</t>
        </is>
      </c>
      <c r="D164" s="0" t="inlineStr">
        <is>
          <t>South</t>
        </is>
      </c>
      <c r="E164" s="0" t="inlineStr">
        <is>
          <t>Mobile</t>
        </is>
      </c>
      <c r="F164" s="0" t="inlineStr">
        <is>
          <t>Organic</t>
        </is>
      </c>
      <c r="G164" s="0" t="inlineStr">
        <is>
          <t>Basic</t>
        </is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P164" s="0" t="n">
        <v>64.8</v>
      </c>
    </row>
    <row r="165">
      <c r="A165" s="0" t="inlineStr">
        <is>
          <t>USR-100164</t>
        </is>
      </c>
      <c r="B165" s="23" t="n">
        <v>45702</v>
      </c>
      <c r="C165" s="0" t="inlineStr">
        <is>
          <t>Control</t>
        </is>
      </c>
      <c r="D165" s="0" t="inlineStr">
        <is>
          <t>East</t>
        </is>
      </c>
      <c r="E165" s="0" t="inlineStr">
        <is>
          <t>Mobile</t>
        </is>
      </c>
      <c r="F165" s="0" t="inlineStr">
        <is>
          <t>Organic</t>
        </is>
      </c>
      <c r="G165" s="0" t="inlineStr">
        <is>
          <t>Free</t>
        </is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P165" s="0" t="n">
        <v>72.09999999999999</v>
      </c>
    </row>
    <row r="166">
      <c r="A166" s="0" t="inlineStr">
        <is>
          <t>USR-100165</t>
        </is>
      </c>
      <c r="B166" s="23" t="n">
        <v>45796</v>
      </c>
      <c r="C166" s="0" t="inlineStr">
        <is>
          <t>Control</t>
        </is>
      </c>
      <c r="D166" s="0" t="inlineStr">
        <is>
          <t>East</t>
        </is>
      </c>
      <c r="E166" s="0" t="inlineStr">
        <is>
          <t>Mobile</t>
        </is>
      </c>
      <c r="F166" s="0" t="inlineStr">
        <is>
          <t>Social</t>
        </is>
      </c>
      <c r="G166" s="0" t="inlineStr">
        <is>
          <t>Free</t>
        </is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P166" s="0" t="n">
        <v>50.6</v>
      </c>
    </row>
    <row r="167">
      <c r="A167" s="0" t="inlineStr">
        <is>
          <t>USR-100166</t>
        </is>
      </c>
      <c r="B167" s="23" t="n">
        <v>45773</v>
      </c>
      <c r="C167" s="0" t="inlineStr">
        <is>
          <t>Control</t>
        </is>
      </c>
      <c r="D167" s="0" t="inlineStr">
        <is>
          <t>North</t>
        </is>
      </c>
      <c r="E167" s="0" t="inlineStr">
        <is>
          <t>Desktop</t>
        </is>
      </c>
      <c r="F167" s="0" t="inlineStr">
        <is>
          <t>Paid Search</t>
        </is>
      </c>
      <c r="G167" s="0" t="inlineStr">
        <is>
          <t>Basic</t>
        </is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1281.25</v>
      </c>
      <c r="M167" s="0" t="n">
        <v>1</v>
      </c>
      <c r="N167" s="0" t="n">
        <v>0</v>
      </c>
      <c r="O167" s="0" t="n">
        <v>9</v>
      </c>
      <c r="P167" s="0" t="n">
        <v>43.4</v>
      </c>
    </row>
    <row r="168">
      <c r="A168" s="0" t="inlineStr">
        <is>
          <t>USR-100167</t>
        </is>
      </c>
      <c r="B168" s="23" t="n">
        <v>45753</v>
      </c>
      <c r="C168" s="0" t="inlineStr">
        <is>
          <t>Control</t>
        </is>
      </c>
      <c r="D168" s="0" t="inlineStr">
        <is>
          <t>South</t>
        </is>
      </c>
      <c r="E168" s="0" t="inlineStr">
        <is>
          <t>Mobile</t>
        </is>
      </c>
      <c r="F168" s="0" t="inlineStr">
        <is>
          <t>Social</t>
        </is>
      </c>
      <c r="G168" s="0" t="inlineStr">
        <is>
          <t>Free</t>
        </is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P168" s="0" t="n">
        <v>59.7</v>
      </c>
    </row>
    <row r="169">
      <c r="A169" s="0" t="inlineStr">
        <is>
          <t>USR-100168</t>
        </is>
      </c>
      <c r="B169" s="23" t="n">
        <v>45722</v>
      </c>
      <c r="C169" s="0" t="inlineStr">
        <is>
          <t>Control</t>
        </is>
      </c>
      <c r="D169" s="0" t="inlineStr">
        <is>
          <t>South</t>
        </is>
      </c>
      <c r="E169" s="0" t="inlineStr">
        <is>
          <t>Mobile</t>
        </is>
      </c>
      <c r="F169" s="0" t="inlineStr">
        <is>
          <t>Paid Search</t>
        </is>
      </c>
      <c r="G169" s="0" t="inlineStr">
        <is>
          <t>Free</t>
        </is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</row>
    <row r="170">
      <c r="A170" s="0" t="inlineStr">
        <is>
          <t>USR-100169</t>
        </is>
      </c>
      <c r="B170" s="23" t="n">
        <v>45726</v>
      </c>
      <c r="C170" s="0" t="inlineStr">
        <is>
          <t>Control</t>
        </is>
      </c>
      <c r="D170" s="0" t="inlineStr">
        <is>
          <t>West</t>
        </is>
      </c>
      <c r="E170" s="0" t="inlineStr">
        <is>
          <t>Mobile</t>
        </is>
      </c>
      <c r="F170" s="0" t="inlineStr">
        <is>
          <t>Social</t>
        </is>
      </c>
      <c r="G170" s="0" t="inlineStr">
        <is>
          <t>Basic</t>
        </is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P170" s="0" t="n">
        <v>54.5</v>
      </c>
    </row>
    <row r="171">
      <c r="A171" s="0" t="inlineStr">
        <is>
          <t>USR-100170</t>
        </is>
      </c>
      <c r="B171" s="23" t="n">
        <v>45746</v>
      </c>
      <c r="C171" s="0" t="inlineStr">
        <is>
          <t>Control</t>
        </is>
      </c>
      <c r="D171" s="0" t="inlineStr">
        <is>
          <t>North</t>
        </is>
      </c>
      <c r="E171" s="0" t="inlineStr">
        <is>
          <t>Mobile</t>
        </is>
      </c>
      <c r="F171" s="0" t="inlineStr">
        <is>
          <t>Organic</t>
        </is>
      </c>
      <c r="G171" s="0" t="inlineStr">
        <is>
          <t>Free</t>
        </is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P171" s="0" t="n">
        <v>71.09999999999999</v>
      </c>
    </row>
    <row r="172">
      <c r="A172" s="0" t="inlineStr">
        <is>
          <t>USR-100171</t>
        </is>
      </c>
      <c r="B172" s="23" t="n">
        <v>45806</v>
      </c>
      <c r="C172" s="0" t="inlineStr">
        <is>
          <t>Control</t>
        </is>
      </c>
      <c r="D172" s="0" t="inlineStr">
        <is>
          <t>East</t>
        </is>
      </c>
      <c r="E172" s="0" t="inlineStr">
        <is>
          <t>Unknown</t>
        </is>
      </c>
      <c r="F172" s="0" t="inlineStr">
        <is>
          <t>Paid Search</t>
        </is>
      </c>
      <c r="G172" s="0" t="inlineStr">
        <is>
          <t>Free</t>
        </is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P172" s="0" t="n">
        <v>44.4</v>
      </c>
    </row>
    <row r="173">
      <c r="A173" s="0" t="inlineStr">
        <is>
          <t>USR-100172</t>
        </is>
      </c>
      <c r="B173" s="23" t="n">
        <v>45739</v>
      </c>
      <c r="C173" s="0" t="inlineStr">
        <is>
          <t>Control</t>
        </is>
      </c>
      <c r="D173" s="0" t="inlineStr">
        <is>
          <t>North</t>
        </is>
      </c>
      <c r="E173" s="0" t="inlineStr">
        <is>
          <t>Mobile</t>
        </is>
      </c>
      <c r="F173" s="0" t="inlineStr">
        <is>
          <t>Organic</t>
        </is>
      </c>
      <c r="G173" s="0" t="inlineStr">
        <is>
          <t>Free</t>
        </is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P173" s="0" t="n">
        <v>61.7</v>
      </c>
    </row>
    <row r="174">
      <c r="A174" s="0" t="inlineStr">
        <is>
          <t>USR-100173</t>
        </is>
      </c>
      <c r="B174" s="23" t="n">
        <v>45706</v>
      </c>
      <c r="C174" s="0" t="inlineStr">
        <is>
          <t>Control</t>
        </is>
      </c>
      <c r="D174" s="0" t="inlineStr">
        <is>
          <t>North</t>
        </is>
      </c>
      <c r="E174" s="0" t="inlineStr">
        <is>
          <t>Tablet</t>
        </is>
      </c>
      <c r="F174" s="0" t="inlineStr">
        <is>
          <t>Organic</t>
        </is>
      </c>
      <c r="G174" s="0" t="inlineStr">
        <is>
          <t>Basic</t>
        </is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P174" s="0" t="n">
        <v>81.3</v>
      </c>
    </row>
    <row r="175">
      <c r="A175" s="0" t="inlineStr">
        <is>
          <t>USR-100174</t>
        </is>
      </c>
      <c r="B175" s="23" t="n">
        <v>45683</v>
      </c>
      <c r="C175" s="0" t="inlineStr">
        <is>
          <t>Control</t>
        </is>
      </c>
      <c r="D175" s="0" t="inlineStr">
        <is>
          <t>North</t>
        </is>
      </c>
      <c r="E175" s="0" t="inlineStr">
        <is>
          <t>Desktop</t>
        </is>
      </c>
      <c r="F175" s="0" t="inlineStr">
        <is>
          <t>Email</t>
        </is>
      </c>
      <c r="G175" s="0" t="inlineStr">
        <is>
          <t>Free</t>
        </is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0</v>
      </c>
      <c r="P175" s="0" t="n">
        <v>28.7</v>
      </c>
    </row>
    <row r="176">
      <c r="A176" s="0" t="inlineStr">
        <is>
          <t>USR-100175</t>
        </is>
      </c>
      <c r="B176" s="23" t="n">
        <v>45770</v>
      </c>
      <c r="C176" s="0" t="inlineStr">
        <is>
          <t>Control</t>
        </is>
      </c>
      <c r="D176" s="0" t="inlineStr">
        <is>
          <t>East</t>
        </is>
      </c>
      <c r="E176" s="0" t="inlineStr">
        <is>
          <t>Mobile</t>
        </is>
      </c>
      <c r="F176" s="0" t="inlineStr">
        <is>
          <t>Social</t>
        </is>
      </c>
      <c r="G176" s="0" t="inlineStr">
        <is>
          <t>Basic</t>
        </is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P176" s="0" t="n">
        <v>53</v>
      </c>
    </row>
    <row r="177">
      <c r="A177" s="0" t="inlineStr">
        <is>
          <t>USR-100176</t>
        </is>
      </c>
      <c r="B177" s="23" t="n">
        <v>45732</v>
      </c>
      <c r="C177" s="0" t="inlineStr">
        <is>
          <t>Control</t>
        </is>
      </c>
      <c r="D177" s="0" t="inlineStr">
        <is>
          <t>South</t>
        </is>
      </c>
      <c r="E177" s="0" t="inlineStr">
        <is>
          <t>Tablet</t>
        </is>
      </c>
      <c r="F177" s="0" t="inlineStr">
        <is>
          <t>Referral</t>
        </is>
      </c>
      <c r="G177" s="0" t="inlineStr">
        <is>
          <t>Basic</t>
        </is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P177" s="0" t="n">
        <v>54.9</v>
      </c>
    </row>
    <row r="178">
      <c r="A178" s="0" t="inlineStr">
        <is>
          <t>USR-100177</t>
        </is>
      </c>
      <c r="B178" s="23" t="n">
        <v>45776</v>
      </c>
      <c r="C178" s="0" t="inlineStr">
        <is>
          <t>Control</t>
        </is>
      </c>
      <c r="D178" s="0" t="inlineStr">
        <is>
          <t>West</t>
        </is>
      </c>
      <c r="E178" s="0" t="inlineStr">
        <is>
          <t>Mobile</t>
        </is>
      </c>
      <c r="F178" s="0" t="inlineStr">
        <is>
          <t>Organic</t>
        </is>
      </c>
      <c r="G178" s="0" t="inlineStr">
        <is>
          <t>Basic</t>
        </is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P178" s="0" t="n">
        <v>58.2</v>
      </c>
    </row>
    <row r="179">
      <c r="A179" s="0" t="inlineStr">
        <is>
          <t>USR-100178</t>
        </is>
      </c>
      <c r="B179" s="23" t="n">
        <v>45753</v>
      </c>
      <c r="C179" s="0" t="inlineStr">
        <is>
          <t>Control</t>
        </is>
      </c>
      <c r="D179" s="0" t="inlineStr">
        <is>
          <t>North</t>
        </is>
      </c>
      <c r="E179" s="0" t="inlineStr">
        <is>
          <t>Mobile</t>
        </is>
      </c>
      <c r="F179" s="0" t="inlineStr">
        <is>
          <t>Organic</t>
        </is>
      </c>
      <c r="G179" s="0" t="inlineStr">
        <is>
          <t>Free</t>
        </is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P179" s="0" t="n">
        <v>80.59999999999999</v>
      </c>
    </row>
    <row r="180">
      <c r="A180" s="0" t="inlineStr">
        <is>
          <t>USR-100179</t>
        </is>
      </c>
      <c r="B180" s="23" t="n">
        <v>45764</v>
      </c>
      <c r="C180" s="0" t="inlineStr">
        <is>
          <t>Control</t>
        </is>
      </c>
      <c r="D180" s="0" t="inlineStr">
        <is>
          <t>North</t>
        </is>
      </c>
      <c r="E180" s="0" t="inlineStr">
        <is>
          <t>Desktop</t>
        </is>
      </c>
      <c r="F180" s="0" t="inlineStr">
        <is>
          <t>Referral</t>
        </is>
      </c>
      <c r="G180" s="0" t="inlineStr">
        <is>
          <t>Premium</t>
        </is>
      </c>
      <c r="H180" s="0" t="n">
        <v>1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P180" s="0" t="n">
        <v>38.4</v>
      </c>
    </row>
    <row r="181">
      <c r="A181" s="0" t="inlineStr">
        <is>
          <t>USR-100180</t>
        </is>
      </c>
      <c r="B181" s="23" t="n">
        <v>45750</v>
      </c>
      <c r="C181" s="0" t="inlineStr">
        <is>
          <t>Control</t>
        </is>
      </c>
      <c r="D181" s="0" t="inlineStr">
        <is>
          <t>South</t>
        </is>
      </c>
      <c r="E181" s="0" t="inlineStr">
        <is>
          <t>Mobile</t>
        </is>
      </c>
      <c r="F181" s="0" t="inlineStr">
        <is>
          <t>Paid Search</t>
        </is>
      </c>
      <c r="G181" s="0" t="inlineStr">
        <is>
          <t>Free</t>
        </is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P181" s="0" t="n">
        <v>56.1</v>
      </c>
    </row>
    <row r="182">
      <c r="A182" s="0" t="inlineStr">
        <is>
          <t>USR-100181</t>
        </is>
      </c>
      <c r="B182" s="23" t="n">
        <v>45772</v>
      </c>
      <c r="C182" s="0" t="inlineStr">
        <is>
          <t>Control</t>
        </is>
      </c>
      <c r="D182" s="0" t="inlineStr">
        <is>
          <t>West</t>
        </is>
      </c>
      <c r="E182" s="0" t="inlineStr">
        <is>
          <t>Mobile</t>
        </is>
      </c>
      <c r="F182" s="0" t="inlineStr">
        <is>
          <t>Paid Search</t>
        </is>
      </c>
      <c r="G182" s="0" t="inlineStr">
        <is>
          <t>Free</t>
        </is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P182" s="0" t="n">
        <v>62.6</v>
      </c>
    </row>
    <row r="183">
      <c r="A183" s="0" t="inlineStr">
        <is>
          <t>USR-100182</t>
        </is>
      </c>
      <c r="B183" s="23" t="n">
        <v>45777</v>
      </c>
      <c r="C183" s="0" t="inlineStr">
        <is>
          <t>Control</t>
        </is>
      </c>
      <c r="D183" s="0" t="inlineStr">
        <is>
          <t>South</t>
        </is>
      </c>
      <c r="E183" s="0" t="inlineStr">
        <is>
          <t>Mobile</t>
        </is>
      </c>
      <c r="F183" s="0" t="inlineStr">
        <is>
          <t>Organic</t>
        </is>
      </c>
      <c r="G183" s="0" t="inlineStr">
        <is>
          <t>Premium</t>
        </is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P183" s="0" t="n">
        <v>36.3</v>
      </c>
    </row>
    <row r="184">
      <c r="A184" s="0" t="inlineStr">
        <is>
          <t>USR-100183</t>
        </is>
      </c>
      <c r="B184" s="23" t="n">
        <v>45728</v>
      </c>
      <c r="C184" s="0" t="inlineStr">
        <is>
          <t>Control</t>
        </is>
      </c>
      <c r="D184" s="0" t="inlineStr">
        <is>
          <t>South</t>
        </is>
      </c>
      <c r="E184" s="0" t="inlineStr">
        <is>
          <t>Mobile</t>
        </is>
      </c>
      <c r="F184" s="0" t="inlineStr">
        <is>
          <t>Paid Search</t>
        </is>
      </c>
      <c r="G184" s="0" t="inlineStr">
        <is>
          <t>Free</t>
        </is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P184" s="0" t="n">
        <v>52.1</v>
      </c>
    </row>
    <row r="185">
      <c r="A185" s="0" t="inlineStr">
        <is>
          <t>USR-100184</t>
        </is>
      </c>
      <c r="B185" s="23" t="n">
        <v>45781</v>
      </c>
      <c r="C185" s="0" t="inlineStr">
        <is>
          <t>Control</t>
        </is>
      </c>
      <c r="D185" s="0" t="inlineStr">
        <is>
          <t>South</t>
        </is>
      </c>
      <c r="E185" s="0" t="inlineStr">
        <is>
          <t>Mobile</t>
        </is>
      </c>
      <c r="F185" s="0" t="inlineStr">
        <is>
          <t>Organic</t>
        </is>
      </c>
      <c r="G185" s="0" t="inlineStr">
        <is>
          <t>Free</t>
        </is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P185" s="0" t="n">
        <v>45.1</v>
      </c>
    </row>
    <row r="186">
      <c r="A186" s="0" t="inlineStr">
        <is>
          <t>USR-100185</t>
        </is>
      </c>
      <c r="B186" s="23" t="n">
        <v>45695</v>
      </c>
      <c r="C186" s="0" t="inlineStr">
        <is>
          <t>Control</t>
        </is>
      </c>
      <c r="D186" s="0" t="inlineStr">
        <is>
          <t>South</t>
        </is>
      </c>
      <c r="E186" s="0" t="inlineStr">
        <is>
          <t>Tablet</t>
        </is>
      </c>
      <c r="F186" s="0" t="inlineStr">
        <is>
          <t>Paid Search</t>
        </is>
      </c>
      <c r="G186" s="0" t="inlineStr">
        <is>
          <t>Premium</t>
        </is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P186" s="0" t="n">
        <v>67.5</v>
      </c>
    </row>
    <row r="187">
      <c r="A187" s="0" t="inlineStr">
        <is>
          <t>USR-100186</t>
        </is>
      </c>
      <c r="B187" s="23" t="n">
        <v>45775</v>
      </c>
      <c r="C187" s="0" t="inlineStr">
        <is>
          <t>Control</t>
        </is>
      </c>
      <c r="D187" s="0" t="inlineStr">
        <is>
          <t>East</t>
        </is>
      </c>
      <c r="E187" s="0" t="inlineStr">
        <is>
          <t>Tablet</t>
        </is>
      </c>
      <c r="F187" s="0" t="inlineStr">
        <is>
          <t>Email</t>
        </is>
      </c>
      <c r="G187" s="0" t="inlineStr">
        <is>
          <t>Basic</t>
        </is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P187" s="0" t="n">
        <v>80</v>
      </c>
    </row>
    <row r="188">
      <c r="A188" s="0" t="inlineStr">
        <is>
          <t>USR-100187</t>
        </is>
      </c>
      <c r="B188" s="23" t="n">
        <v>45792</v>
      </c>
      <c r="C188" s="0" t="inlineStr">
        <is>
          <t>Control</t>
        </is>
      </c>
      <c r="D188" s="0" t="inlineStr">
        <is>
          <t>East</t>
        </is>
      </c>
      <c r="E188" s="0" t="inlineStr">
        <is>
          <t>Desktop</t>
        </is>
      </c>
      <c r="F188" s="0" t="inlineStr">
        <is>
          <t>Referral</t>
        </is>
      </c>
      <c r="G188" s="0" t="inlineStr">
        <is>
          <t>Free</t>
        </is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P188" s="0" t="n">
        <v>56.4</v>
      </c>
    </row>
    <row r="189">
      <c r="A189" s="0" t="inlineStr">
        <is>
          <t>USR-100188</t>
        </is>
      </c>
      <c r="B189" s="23" t="n">
        <v>45675</v>
      </c>
      <c r="C189" s="0" t="inlineStr">
        <is>
          <t>Control</t>
        </is>
      </c>
      <c r="D189" s="0" t="inlineStr">
        <is>
          <t>West</t>
        </is>
      </c>
      <c r="E189" s="0" t="inlineStr">
        <is>
          <t>Mobile</t>
        </is>
      </c>
      <c r="F189" s="0" t="inlineStr">
        <is>
          <t>Paid Search</t>
        </is>
      </c>
      <c r="G189" s="0" t="inlineStr">
        <is>
          <t>Basic</t>
        </is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P189" s="0" t="n">
        <v>55.4</v>
      </c>
    </row>
    <row r="190">
      <c r="A190" s="0" t="inlineStr">
        <is>
          <t>USR-100189</t>
        </is>
      </c>
      <c r="B190" s="23" t="n">
        <v>45703</v>
      </c>
      <c r="C190" s="0" t="inlineStr">
        <is>
          <t>Control</t>
        </is>
      </c>
      <c r="D190" s="0" t="inlineStr">
        <is>
          <t>South</t>
        </is>
      </c>
      <c r="E190" s="0" t="inlineStr">
        <is>
          <t>Mobile</t>
        </is>
      </c>
      <c r="F190" s="0" t="inlineStr">
        <is>
          <t>Social</t>
        </is>
      </c>
      <c r="G190" s="0" t="inlineStr">
        <is>
          <t>Basic</t>
        </is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P190" s="0" t="n">
        <v>67.90000000000001</v>
      </c>
    </row>
    <row r="191">
      <c r="A191" s="0" t="inlineStr">
        <is>
          <t>USR-100190</t>
        </is>
      </c>
      <c r="B191" s="23" t="n">
        <v>45706</v>
      </c>
      <c r="C191" s="0" t="inlineStr">
        <is>
          <t>Control</t>
        </is>
      </c>
      <c r="D191" s="0" t="inlineStr">
        <is>
          <t>North</t>
        </is>
      </c>
      <c r="E191" s="0" t="inlineStr">
        <is>
          <t>Tablet</t>
        </is>
      </c>
      <c r="F191" s="0" t="inlineStr">
        <is>
          <t>Email</t>
        </is>
      </c>
      <c r="G191" s="0" t="inlineStr">
        <is>
          <t>Free</t>
        </is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P191" s="0" t="n">
        <v>62.5</v>
      </c>
    </row>
    <row r="192">
      <c r="A192" s="0" t="inlineStr">
        <is>
          <t>USR-100191</t>
        </is>
      </c>
      <c r="B192" s="23" t="n">
        <v>45687</v>
      </c>
      <c r="C192" s="0" t="inlineStr">
        <is>
          <t>Control</t>
        </is>
      </c>
      <c r="D192" s="0" t="inlineStr">
        <is>
          <t>South</t>
        </is>
      </c>
      <c r="E192" s="0" t="inlineStr">
        <is>
          <t>Desktop</t>
        </is>
      </c>
      <c r="F192" s="0" t="inlineStr">
        <is>
          <t>Email</t>
        </is>
      </c>
      <c r="G192" s="0" t="inlineStr">
        <is>
          <t>Basic</t>
        </is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P192" s="0" t="n">
        <v>54.3</v>
      </c>
    </row>
    <row r="193">
      <c r="A193" s="0" t="inlineStr">
        <is>
          <t>USR-100192</t>
        </is>
      </c>
      <c r="B193" s="23" t="n">
        <v>45697</v>
      </c>
      <c r="C193" s="0" t="inlineStr">
        <is>
          <t>Control</t>
        </is>
      </c>
      <c r="D193" s="0" t="inlineStr">
        <is>
          <t>South</t>
        </is>
      </c>
      <c r="E193" s="0" t="inlineStr">
        <is>
          <t>Desktop</t>
        </is>
      </c>
      <c r="F193" s="0" t="inlineStr">
        <is>
          <t>Organic</t>
        </is>
      </c>
      <c r="G193" s="0" t="inlineStr">
        <is>
          <t>Basic</t>
        </is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P193" s="0" t="n">
        <v>37.5</v>
      </c>
    </row>
    <row r="194">
      <c r="A194" s="0" t="inlineStr">
        <is>
          <t>USR-100193</t>
        </is>
      </c>
      <c r="B194" s="23" t="n">
        <v>45732</v>
      </c>
      <c r="C194" s="0" t="inlineStr">
        <is>
          <t>Control</t>
        </is>
      </c>
      <c r="D194" s="0" t="inlineStr">
        <is>
          <t>West</t>
        </is>
      </c>
      <c r="E194" s="0" t="inlineStr">
        <is>
          <t>Mobile</t>
        </is>
      </c>
      <c r="F194" s="0" t="inlineStr">
        <is>
          <t>Paid Search</t>
        </is>
      </c>
      <c r="G194" s="0" t="inlineStr">
        <is>
          <t>Basic</t>
        </is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P194" s="0" t="n">
        <v>52.6</v>
      </c>
    </row>
    <row r="195">
      <c r="A195" s="0" t="inlineStr">
        <is>
          <t>USR-100194</t>
        </is>
      </c>
      <c r="B195" s="23" t="n">
        <v>45796</v>
      </c>
      <c r="C195" s="0" t="inlineStr">
        <is>
          <t>Control</t>
        </is>
      </c>
      <c r="D195" s="0" t="inlineStr">
        <is>
          <t>North</t>
        </is>
      </c>
      <c r="E195" s="0" t="inlineStr">
        <is>
          <t>Mobile</t>
        </is>
      </c>
      <c r="F195" s="0" t="inlineStr">
        <is>
          <t>Paid Search</t>
        </is>
      </c>
      <c r="G195" s="0" t="inlineStr">
        <is>
          <t>Free</t>
        </is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P195" s="0" t="n">
        <v>46.1</v>
      </c>
    </row>
    <row r="196">
      <c r="A196" s="0" t="inlineStr">
        <is>
          <t>USR-100195</t>
        </is>
      </c>
      <c r="B196" s="23" t="n">
        <v>45793</v>
      </c>
      <c r="C196" s="0" t="inlineStr">
        <is>
          <t>Control</t>
        </is>
      </c>
      <c r="D196" s="0" t="inlineStr">
        <is>
          <t>South</t>
        </is>
      </c>
      <c r="E196" s="0" t="inlineStr">
        <is>
          <t>Desktop</t>
        </is>
      </c>
      <c r="F196" s="0" t="inlineStr">
        <is>
          <t>Organic</t>
        </is>
      </c>
      <c r="G196" s="0" t="inlineStr">
        <is>
          <t>Basic</t>
        </is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P196" s="0" t="n">
        <v>54.7</v>
      </c>
    </row>
    <row r="197">
      <c r="A197" s="0" t="inlineStr">
        <is>
          <t>USR-100196</t>
        </is>
      </c>
      <c r="B197" s="23" t="n">
        <v>45772</v>
      </c>
      <c r="C197" s="0" t="inlineStr">
        <is>
          <t>Control</t>
        </is>
      </c>
      <c r="D197" s="0" t="inlineStr">
        <is>
          <t>West</t>
        </is>
      </c>
      <c r="E197" s="0" t="inlineStr">
        <is>
          <t>Desktop</t>
        </is>
      </c>
      <c r="F197" s="0" t="inlineStr">
        <is>
          <t>Referral</t>
        </is>
      </c>
      <c r="G197" s="0" t="inlineStr">
        <is>
          <t>Basic</t>
        </is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P197" s="0" t="n">
        <v>74.2</v>
      </c>
    </row>
    <row r="198">
      <c r="A198" s="0" t="inlineStr">
        <is>
          <t>USR-100197</t>
        </is>
      </c>
      <c r="B198" s="23" t="n">
        <v>45715</v>
      </c>
      <c r="C198" s="0" t="inlineStr">
        <is>
          <t>Control</t>
        </is>
      </c>
      <c r="D198" s="0" t="inlineStr">
        <is>
          <t>North</t>
        </is>
      </c>
      <c r="E198" s="0" t="inlineStr">
        <is>
          <t>Mobile</t>
        </is>
      </c>
      <c r="F198" s="0" t="inlineStr">
        <is>
          <t>Social</t>
        </is>
      </c>
      <c r="G198" s="0" t="inlineStr">
        <is>
          <t>Basic</t>
        </is>
      </c>
      <c r="H198" s="0" t="n">
        <v>1</v>
      </c>
      <c r="I198" s="0" t="n">
        <v>1</v>
      </c>
      <c r="J198" s="0" t="n">
        <v>1</v>
      </c>
      <c r="K198" s="0" t="n">
        <v>1</v>
      </c>
      <c r="L198" s="0" t="n">
        <v>1052.8</v>
      </c>
      <c r="M198" s="0" t="n">
        <v>2</v>
      </c>
      <c r="N198" s="0" t="n">
        <v>0</v>
      </c>
      <c r="O198" s="0" t="n">
        <v>6</v>
      </c>
      <c r="P198" s="0" t="n">
        <v>64.7</v>
      </c>
    </row>
    <row r="199">
      <c r="A199" s="0" t="inlineStr">
        <is>
          <t>USR-100198</t>
        </is>
      </c>
      <c r="B199" s="23" t="n">
        <v>45773</v>
      </c>
      <c r="C199" s="0" t="inlineStr">
        <is>
          <t>Control</t>
        </is>
      </c>
      <c r="D199" s="0" t="inlineStr">
        <is>
          <t>South</t>
        </is>
      </c>
      <c r="E199" s="0" t="inlineStr">
        <is>
          <t>Mobile</t>
        </is>
      </c>
      <c r="F199" s="0" t="inlineStr">
        <is>
          <t>Paid Search</t>
        </is>
      </c>
      <c r="G199" s="0" t="inlineStr">
        <is>
          <t>Basic</t>
        </is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P199" s="0" t="n">
        <v>65.90000000000001</v>
      </c>
    </row>
    <row r="200">
      <c r="A200" s="0" t="inlineStr">
        <is>
          <t>USR-100199</t>
        </is>
      </c>
      <c r="B200" s="23" t="n">
        <v>45791</v>
      </c>
      <c r="C200" s="0" t="inlineStr">
        <is>
          <t>Control</t>
        </is>
      </c>
      <c r="D200" s="0" t="inlineStr">
        <is>
          <t>North</t>
        </is>
      </c>
      <c r="E200" s="0" t="inlineStr">
        <is>
          <t>Mobile</t>
        </is>
      </c>
      <c r="F200" s="0" t="inlineStr">
        <is>
          <t>Organic</t>
        </is>
      </c>
      <c r="G200" s="0" t="inlineStr">
        <is>
          <t>Basic</t>
        </is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P200" s="0" t="n">
        <v>64</v>
      </c>
    </row>
    <row r="201">
      <c r="A201" s="0" t="inlineStr">
        <is>
          <t>USR-100200</t>
        </is>
      </c>
      <c r="B201" s="23" t="n">
        <v>45721</v>
      </c>
      <c r="C201" s="0" t="inlineStr">
        <is>
          <t>Control</t>
        </is>
      </c>
      <c r="D201" s="0" t="inlineStr">
        <is>
          <t>North</t>
        </is>
      </c>
      <c r="E201" s="0" t="inlineStr">
        <is>
          <t>Mobile</t>
        </is>
      </c>
      <c r="F201" s="0" t="inlineStr">
        <is>
          <t>Organic</t>
        </is>
      </c>
      <c r="G201" s="0" t="inlineStr">
        <is>
          <t>Premium</t>
        </is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P201" s="0" t="n">
        <v>57.2</v>
      </c>
    </row>
    <row r="202">
      <c r="A202" s="0" t="inlineStr">
        <is>
          <t>USR-100201</t>
        </is>
      </c>
      <c r="B202" s="23" t="n">
        <v>45749</v>
      </c>
      <c r="C202" s="0" t="inlineStr">
        <is>
          <t>Control</t>
        </is>
      </c>
      <c r="D202" s="0" t="inlineStr">
        <is>
          <t>West</t>
        </is>
      </c>
      <c r="E202" s="0" t="inlineStr">
        <is>
          <t>Desktop</t>
        </is>
      </c>
      <c r="F202" s="0" t="inlineStr">
        <is>
          <t>Organic</t>
        </is>
      </c>
      <c r="G202" s="0" t="inlineStr">
        <is>
          <t>Free</t>
        </is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P202" s="0" t="n">
        <v>80.5</v>
      </c>
    </row>
    <row r="203">
      <c r="A203" s="0" t="inlineStr">
        <is>
          <t>USR-100202</t>
        </is>
      </c>
      <c r="B203" s="23" t="n">
        <v>45791</v>
      </c>
      <c r="C203" s="0" t="inlineStr">
        <is>
          <t>Control</t>
        </is>
      </c>
      <c r="D203" s="0" t="inlineStr">
        <is>
          <t>South</t>
        </is>
      </c>
      <c r="E203" s="0" t="inlineStr">
        <is>
          <t>Tablet</t>
        </is>
      </c>
      <c r="F203" s="0" t="inlineStr">
        <is>
          <t>Organic</t>
        </is>
      </c>
      <c r="G203" s="0" t="inlineStr">
        <is>
          <t>Free</t>
        </is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P203" s="0" t="n">
        <v>53.9</v>
      </c>
    </row>
    <row r="204">
      <c r="A204" s="0" t="inlineStr">
        <is>
          <t>USR-100203</t>
        </is>
      </c>
      <c r="B204" s="23" t="n">
        <v>45798</v>
      </c>
      <c r="C204" s="0" t="inlineStr">
        <is>
          <t>Control</t>
        </is>
      </c>
      <c r="D204" s="0" t="inlineStr">
        <is>
          <t>North</t>
        </is>
      </c>
      <c r="E204" s="0" t="inlineStr">
        <is>
          <t>Mobile</t>
        </is>
      </c>
      <c r="F204" s="0" t="inlineStr">
        <is>
          <t>Paid Search</t>
        </is>
      </c>
      <c r="G204" s="0" t="inlineStr">
        <is>
          <t>Free</t>
        </is>
      </c>
      <c r="H204" s="0" t="n">
        <v>1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P204" s="0" t="n">
        <v>77.5</v>
      </c>
    </row>
    <row r="205">
      <c r="A205" s="0" t="inlineStr">
        <is>
          <t>USR-100204</t>
        </is>
      </c>
      <c r="B205" s="23" t="n">
        <v>45684</v>
      </c>
      <c r="C205" s="0" t="inlineStr">
        <is>
          <t>Control</t>
        </is>
      </c>
      <c r="D205" s="0" t="inlineStr">
        <is>
          <t>East</t>
        </is>
      </c>
      <c r="E205" s="0" t="inlineStr">
        <is>
          <t>Mobile</t>
        </is>
      </c>
      <c r="F205" s="0" t="inlineStr">
        <is>
          <t>Social</t>
        </is>
      </c>
      <c r="G205" s="0" t="inlineStr">
        <is>
          <t>Basic</t>
        </is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P205" s="0" t="n">
        <v>84.2</v>
      </c>
    </row>
    <row r="206">
      <c r="A206" s="0" t="inlineStr">
        <is>
          <t>USR-100205</t>
        </is>
      </c>
      <c r="B206" s="23" t="n">
        <v>45799</v>
      </c>
      <c r="C206" s="0" t="inlineStr">
        <is>
          <t>Control</t>
        </is>
      </c>
      <c r="D206" s="0" t="inlineStr">
        <is>
          <t>West</t>
        </is>
      </c>
      <c r="E206" s="0" t="inlineStr">
        <is>
          <t>Desktop</t>
        </is>
      </c>
      <c r="F206" s="0" t="inlineStr">
        <is>
          <t>Organic</t>
        </is>
      </c>
      <c r="G206" s="0" t="inlineStr">
        <is>
          <t>Free</t>
        </is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P206" s="0" t="n">
        <v>54.9</v>
      </c>
    </row>
    <row r="207">
      <c r="A207" s="0" t="inlineStr">
        <is>
          <t>USR-100206</t>
        </is>
      </c>
      <c r="B207" s="23" t="n">
        <v>45796</v>
      </c>
      <c r="C207" s="0" t="inlineStr">
        <is>
          <t>Control</t>
        </is>
      </c>
      <c r="D207" s="0" t="inlineStr">
        <is>
          <t>South</t>
        </is>
      </c>
      <c r="E207" s="0" t="inlineStr">
        <is>
          <t>Mobile</t>
        </is>
      </c>
      <c r="F207" s="0" t="inlineStr">
        <is>
          <t>Paid Search</t>
        </is>
      </c>
      <c r="G207" s="0" t="inlineStr">
        <is>
          <t>Free</t>
        </is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P207" s="0" t="n">
        <v>69.3</v>
      </c>
    </row>
    <row r="208">
      <c r="A208" s="0" t="inlineStr">
        <is>
          <t>USR-100207</t>
        </is>
      </c>
      <c r="B208" s="23" t="n">
        <v>45671</v>
      </c>
      <c r="C208" s="0" t="inlineStr">
        <is>
          <t>Control</t>
        </is>
      </c>
      <c r="D208" s="0" t="inlineStr">
        <is>
          <t>South</t>
        </is>
      </c>
      <c r="E208" s="0" t="inlineStr">
        <is>
          <t>Desktop</t>
        </is>
      </c>
      <c r="F208" s="0" t="inlineStr">
        <is>
          <t>Paid Search</t>
        </is>
      </c>
      <c r="G208" s="0" t="inlineStr">
        <is>
          <t>Free</t>
        </is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2</v>
      </c>
      <c r="N208" s="0" t="n">
        <v>0</v>
      </c>
      <c r="P208" s="0" t="n">
        <v>42.3</v>
      </c>
    </row>
    <row r="209">
      <c r="A209" s="0" t="inlineStr">
        <is>
          <t>USR-100208</t>
        </is>
      </c>
      <c r="B209" s="23" t="n">
        <v>45678</v>
      </c>
      <c r="C209" s="0" t="inlineStr">
        <is>
          <t>Control</t>
        </is>
      </c>
      <c r="D209" s="0" t="inlineStr">
        <is>
          <t>North</t>
        </is>
      </c>
      <c r="E209" s="0" t="inlineStr">
        <is>
          <t>Desktop</t>
        </is>
      </c>
      <c r="F209" s="0" t="inlineStr">
        <is>
          <t>Referral</t>
        </is>
      </c>
      <c r="G209" s="0" t="inlineStr">
        <is>
          <t>Premium</t>
        </is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P209" s="0" t="n">
        <v>69.59999999999999</v>
      </c>
    </row>
    <row r="210">
      <c r="A210" s="0" t="inlineStr">
        <is>
          <t>USR-100209</t>
        </is>
      </c>
      <c r="B210" s="23" t="n">
        <v>45793</v>
      </c>
      <c r="C210" s="0" t="inlineStr">
        <is>
          <t>Control</t>
        </is>
      </c>
      <c r="D210" s="0" t="inlineStr">
        <is>
          <t>East</t>
        </is>
      </c>
      <c r="E210" s="0" t="inlineStr">
        <is>
          <t>Mobile</t>
        </is>
      </c>
      <c r="F210" s="0" t="inlineStr">
        <is>
          <t>Organic</t>
        </is>
      </c>
      <c r="G210" s="0" t="inlineStr">
        <is>
          <t>Free</t>
        </is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P210" s="0" t="n">
        <v>40.7</v>
      </c>
    </row>
    <row r="211">
      <c r="A211" s="0" t="inlineStr">
        <is>
          <t>USR-100210</t>
        </is>
      </c>
      <c r="B211" s="23" t="n">
        <v>45690</v>
      </c>
      <c r="C211" s="0" t="inlineStr">
        <is>
          <t>Control</t>
        </is>
      </c>
      <c r="D211" s="0" t="inlineStr">
        <is>
          <t>North</t>
        </is>
      </c>
      <c r="E211" s="0" t="inlineStr">
        <is>
          <t>Mobile</t>
        </is>
      </c>
      <c r="F211" s="0" t="inlineStr">
        <is>
          <t>Email</t>
        </is>
      </c>
      <c r="G211" s="0" t="inlineStr">
        <is>
          <t>Free</t>
        </is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P211" s="0" t="n">
        <v>54</v>
      </c>
    </row>
    <row r="212">
      <c r="A212" s="0" t="inlineStr">
        <is>
          <t>USR-100211</t>
        </is>
      </c>
      <c r="B212" s="23" t="n">
        <v>45739</v>
      </c>
      <c r="C212" s="0" t="inlineStr">
        <is>
          <t>Control</t>
        </is>
      </c>
      <c r="D212" s="0" t="inlineStr">
        <is>
          <t>East</t>
        </is>
      </c>
      <c r="E212" s="0" t="inlineStr">
        <is>
          <t>Unknown</t>
        </is>
      </c>
      <c r="F212" s="0" t="inlineStr">
        <is>
          <t>Referral</t>
        </is>
      </c>
      <c r="G212" s="0" t="inlineStr">
        <is>
          <t>Free</t>
        </is>
      </c>
      <c r="H212" s="0" t="n">
        <v>1</v>
      </c>
      <c r="I212" s="0" t="n">
        <v>1</v>
      </c>
      <c r="J212" s="0" t="n">
        <v>1</v>
      </c>
      <c r="K212" s="0" t="n">
        <v>1</v>
      </c>
      <c r="L212" s="0" t="n">
        <v>553.37</v>
      </c>
      <c r="M212" s="0" t="n">
        <v>0</v>
      </c>
      <c r="N212" s="0" t="n">
        <v>0</v>
      </c>
      <c r="O212" s="0" t="n">
        <v>5</v>
      </c>
      <c r="P212" s="0" t="n">
        <v>46.3</v>
      </c>
    </row>
    <row r="213">
      <c r="A213" s="0" t="inlineStr">
        <is>
          <t>USR-100212</t>
        </is>
      </c>
      <c r="B213" s="23" t="n">
        <v>45681</v>
      </c>
      <c r="C213" s="0" t="inlineStr">
        <is>
          <t>Control</t>
        </is>
      </c>
      <c r="D213" s="0" t="inlineStr">
        <is>
          <t>East</t>
        </is>
      </c>
      <c r="E213" s="0" t="inlineStr">
        <is>
          <t>Mobile</t>
        </is>
      </c>
      <c r="F213" s="0" t="inlineStr">
        <is>
          <t>Organic</t>
        </is>
      </c>
      <c r="G213" s="0" t="inlineStr">
        <is>
          <t>Free</t>
        </is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P213" s="0" t="n">
        <v>64.2</v>
      </c>
    </row>
    <row r="214">
      <c r="A214" s="0" t="inlineStr">
        <is>
          <t>USR-100213</t>
        </is>
      </c>
      <c r="B214" s="23" t="n">
        <v>45759</v>
      </c>
      <c r="C214" s="0" t="inlineStr">
        <is>
          <t>Control</t>
        </is>
      </c>
      <c r="D214" s="0" t="inlineStr">
        <is>
          <t>North</t>
        </is>
      </c>
      <c r="E214" s="0" t="inlineStr">
        <is>
          <t>Desktop</t>
        </is>
      </c>
      <c r="F214" s="0" t="inlineStr">
        <is>
          <t>Organic</t>
        </is>
      </c>
      <c r="G214" s="0" t="inlineStr">
        <is>
          <t>Free</t>
        </is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P214" s="0" t="n">
        <v>75.2</v>
      </c>
    </row>
    <row r="215">
      <c r="A215" s="0" t="inlineStr">
        <is>
          <t>USR-100214</t>
        </is>
      </c>
      <c r="B215" s="23" t="n">
        <v>45706</v>
      </c>
      <c r="C215" s="0" t="inlineStr">
        <is>
          <t>Control</t>
        </is>
      </c>
      <c r="D215" s="0" t="inlineStr">
        <is>
          <t>East</t>
        </is>
      </c>
      <c r="E215" s="0" t="inlineStr">
        <is>
          <t>Desktop</t>
        </is>
      </c>
      <c r="F215" s="0" t="inlineStr">
        <is>
          <t>Paid Search</t>
        </is>
      </c>
      <c r="G215" s="0" t="inlineStr">
        <is>
          <t>Free</t>
        </is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P215" s="0" t="n">
        <v>60.9</v>
      </c>
    </row>
    <row r="216">
      <c r="A216" s="0" t="inlineStr">
        <is>
          <t>USR-100215</t>
        </is>
      </c>
      <c r="B216" s="23" t="n">
        <v>45805</v>
      </c>
      <c r="C216" s="0" t="inlineStr">
        <is>
          <t>Control</t>
        </is>
      </c>
      <c r="D216" s="0" t="inlineStr">
        <is>
          <t>South</t>
        </is>
      </c>
      <c r="E216" s="0" t="inlineStr">
        <is>
          <t>Mobile</t>
        </is>
      </c>
      <c r="F216" s="0" t="inlineStr">
        <is>
          <t>Email</t>
        </is>
      </c>
      <c r="G216" s="0" t="inlineStr">
        <is>
          <t>Basic</t>
        </is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P216" s="0" t="n">
        <v>62.1</v>
      </c>
    </row>
    <row r="217">
      <c r="A217" s="0" t="inlineStr">
        <is>
          <t>USR-100216</t>
        </is>
      </c>
      <c r="B217" s="23" t="n">
        <v>45765</v>
      </c>
      <c r="C217" s="0" t="inlineStr">
        <is>
          <t>Control</t>
        </is>
      </c>
      <c r="D217" s="0" t="inlineStr">
        <is>
          <t>South</t>
        </is>
      </c>
      <c r="E217" s="0" t="inlineStr">
        <is>
          <t>Mobile</t>
        </is>
      </c>
      <c r="F217" s="0" t="inlineStr">
        <is>
          <t>Social</t>
        </is>
      </c>
      <c r="G217" s="0" t="inlineStr">
        <is>
          <t>Basic</t>
        </is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P217" s="0" t="n">
        <v>45.4</v>
      </c>
    </row>
    <row r="218">
      <c r="A218" s="0" t="inlineStr">
        <is>
          <t>USR-100217</t>
        </is>
      </c>
      <c r="B218" s="23" t="n">
        <v>45743</v>
      </c>
      <c r="C218" s="0" t="inlineStr">
        <is>
          <t>Control</t>
        </is>
      </c>
      <c r="D218" s="0" t="inlineStr">
        <is>
          <t>North</t>
        </is>
      </c>
      <c r="E218" s="0" t="inlineStr">
        <is>
          <t>Mobile</t>
        </is>
      </c>
      <c r="F218" s="0" t="inlineStr">
        <is>
          <t>Paid Search</t>
        </is>
      </c>
      <c r="G218" s="0" t="inlineStr">
        <is>
          <t>Basic</t>
        </is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P218" s="0" t="n">
        <v>53.3</v>
      </c>
    </row>
    <row r="219">
      <c r="A219" s="0" t="inlineStr">
        <is>
          <t>USR-100218</t>
        </is>
      </c>
      <c r="B219" s="23" t="n">
        <v>45713</v>
      </c>
      <c r="C219" s="0" t="inlineStr">
        <is>
          <t>Control</t>
        </is>
      </c>
      <c r="D219" s="0" t="inlineStr">
        <is>
          <t>North</t>
        </is>
      </c>
      <c r="E219" s="0" t="inlineStr">
        <is>
          <t>Tablet</t>
        </is>
      </c>
      <c r="F219" s="0" t="inlineStr">
        <is>
          <t>Social</t>
        </is>
      </c>
      <c r="G219" s="0" t="inlineStr">
        <is>
          <t>Free</t>
        </is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</row>
    <row r="220">
      <c r="A220" s="0" t="inlineStr">
        <is>
          <t>USR-100219</t>
        </is>
      </c>
      <c r="B220" s="23" t="n">
        <v>45707</v>
      </c>
      <c r="C220" s="0" t="inlineStr">
        <is>
          <t>Control</t>
        </is>
      </c>
      <c r="D220" s="0" t="inlineStr">
        <is>
          <t>East</t>
        </is>
      </c>
      <c r="E220" s="0" t="inlineStr">
        <is>
          <t>Mobile</t>
        </is>
      </c>
      <c r="F220" s="0" t="inlineStr">
        <is>
          <t>Paid Search</t>
        </is>
      </c>
      <c r="G220" s="0" t="inlineStr">
        <is>
          <t>Free</t>
        </is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P220" s="0" t="n">
        <v>38.2</v>
      </c>
    </row>
    <row r="221">
      <c r="A221" s="0" t="inlineStr">
        <is>
          <t>USR-100220</t>
        </is>
      </c>
      <c r="B221" s="23" t="n">
        <v>45758</v>
      </c>
      <c r="C221" s="0" t="inlineStr">
        <is>
          <t>Control</t>
        </is>
      </c>
      <c r="D221" s="0" t="inlineStr">
        <is>
          <t>West</t>
        </is>
      </c>
      <c r="E221" s="0" t="inlineStr">
        <is>
          <t>Mobile</t>
        </is>
      </c>
      <c r="F221" s="0" t="inlineStr">
        <is>
          <t>Paid Search</t>
        </is>
      </c>
      <c r="G221" s="0" t="inlineStr">
        <is>
          <t>Free</t>
        </is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3</v>
      </c>
      <c r="N221" s="0" t="n">
        <v>0</v>
      </c>
      <c r="P221" s="0" t="n">
        <v>59</v>
      </c>
    </row>
    <row r="222">
      <c r="A222" s="0" t="inlineStr">
        <is>
          <t>USR-100221</t>
        </is>
      </c>
      <c r="B222" s="23" t="n">
        <v>45679</v>
      </c>
      <c r="C222" s="0" t="inlineStr">
        <is>
          <t>Control</t>
        </is>
      </c>
      <c r="D222" s="0" t="inlineStr">
        <is>
          <t>East</t>
        </is>
      </c>
      <c r="E222" s="0" t="inlineStr">
        <is>
          <t>Tablet</t>
        </is>
      </c>
      <c r="F222" s="0" t="inlineStr">
        <is>
          <t>Referral</t>
        </is>
      </c>
      <c r="G222" s="0" t="inlineStr">
        <is>
          <t>Premium</t>
        </is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P222" s="0" t="n">
        <v>80.59999999999999</v>
      </c>
    </row>
    <row r="223">
      <c r="A223" s="0" t="inlineStr">
        <is>
          <t>USR-100222</t>
        </is>
      </c>
      <c r="B223" s="23" t="n">
        <v>45669</v>
      </c>
      <c r="C223" s="0" t="inlineStr">
        <is>
          <t>Control</t>
        </is>
      </c>
      <c r="D223" s="0" t="inlineStr">
        <is>
          <t>South</t>
        </is>
      </c>
      <c r="E223" s="0" t="inlineStr">
        <is>
          <t>Mobile</t>
        </is>
      </c>
      <c r="F223" s="0" t="inlineStr">
        <is>
          <t>Social</t>
        </is>
      </c>
      <c r="G223" s="0" t="inlineStr">
        <is>
          <t>Free</t>
        </is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P223" s="0" t="n">
        <v>67</v>
      </c>
    </row>
    <row r="224">
      <c r="A224" s="0" t="inlineStr">
        <is>
          <t>USR-100223</t>
        </is>
      </c>
      <c r="B224" s="23" t="n">
        <v>45705</v>
      </c>
      <c r="C224" s="0" t="inlineStr">
        <is>
          <t>Control</t>
        </is>
      </c>
      <c r="D224" s="0" t="inlineStr">
        <is>
          <t>West</t>
        </is>
      </c>
      <c r="E224" s="0" t="inlineStr">
        <is>
          <t>Mobile</t>
        </is>
      </c>
      <c r="F224" s="0" t="inlineStr">
        <is>
          <t>Email</t>
        </is>
      </c>
      <c r="G224" s="0" t="inlineStr">
        <is>
          <t>Free</t>
        </is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P224" s="0" t="n">
        <v>72.09999999999999</v>
      </c>
    </row>
    <row r="225">
      <c r="A225" s="0" t="inlineStr">
        <is>
          <t>USR-100224</t>
        </is>
      </c>
      <c r="B225" s="23" t="n">
        <v>45758</v>
      </c>
      <c r="C225" s="0" t="inlineStr">
        <is>
          <t>Control</t>
        </is>
      </c>
      <c r="D225" s="0" t="inlineStr">
        <is>
          <t>West</t>
        </is>
      </c>
      <c r="E225" s="0" t="inlineStr">
        <is>
          <t>Desktop</t>
        </is>
      </c>
      <c r="F225" s="0" t="inlineStr">
        <is>
          <t>Organic</t>
        </is>
      </c>
      <c r="G225" s="0" t="inlineStr">
        <is>
          <t>Free</t>
        </is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P225" s="0" t="n">
        <v>74.09999999999999</v>
      </c>
    </row>
    <row r="226">
      <c r="A226" s="0" t="inlineStr">
        <is>
          <t>USR-100225</t>
        </is>
      </c>
      <c r="B226" s="23" t="n">
        <v>45802</v>
      </c>
      <c r="C226" s="0" t="inlineStr">
        <is>
          <t>Control</t>
        </is>
      </c>
      <c r="D226" s="0" t="inlineStr">
        <is>
          <t>South</t>
        </is>
      </c>
      <c r="E226" s="0" t="inlineStr">
        <is>
          <t>Mobile</t>
        </is>
      </c>
      <c r="F226" s="0" t="inlineStr">
        <is>
          <t>Referral</t>
        </is>
      </c>
      <c r="G226" s="0" t="inlineStr">
        <is>
          <t>Premium</t>
        </is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P226" s="0" t="n">
        <v>84.8</v>
      </c>
    </row>
    <row r="227">
      <c r="A227" s="0" t="inlineStr">
        <is>
          <t>USR-100226</t>
        </is>
      </c>
      <c r="B227" s="23" t="n">
        <v>45728</v>
      </c>
      <c r="C227" s="0" t="inlineStr">
        <is>
          <t>Control</t>
        </is>
      </c>
      <c r="D227" s="0" t="inlineStr">
        <is>
          <t>South</t>
        </is>
      </c>
      <c r="E227" s="0" t="inlineStr">
        <is>
          <t>Mobile</t>
        </is>
      </c>
      <c r="F227" s="0" t="inlineStr">
        <is>
          <t>Organic</t>
        </is>
      </c>
      <c r="G227" s="0" t="inlineStr">
        <is>
          <t>Basic</t>
        </is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P227" s="0" t="n">
        <v>33</v>
      </c>
    </row>
    <row r="228">
      <c r="A228" s="0" t="inlineStr">
        <is>
          <t>USR-100227</t>
        </is>
      </c>
      <c r="B228" s="23" t="n">
        <v>45767</v>
      </c>
      <c r="C228" s="0" t="inlineStr">
        <is>
          <t>Control</t>
        </is>
      </c>
      <c r="D228" s="0" t="inlineStr">
        <is>
          <t>North</t>
        </is>
      </c>
      <c r="E228" s="0" t="inlineStr">
        <is>
          <t>Tablet</t>
        </is>
      </c>
      <c r="F228" s="0" t="inlineStr">
        <is>
          <t>Email</t>
        </is>
      </c>
      <c r="G228" s="0" t="inlineStr">
        <is>
          <t>Free</t>
        </is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P228" s="0" t="n">
        <v>52.5</v>
      </c>
    </row>
    <row r="229">
      <c r="A229" s="0" t="inlineStr">
        <is>
          <t>USR-100228</t>
        </is>
      </c>
      <c r="B229" s="23" t="n">
        <v>45711</v>
      </c>
      <c r="C229" s="0" t="inlineStr">
        <is>
          <t>Control</t>
        </is>
      </c>
      <c r="D229" s="0" t="inlineStr">
        <is>
          <t>North</t>
        </is>
      </c>
      <c r="E229" s="0" t="inlineStr">
        <is>
          <t>Tablet</t>
        </is>
      </c>
      <c r="F229" s="0" t="inlineStr">
        <is>
          <t>Organic</t>
        </is>
      </c>
      <c r="G229" s="0" t="inlineStr">
        <is>
          <t>Free</t>
        </is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P229" s="0" t="n">
        <v>66.90000000000001</v>
      </c>
    </row>
    <row r="230">
      <c r="A230" s="0" t="inlineStr">
        <is>
          <t>USR-100229</t>
        </is>
      </c>
      <c r="B230" s="23" t="n">
        <v>45681</v>
      </c>
      <c r="C230" s="0" t="inlineStr">
        <is>
          <t>Control</t>
        </is>
      </c>
      <c r="D230" s="0" t="inlineStr">
        <is>
          <t>North</t>
        </is>
      </c>
      <c r="E230" s="0" t="inlineStr">
        <is>
          <t>Mobile</t>
        </is>
      </c>
      <c r="F230" s="0" t="inlineStr">
        <is>
          <t>Organic</t>
        </is>
      </c>
      <c r="G230" s="0" t="inlineStr">
        <is>
          <t>Basic</t>
        </is>
      </c>
      <c r="H230" s="0" t="n">
        <v>1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0</v>
      </c>
      <c r="P230" s="0" t="n">
        <v>32.7</v>
      </c>
    </row>
    <row r="231">
      <c r="A231" s="0" t="inlineStr">
        <is>
          <t>USR-100230</t>
        </is>
      </c>
      <c r="B231" s="23" t="n">
        <v>45673</v>
      </c>
      <c r="C231" s="0" t="inlineStr">
        <is>
          <t>Control</t>
        </is>
      </c>
      <c r="D231" s="0" t="inlineStr">
        <is>
          <t>West</t>
        </is>
      </c>
      <c r="E231" s="0" t="inlineStr">
        <is>
          <t>Mobile</t>
        </is>
      </c>
      <c r="F231" s="0" t="inlineStr">
        <is>
          <t>Organic</t>
        </is>
      </c>
      <c r="G231" s="0" t="inlineStr">
        <is>
          <t>Premium</t>
        </is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0</v>
      </c>
      <c r="P231" s="0" t="n">
        <v>70.59999999999999</v>
      </c>
    </row>
    <row r="232">
      <c r="A232" s="0" t="inlineStr">
        <is>
          <t>USR-100231</t>
        </is>
      </c>
      <c r="B232" s="23" t="n">
        <v>45705</v>
      </c>
      <c r="C232" s="0" t="inlineStr">
        <is>
          <t>Control</t>
        </is>
      </c>
      <c r="D232" s="0" t="inlineStr">
        <is>
          <t>North</t>
        </is>
      </c>
      <c r="E232" s="0" t="inlineStr">
        <is>
          <t>Mobile</t>
        </is>
      </c>
      <c r="F232" s="0" t="inlineStr">
        <is>
          <t>Social</t>
        </is>
      </c>
      <c r="G232" s="0" t="inlineStr">
        <is>
          <t>Free</t>
        </is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P232" s="0" t="n">
        <v>69.40000000000001</v>
      </c>
    </row>
    <row r="233">
      <c r="A233" s="0" t="inlineStr">
        <is>
          <t>USR-100232</t>
        </is>
      </c>
      <c r="B233" s="23" t="n">
        <v>45781</v>
      </c>
      <c r="C233" s="0" t="inlineStr">
        <is>
          <t>Control</t>
        </is>
      </c>
      <c r="D233" s="0" t="inlineStr">
        <is>
          <t>North</t>
        </is>
      </c>
      <c r="E233" s="0" t="inlineStr">
        <is>
          <t>Desktop</t>
        </is>
      </c>
      <c r="F233" s="0" t="inlineStr">
        <is>
          <t>Organic</t>
        </is>
      </c>
      <c r="G233" s="0" t="inlineStr">
        <is>
          <t>Basic</t>
        </is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P233" s="0" t="n">
        <v>56.1</v>
      </c>
    </row>
    <row r="234">
      <c r="A234" s="0" t="inlineStr">
        <is>
          <t>USR-100233</t>
        </is>
      </c>
      <c r="B234" s="23" t="n">
        <v>45669</v>
      </c>
      <c r="C234" s="0" t="inlineStr">
        <is>
          <t>Control</t>
        </is>
      </c>
      <c r="D234" s="0" t="inlineStr">
        <is>
          <t>West</t>
        </is>
      </c>
      <c r="E234" s="0" t="inlineStr">
        <is>
          <t>Mobile</t>
        </is>
      </c>
      <c r="F234" s="0" t="inlineStr">
        <is>
          <t>Organic</t>
        </is>
      </c>
      <c r="G234" s="0" t="inlineStr">
        <is>
          <t>Basic</t>
        </is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P234" s="0" t="n">
        <v>55.8</v>
      </c>
    </row>
    <row r="235">
      <c r="A235" s="0" t="inlineStr">
        <is>
          <t>USR-100234</t>
        </is>
      </c>
      <c r="B235" s="23" t="n">
        <v>45775</v>
      </c>
      <c r="C235" s="0" t="inlineStr">
        <is>
          <t>Control</t>
        </is>
      </c>
      <c r="D235" s="0" t="inlineStr">
        <is>
          <t>North</t>
        </is>
      </c>
      <c r="E235" s="0" t="inlineStr">
        <is>
          <t>Tablet</t>
        </is>
      </c>
      <c r="F235" s="0" t="inlineStr">
        <is>
          <t>Organic</t>
        </is>
      </c>
      <c r="G235" s="0" t="inlineStr">
        <is>
          <t>Free</t>
        </is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P235" s="0" t="n">
        <v>49.3</v>
      </c>
    </row>
    <row r="236">
      <c r="A236" s="0" t="inlineStr">
        <is>
          <t>USR-100235</t>
        </is>
      </c>
      <c r="B236" s="23" t="n">
        <v>45714</v>
      </c>
      <c r="C236" s="0" t="inlineStr">
        <is>
          <t>Control</t>
        </is>
      </c>
      <c r="D236" s="0" t="inlineStr">
        <is>
          <t>North</t>
        </is>
      </c>
      <c r="E236" s="0" t="inlineStr">
        <is>
          <t>Mobile</t>
        </is>
      </c>
      <c r="F236" s="0" t="inlineStr">
        <is>
          <t>Organic</t>
        </is>
      </c>
      <c r="G236" s="0" t="inlineStr">
        <is>
          <t>Free</t>
        </is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P236" s="0" t="n">
        <v>71.8</v>
      </c>
    </row>
    <row r="237">
      <c r="A237" s="0" t="inlineStr">
        <is>
          <t>USR-100236</t>
        </is>
      </c>
      <c r="B237" s="23" t="n">
        <v>45734</v>
      </c>
      <c r="C237" s="0" t="inlineStr">
        <is>
          <t>Control</t>
        </is>
      </c>
      <c r="D237" s="0" t="inlineStr">
        <is>
          <t>West</t>
        </is>
      </c>
      <c r="E237" s="0" t="inlineStr">
        <is>
          <t>Mobile</t>
        </is>
      </c>
      <c r="F237" s="0" t="inlineStr">
        <is>
          <t>Social</t>
        </is>
      </c>
      <c r="G237" s="0" t="inlineStr">
        <is>
          <t>Free</t>
        </is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3</v>
      </c>
      <c r="N237" s="0" t="n">
        <v>0</v>
      </c>
      <c r="P237" s="0" t="n">
        <v>39.7</v>
      </c>
    </row>
    <row r="238">
      <c r="A238" s="0" t="inlineStr">
        <is>
          <t>USR-100237</t>
        </is>
      </c>
      <c r="B238" s="23" t="n">
        <v>45717</v>
      </c>
      <c r="C238" s="0" t="inlineStr">
        <is>
          <t>Control</t>
        </is>
      </c>
      <c r="D238" s="0" t="inlineStr">
        <is>
          <t>South</t>
        </is>
      </c>
      <c r="E238" s="0" t="inlineStr">
        <is>
          <t>Desktop</t>
        </is>
      </c>
      <c r="F238" s="0" t="inlineStr">
        <is>
          <t>Organic</t>
        </is>
      </c>
      <c r="G238" s="0" t="inlineStr">
        <is>
          <t>Premium</t>
        </is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P238" s="0" t="n">
        <v>45.4</v>
      </c>
    </row>
    <row r="239">
      <c r="A239" s="0" t="inlineStr">
        <is>
          <t>USR-100238</t>
        </is>
      </c>
      <c r="B239" s="23" t="n">
        <v>45752</v>
      </c>
      <c r="C239" s="0" t="inlineStr">
        <is>
          <t>Control</t>
        </is>
      </c>
      <c r="D239" s="0" t="inlineStr">
        <is>
          <t>North</t>
        </is>
      </c>
      <c r="E239" s="0" t="inlineStr">
        <is>
          <t>Desktop</t>
        </is>
      </c>
      <c r="F239" s="0" t="inlineStr">
        <is>
          <t>Social</t>
        </is>
      </c>
      <c r="G239" s="0" t="inlineStr">
        <is>
          <t>Premium</t>
        </is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P239" s="0" t="n">
        <v>69.90000000000001</v>
      </c>
    </row>
    <row r="240">
      <c r="A240" s="0" t="inlineStr">
        <is>
          <t>USR-100239</t>
        </is>
      </c>
      <c r="B240" s="23" t="n">
        <v>45728</v>
      </c>
      <c r="C240" s="0" t="inlineStr">
        <is>
          <t>Control</t>
        </is>
      </c>
      <c r="D240" s="0" t="inlineStr">
        <is>
          <t>North</t>
        </is>
      </c>
      <c r="E240" s="0" t="inlineStr">
        <is>
          <t>Desktop</t>
        </is>
      </c>
      <c r="F240" s="0" t="inlineStr">
        <is>
          <t>Social</t>
        </is>
      </c>
      <c r="G240" s="0" t="inlineStr">
        <is>
          <t>Free</t>
        </is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P240" s="0" t="n">
        <v>56.1</v>
      </c>
    </row>
    <row r="241">
      <c r="A241" s="0" t="inlineStr">
        <is>
          <t>USR-100240</t>
        </is>
      </c>
      <c r="B241" s="23" t="n">
        <v>45731</v>
      </c>
      <c r="C241" s="0" t="inlineStr">
        <is>
          <t>Control</t>
        </is>
      </c>
      <c r="D241" s="0" t="inlineStr">
        <is>
          <t>West</t>
        </is>
      </c>
      <c r="E241" s="0" t="inlineStr">
        <is>
          <t>Mobile</t>
        </is>
      </c>
      <c r="F241" s="0" t="inlineStr">
        <is>
          <t>Referral</t>
        </is>
      </c>
      <c r="G241" s="0" t="inlineStr">
        <is>
          <t>Basic</t>
        </is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P241" s="0" t="n">
        <v>45.9</v>
      </c>
    </row>
    <row r="242">
      <c r="A242" s="0" t="inlineStr">
        <is>
          <t>USR-100241</t>
        </is>
      </c>
      <c r="B242" s="23" t="n">
        <v>45711</v>
      </c>
      <c r="C242" s="0" t="inlineStr">
        <is>
          <t>Control</t>
        </is>
      </c>
      <c r="D242" s="0" t="inlineStr">
        <is>
          <t>West</t>
        </is>
      </c>
      <c r="E242" s="0" t="inlineStr">
        <is>
          <t>Mobile</t>
        </is>
      </c>
      <c r="F242" s="0" t="inlineStr">
        <is>
          <t>Email</t>
        </is>
      </c>
      <c r="G242" s="0" t="inlineStr">
        <is>
          <t>Free</t>
        </is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P242" s="0" t="n">
        <v>65.8</v>
      </c>
    </row>
    <row r="243">
      <c r="A243" s="0" t="inlineStr">
        <is>
          <t>USR-100242</t>
        </is>
      </c>
      <c r="B243" s="23" t="n">
        <v>45769</v>
      </c>
      <c r="C243" s="0" t="inlineStr">
        <is>
          <t>Control</t>
        </is>
      </c>
      <c r="D243" s="0" t="inlineStr">
        <is>
          <t>North</t>
        </is>
      </c>
      <c r="E243" s="0" t="inlineStr">
        <is>
          <t>Mobile</t>
        </is>
      </c>
      <c r="F243" s="0" t="inlineStr">
        <is>
          <t>Organic</t>
        </is>
      </c>
      <c r="G243" s="0" t="inlineStr">
        <is>
          <t>Basic</t>
        </is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P243" s="0" t="n">
        <v>48.2</v>
      </c>
    </row>
    <row r="244">
      <c r="A244" s="0" t="inlineStr">
        <is>
          <t>USR-100243</t>
        </is>
      </c>
      <c r="B244" s="23" t="n">
        <v>45666</v>
      </c>
      <c r="C244" s="0" t="inlineStr">
        <is>
          <t>Control</t>
        </is>
      </c>
      <c r="D244" s="0" t="inlineStr">
        <is>
          <t>East</t>
        </is>
      </c>
      <c r="E244" s="0" t="inlineStr">
        <is>
          <t>Mobile</t>
        </is>
      </c>
      <c r="F244" s="0" t="inlineStr">
        <is>
          <t>Organic</t>
        </is>
      </c>
      <c r="G244" s="0" t="inlineStr">
        <is>
          <t>Basic</t>
        </is>
      </c>
      <c r="H244" s="0" t="n">
        <v>1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P244" s="0" t="n">
        <v>81.09999999999999</v>
      </c>
    </row>
    <row r="245">
      <c r="A245" s="0" t="inlineStr">
        <is>
          <t>USR-100244</t>
        </is>
      </c>
      <c r="B245" s="23" t="n">
        <v>45721</v>
      </c>
      <c r="C245" s="0" t="inlineStr">
        <is>
          <t>Control</t>
        </is>
      </c>
      <c r="D245" s="0" t="inlineStr">
        <is>
          <t>East</t>
        </is>
      </c>
      <c r="E245" s="0" t="inlineStr">
        <is>
          <t>Tablet</t>
        </is>
      </c>
      <c r="F245" s="0" t="inlineStr">
        <is>
          <t>Social</t>
        </is>
      </c>
      <c r="G245" s="0" t="inlineStr">
        <is>
          <t>Premium</t>
        </is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P245" s="0" t="n">
        <v>53.2</v>
      </c>
    </row>
    <row r="246">
      <c r="A246" s="0" t="inlineStr">
        <is>
          <t>USR-100245</t>
        </is>
      </c>
      <c r="B246" s="23" t="n">
        <v>45685</v>
      </c>
      <c r="C246" s="0" t="inlineStr">
        <is>
          <t>Control</t>
        </is>
      </c>
      <c r="D246" s="0" t="inlineStr">
        <is>
          <t>North</t>
        </is>
      </c>
      <c r="E246" s="0" t="inlineStr">
        <is>
          <t>Mobile</t>
        </is>
      </c>
      <c r="F246" s="0" t="inlineStr">
        <is>
          <t>Social</t>
        </is>
      </c>
      <c r="G246" s="0" t="inlineStr">
        <is>
          <t>Free</t>
        </is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P246" s="0" t="n">
        <v>57.7</v>
      </c>
    </row>
    <row r="247">
      <c r="A247" s="0" t="inlineStr">
        <is>
          <t>USR-100246</t>
        </is>
      </c>
      <c r="B247" s="23" t="n">
        <v>45678</v>
      </c>
      <c r="C247" s="0" t="inlineStr">
        <is>
          <t>Control</t>
        </is>
      </c>
      <c r="D247" s="0" t="inlineStr">
        <is>
          <t>West</t>
        </is>
      </c>
      <c r="E247" s="0" t="inlineStr">
        <is>
          <t>Mobile</t>
        </is>
      </c>
      <c r="F247" s="0" t="inlineStr">
        <is>
          <t>Paid Search</t>
        </is>
      </c>
      <c r="G247" s="0" t="inlineStr">
        <is>
          <t>Premium</t>
        </is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P247" s="0" t="n">
        <v>78.90000000000001</v>
      </c>
    </row>
    <row r="248">
      <c r="A248" s="0" t="inlineStr">
        <is>
          <t>USR-100247</t>
        </is>
      </c>
      <c r="B248" s="23" t="n">
        <v>45730</v>
      </c>
      <c r="C248" s="0" t="inlineStr">
        <is>
          <t>Control</t>
        </is>
      </c>
      <c r="D248" s="0" t="inlineStr">
        <is>
          <t>South</t>
        </is>
      </c>
      <c r="E248" s="0" t="inlineStr">
        <is>
          <t>Mobile</t>
        </is>
      </c>
      <c r="F248" s="0" t="inlineStr">
        <is>
          <t>Referral</t>
        </is>
      </c>
      <c r="G248" s="0" t="inlineStr">
        <is>
          <t>Basic</t>
        </is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P248" s="0" t="n">
        <v>55.7</v>
      </c>
    </row>
    <row r="249">
      <c r="A249" s="0" t="inlineStr">
        <is>
          <t>USR-100248</t>
        </is>
      </c>
      <c r="B249" s="23" t="n">
        <v>45691</v>
      </c>
      <c r="C249" s="0" t="inlineStr">
        <is>
          <t>Control</t>
        </is>
      </c>
      <c r="D249" s="0" t="inlineStr">
        <is>
          <t>West</t>
        </is>
      </c>
      <c r="E249" s="0" t="inlineStr">
        <is>
          <t>Mobile</t>
        </is>
      </c>
      <c r="F249" s="0" t="inlineStr">
        <is>
          <t>Paid Search</t>
        </is>
      </c>
      <c r="G249" s="0" t="inlineStr">
        <is>
          <t>Free</t>
        </is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P249" s="0" t="n">
        <v>52.3</v>
      </c>
    </row>
    <row r="250">
      <c r="A250" s="0" t="inlineStr">
        <is>
          <t>USR-100249</t>
        </is>
      </c>
      <c r="B250" s="23" t="n">
        <v>45799</v>
      </c>
      <c r="C250" s="0" t="inlineStr">
        <is>
          <t>Control</t>
        </is>
      </c>
      <c r="D250" s="0" t="inlineStr">
        <is>
          <t>North</t>
        </is>
      </c>
      <c r="E250" s="0" t="inlineStr">
        <is>
          <t>Mobile</t>
        </is>
      </c>
      <c r="F250" s="0" t="inlineStr">
        <is>
          <t>Social</t>
        </is>
      </c>
      <c r="G250" s="0" t="inlineStr">
        <is>
          <t>Free</t>
        </is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P250" s="0" t="n">
        <v>51.5</v>
      </c>
    </row>
    <row r="251">
      <c r="A251" s="0" t="inlineStr">
        <is>
          <t>USR-100250</t>
        </is>
      </c>
      <c r="B251" s="23" t="n">
        <v>45772</v>
      </c>
      <c r="C251" s="0" t="inlineStr">
        <is>
          <t>Control</t>
        </is>
      </c>
      <c r="D251" s="0" t="inlineStr">
        <is>
          <t>North</t>
        </is>
      </c>
      <c r="E251" s="0" t="inlineStr">
        <is>
          <t>Desktop</t>
        </is>
      </c>
      <c r="F251" s="0" t="inlineStr">
        <is>
          <t>Email</t>
        </is>
      </c>
      <c r="G251" s="0" t="inlineStr">
        <is>
          <t>Free</t>
        </is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P251" s="0" t="n">
        <v>70.8</v>
      </c>
    </row>
    <row r="252">
      <c r="A252" s="0" t="inlineStr">
        <is>
          <t>USR-100251</t>
        </is>
      </c>
      <c r="B252" s="23" t="n">
        <v>45687</v>
      </c>
      <c r="C252" s="0" t="inlineStr">
        <is>
          <t>Control</t>
        </is>
      </c>
      <c r="D252" s="0" t="inlineStr">
        <is>
          <t>North</t>
        </is>
      </c>
      <c r="E252" s="0" t="inlineStr">
        <is>
          <t>Desktop</t>
        </is>
      </c>
      <c r="F252" s="0" t="inlineStr">
        <is>
          <t>Email</t>
        </is>
      </c>
      <c r="G252" s="0" t="inlineStr">
        <is>
          <t>Basic</t>
        </is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1250.78</v>
      </c>
      <c r="M252" s="0" t="n">
        <v>0</v>
      </c>
      <c r="N252" s="0" t="n">
        <v>0</v>
      </c>
      <c r="O252" s="0" t="n">
        <v>10</v>
      </c>
      <c r="P252" s="0" t="n">
        <v>39</v>
      </c>
    </row>
    <row r="253">
      <c r="A253" s="0" t="inlineStr">
        <is>
          <t>USR-100252</t>
        </is>
      </c>
      <c r="B253" s="23" t="n">
        <v>45800</v>
      </c>
      <c r="C253" s="0" t="inlineStr">
        <is>
          <t>Control</t>
        </is>
      </c>
      <c r="D253" s="0" t="inlineStr">
        <is>
          <t>West</t>
        </is>
      </c>
      <c r="E253" s="0" t="inlineStr">
        <is>
          <t>Mobile</t>
        </is>
      </c>
      <c r="F253" s="0" t="inlineStr">
        <is>
          <t>Organic</t>
        </is>
      </c>
      <c r="G253" s="0" t="inlineStr">
        <is>
          <t>Free</t>
        </is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P253" s="0" t="n">
        <v>61.6</v>
      </c>
    </row>
    <row r="254">
      <c r="A254" s="0" t="inlineStr">
        <is>
          <t>USR-100253</t>
        </is>
      </c>
      <c r="B254" s="23" t="n">
        <v>45702</v>
      </c>
      <c r="C254" s="0" t="inlineStr">
        <is>
          <t>Control</t>
        </is>
      </c>
      <c r="D254" s="0" t="inlineStr">
        <is>
          <t>East</t>
        </is>
      </c>
      <c r="E254" s="0" t="inlineStr">
        <is>
          <t>Desktop</t>
        </is>
      </c>
      <c r="F254" s="0" t="inlineStr">
        <is>
          <t>Organic</t>
        </is>
      </c>
      <c r="G254" s="0" t="inlineStr">
        <is>
          <t>Free</t>
        </is>
      </c>
      <c r="H254" s="0" t="n">
        <v>1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P254" s="0" t="n">
        <v>46.8</v>
      </c>
    </row>
    <row r="255">
      <c r="A255" s="0" t="inlineStr">
        <is>
          <t>USR-100254</t>
        </is>
      </c>
      <c r="B255" s="23" t="n">
        <v>45721</v>
      </c>
      <c r="C255" s="0" t="inlineStr">
        <is>
          <t>Control</t>
        </is>
      </c>
      <c r="D255" s="0" t="inlineStr">
        <is>
          <t>North</t>
        </is>
      </c>
      <c r="E255" s="0" t="inlineStr">
        <is>
          <t>Mobile</t>
        </is>
      </c>
      <c r="F255" s="0" t="inlineStr">
        <is>
          <t>Paid Search</t>
        </is>
      </c>
      <c r="G255" s="0" t="inlineStr">
        <is>
          <t>Premium</t>
        </is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0</v>
      </c>
      <c r="P255" s="0" t="n">
        <v>58.5</v>
      </c>
    </row>
    <row r="256">
      <c r="A256" s="0" t="inlineStr">
        <is>
          <t>USR-100255</t>
        </is>
      </c>
      <c r="B256" s="23" t="n">
        <v>45804</v>
      </c>
      <c r="C256" s="0" t="inlineStr">
        <is>
          <t>Control</t>
        </is>
      </c>
      <c r="D256" s="0" t="inlineStr">
        <is>
          <t>North</t>
        </is>
      </c>
      <c r="E256" s="0" t="inlineStr">
        <is>
          <t>Mobile</t>
        </is>
      </c>
      <c r="F256" s="0" t="inlineStr">
        <is>
          <t>Paid Search</t>
        </is>
      </c>
      <c r="G256" s="0" t="inlineStr">
        <is>
          <t>Basic</t>
        </is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P256" s="0" t="n">
        <v>70.90000000000001</v>
      </c>
    </row>
    <row r="257">
      <c r="A257" s="0" t="inlineStr">
        <is>
          <t>USR-100256</t>
        </is>
      </c>
      <c r="B257" s="23" t="n">
        <v>45664</v>
      </c>
      <c r="C257" s="0" t="inlineStr">
        <is>
          <t>Control</t>
        </is>
      </c>
      <c r="D257" s="0" t="inlineStr">
        <is>
          <t>South</t>
        </is>
      </c>
      <c r="E257" s="0" t="inlineStr">
        <is>
          <t>Mobile</t>
        </is>
      </c>
      <c r="F257" s="0" t="inlineStr">
        <is>
          <t>Paid Search</t>
        </is>
      </c>
      <c r="G257" s="0" t="inlineStr">
        <is>
          <t>Free</t>
        </is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P257" s="0" t="n">
        <v>48.4</v>
      </c>
    </row>
    <row r="258">
      <c r="A258" s="0" t="inlineStr">
        <is>
          <t>USR-100257</t>
        </is>
      </c>
      <c r="B258" s="23" t="n">
        <v>45768</v>
      </c>
      <c r="C258" s="0" t="inlineStr">
        <is>
          <t>Control</t>
        </is>
      </c>
      <c r="D258" s="0" t="inlineStr">
        <is>
          <t>North</t>
        </is>
      </c>
      <c r="E258" s="0" t="inlineStr">
        <is>
          <t>Mobile</t>
        </is>
      </c>
      <c r="F258" s="0" t="inlineStr">
        <is>
          <t>Email</t>
        </is>
      </c>
      <c r="G258" s="0" t="inlineStr">
        <is>
          <t>Free</t>
        </is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P258" s="0" t="n">
        <v>58</v>
      </c>
    </row>
    <row r="259">
      <c r="A259" s="0" t="inlineStr">
        <is>
          <t>USR-100258</t>
        </is>
      </c>
      <c r="B259" s="23" t="n">
        <v>45790</v>
      </c>
      <c r="C259" s="0" t="inlineStr">
        <is>
          <t>Control</t>
        </is>
      </c>
      <c r="D259" s="0" t="inlineStr">
        <is>
          <t>North</t>
        </is>
      </c>
      <c r="E259" s="0" t="inlineStr">
        <is>
          <t>Mobile</t>
        </is>
      </c>
      <c r="F259" s="0" t="inlineStr">
        <is>
          <t>Paid Search</t>
        </is>
      </c>
      <c r="G259" s="0" t="inlineStr">
        <is>
          <t>Free</t>
        </is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P259" s="0" t="n">
        <v>61.6</v>
      </c>
    </row>
    <row r="260">
      <c r="A260" s="0" t="inlineStr">
        <is>
          <t>USR-100259</t>
        </is>
      </c>
      <c r="B260" s="23" t="n">
        <v>45685</v>
      </c>
      <c r="C260" s="0" t="inlineStr">
        <is>
          <t>Control</t>
        </is>
      </c>
      <c r="D260" s="0" t="inlineStr">
        <is>
          <t>East</t>
        </is>
      </c>
      <c r="E260" s="0" t="inlineStr">
        <is>
          <t>Desktop</t>
        </is>
      </c>
      <c r="F260" s="0" t="inlineStr">
        <is>
          <t>Organic</t>
        </is>
      </c>
      <c r="G260" s="0" t="inlineStr">
        <is>
          <t>Free</t>
        </is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P260" s="0" t="n">
        <v>43.2</v>
      </c>
    </row>
    <row r="261">
      <c r="A261" s="0" t="inlineStr">
        <is>
          <t>USR-100260</t>
        </is>
      </c>
      <c r="B261" s="23" t="n">
        <v>45732</v>
      </c>
      <c r="C261" s="0" t="inlineStr">
        <is>
          <t>Control</t>
        </is>
      </c>
      <c r="D261" s="0" t="inlineStr">
        <is>
          <t>East</t>
        </is>
      </c>
      <c r="E261" s="0" t="inlineStr">
        <is>
          <t>Desktop</t>
        </is>
      </c>
      <c r="F261" s="0" t="inlineStr">
        <is>
          <t>Paid Search</t>
        </is>
      </c>
      <c r="G261" s="0" t="inlineStr">
        <is>
          <t>Basic</t>
        </is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P261" s="0" t="n">
        <v>53.3</v>
      </c>
    </row>
    <row r="262">
      <c r="A262" s="0" t="inlineStr">
        <is>
          <t>USR-100261</t>
        </is>
      </c>
      <c r="B262" s="23" t="n">
        <v>45757</v>
      </c>
      <c r="C262" s="0" t="inlineStr">
        <is>
          <t>Control</t>
        </is>
      </c>
      <c r="D262" s="0" t="inlineStr">
        <is>
          <t>East</t>
        </is>
      </c>
      <c r="E262" s="0" t="inlineStr">
        <is>
          <t>Desktop</t>
        </is>
      </c>
      <c r="F262" s="0" t="inlineStr">
        <is>
          <t>Social</t>
        </is>
      </c>
      <c r="G262" s="0" t="inlineStr">
        <is>
          <t>Basic</t>
        </is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P262" s="0" t="n">
        <v>33.9</v>
      </c>
    </row>
    <row r="263">
      <c r="A263" s="0" t="inlineStr">
        <is>
          <t>USR-100262</t>
        </is>
      </c>
      <c r="B263" s="23" t="n">
        <v>45731</v>
      </c>
      <c r="C263" s="0" t="inlineStr">
        <is>
          <t>Control</t>
        </is>
      </c>
      <c r="D263" s="0" t="inlineStr">
        <is>
          <t>East</t>
        </is>
      </c>
      <c r="E263" s="0" t="inlineStr">
        <is>
          <t>Desktop</t>
        </is>
      </c>
      <c r="F263" s="0" t="inlineStr">
        <is>
          <t>Referral</t>
        </is>
      </c>
      <c r="G263" s="0" t="inlineStr">
        <is>
          <t>Free</t>
        </is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P263" s="0" t="n">
        <v>35.4</v>
      </c>
    </row>
    <row r="264">
      <c r="A264" s="0" t="inlineStr">
        <is>
          <t>USR-100263</t>
        </is>
      </c>
      <c r="B264" s="23" t="n">
        <v>45754</v>
      </c>
      <c r="C264" s="0" t="inlineStr">
        <is>
          <t>Control</t>
        </is>
      </c>
      <c r="D264" s="0" t="inlineStr">
        <is>
          <t>West</t>
        </is>
      </c>
      <c r="E264" s="0" t="inlineStr">
        <is>
          <t>Desktop</t>
        </is>
      </c>
      <c r="F264" s="0" t="inlineStr">
        <is>
          <t>Organic</t>
        </is>
      </c>
      <c r="G264" s="0" t="inlineStr">
        <is>
          <t>Basic</t>
        </is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P264" s="0" t="n">
        <v>45</v>
      </c>
    </row>
    <row r="265">
      <c r="A265" s="0" t="inlineStr">
        <is>
          <t>USR-100264</t>
        </is>
      </c>
      <c r="B265" s="23" t="n">
        <v>45700</v>
      </c>
      <c r="C265" s="0" t="inlineStr">
        <is>
          <t>Control</t>
        </is>
      </c>
      <c r="D265" s="0" t="inlineStr">
        <is>
          <t>South</t>
        </is>
      </c>
      <c r="E265" s="0" t="inlineStr">
        <is>
          <t>Mobile</t>
        </is>
      </c>
      <c r="F265" s="0" t="inlineStr">
        <is>
          <t>Organic</t>
        </is>
      </c>
      <c r="G265" s="0" t="inlineStr">
        <is>
          <t>Free</t>
        </is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P265" s="0" t="n">
        <v>86.5</v>
      </c>
    </row>
    <row r="266">
      <c r="A266" s="0" t="inlineStr">
        <is>
          <t>USR-100265</t>
        </is>
      </c>
      <c r="B266" s="23" t="n">
        <v>45782</v>
      </c>
      <c r="C266" s="0" t="inlineStr">
        <is>
          <t>Control</t>
        </is>
      </c>
      <c r="D266" s="0" t="inlineStr">
        <is>
          <t>West</t>
        </is>
      </c>
      <c r="E266" s="0" t="inlineStr">
        <is>
          <t>Mobile</t>
        </is>
      </c>
      <c r="F266" s="0" t="inlineStr">
        <is>
          <t>Social</t>
        </is>
      </c>
      <c r="G266" s="0" t="inlineStr">
        <is>
          <t>Free</t>
        </is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P266" s="0" t="n">
        <v>58.1</v>
      </c>
    </row>
    <row r="267">
      <c r="A267" s="0" t="inlineStr">
        <is>
          <t>USR-100266</t>
        </is>
      </c>
      <c r="B267" s="23" t="n">
        <v>45727</v>
      </c>
      <c r="C267" s="0" t="inlineStr">
        <is>
          <t>Control</t>
        </is>
      </c>
      <c r="D267" s="0" t="inlineStr">
        <is>
          <t>West</t>
        </is>
      </c>
      <c r="E267" s="0" t="inlineStr">
        <is>
          <t>Mobile</t>
        </is>
      </c>
      <c r="F267" s="0" t="inlineStr">
        <is>
          <t>Referral</t>
        </is>
      </c>
      <c r="G267" s="0" t="inlineStr">
        <is>
          <t>Free</t>
        </is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P267" s="0" t="n">
        <v>36.1</v>
      </c>
    </row>
    <row r="268">
      <c r="A268" s="0" t="inlineStr">
        <is>
          <t>USR-100267</t>
        </is>
      </c>
      <c r="B268" s="23" t="n">
        <v>45698</v>
      </c>
      <c r="C268" s="0" t="inlineStr">
        <is>
          <t>Control</t>
        </is>
      </c>
      <c r="D268" s="0" t="inlineStr">
        <is>
          <t>East</t>
        </is>
      </c>
      <c r="E268" s="0" t="inlineStr">
        <is>
          <t>Mobile</t>
        </is>
      </c>
      <c r="F268" s="0" t="inlineStr">
        <is>
          <t>Social</t>
        </is>
      </c>
      <c r="G268" s="0" t="inlineStr">
        <is>
          <t>Free</t>
        </is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P268" s="0" t="n">
        <v>62.8</v>
      </c>
    </row>
    <row r="269">
      <c r="A269" s="0" t="inlineStr">
        <is>
          <t>USR-100268</t>
        </is>
      </c>
      <c r="B269" s="23" t="n">
        <v>45753</v>
      </c>
      <c r="C269" s="0" t="inlineStr">
        <is>
          <t>Control</t>
        </is>
      </c>
      <c r="D269" s="0" t="inlineStr">
        <is>
          <t>South</t>
        </is>
      </c>
      <c r="E269" s="0" t="inlineStr">
        <is>
          <t>Mobile</t>
        </is>
      </c>
      <c r="F269" s="0" t="inlineStr">
        <is>
          <t>Organic</t>
        </is>
      </c>
      <c r="G269" s="0" t="inlineStr">
        <is>
          <t>Free</t>
        </is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P269" s="0" t="n">
        <v>54.2</v>
      </c>
    </row>
    <row r="270">
      <c r="A270" s="0" t="inlineStr">
        <is>
          <t>USR-100269</t>
        </is>
      </c>
      <c r="B270" s="23" t="n">
        <v>45663</v>
      </c>
      <c r="C270" s="0" t="inlineStr">
        <is>
          <t>Control</t>
        </is>
      </c>
      <c r="D270" s="0" t="inlineStr">
        <is>
          <t>East</t>
        </is>
      </c>
      <c r="E270" s="0" t="inlineStr">
        <is>
          <t>Mobile</t>
        </is>
      </c>
      <c r="F270" s="0" t="inlineStr">
        <is>
          <t>Referral</t>
        </is>
      </c>
      <c r="G270" s="0" t="inlineStr">
        <is>
          <t>Free</t>
        </is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P270" s="0" t="n">
        <v>50</v>
      </c>
    </row>
    <row r="271">
      <c r="A271" s="0" t="inlineStr">
        <is>
          <t>USR-100270</t>
        </is>
      </c>
      <c r="B271" s="23" t="n">
        <v>45741</v>
      </c>
      <c r="C271" s="0" t="inlineStr">
        <is>
          <t>Control</t>
        </is>
      </c>
      <c r="D271" s="0" t="inlineStr">
        <is>
          <t>East</t>
        </is>
      </c>
      <c r="E271" s="0" t="inlineStr">
        <is>
          <t>Tablet</t>
        </is>
      </c>
      <c r="F271" s="0" t="inlineStr">
        <is>
          <t>Paid Search</t>
        </is>
      </c>
      <c r="G271" s="0" t="inlineStr">
        <is>
          <t>Basic</t>
        </is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P271" s="0" t="n">
        <v>62</v>
      </c>
    </row>
    <row r="272">
      <c r="A272" s="0" t="inlineStr">
        <is>
          <t>USR-100271</t>
        </is>
      </c>
      <c r="B272" s="23" t="n">
        <v>45701</v>
      </c>
      <c r="C272" s="0" t="inlineStr">
        <is>
          <t>Control</t>
        </is>
      </c>
      <c r="D272" s="0" t="inlineStr">
        <is>
          <t>East</t>
        </is>
      </c>
      <c r="E272" s="0" t="inlineStr">
        <is>
          <t>Desktop</t>
        </is>
      </c>
      <c r="F272" s="0" t="inlineStr">
        <is>
          <t>Referral</t>
        </is>
      </c>
      <c r="G272" s="0" t="inlineStr">
        <is>
          <t>Free</t>
        </is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P272" s="0" t="n">
        <v>29.3</v>
      </c>
    </row>
    <row r="273">
      <c r="A273" s="0" t="inlineStr">
        <is>
          <t>USR-100272</t>
        </is>
      </c>
      <c r="B273" s="23" t="n">
        <v>45733</v>
      </c>
      <c r="C273" s="0" t="inlineStr">
        <is>
          <t>Control</t>
        </is>
      </c>
      <c r="D273" s="0" t="inlineStr">
        <is>
          <t>West</t>
        </is>
      </c>
      <c r="E273" s="0" t="inlineStr">
        <is>
          <t>Desktop</t>
        </is>
      </c>
      <c r="F273" s="0" t="inlineStr">
        <is>
          <t>Organic</t>
        </is>
      </c>
      <c r="G273" s="0" t="inlineStr">
        <is>
          <t>Free</t>
        </is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P273" s="0" t="n">
        <v>67.90000000000001</v>
      </c>
    </row>
    <row r="274">
      <c r="A274" s="0" t="inlineStr">
        <is>
          <t>USR-100273</t>
        </is>
      </c>
      <c r="B274" s="23" t="n">
        <v>45787</v>
      </c>
      <c r="C274" s="0" t="inlineStr">
        <is>
          <t>Control</t>
        </is>
      </c>
      <c r="D274" s="0" t="inlineStr">
        <is>
          <t>North</t>
        </is>
      </c>
      <c r="E274" s="0" t="inlineStr">
        <is>
          <t>Mobile</t>
        </is>
      </c>
      <c r="F274" s="0" t="inlineStr">
        <is>
          <t>Referral</t>
        </is>
      </c>
      <c r="G274" s="0" t="inlineStr">
        <is>
          <t>Free</t>
        </is>
      </c>
      <c r="H274" s="0" t="n">
        <v>1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P274" s="0" t="n">
        <v>67.59999999999999</v>
      </c>
    </row>
    <row r="275">
      <c r="A275" s="0" t="inlineStr">
        <is>
          <t>USR-100274</t>
        </is>
      </c>
      <c r="B275" s="23" t="n">
        <v>45784</v>
      </c>
      <c r="C275" s="0" t="inlineStr">
        <is>
          <t>Control</t>
        </is>
      </c>
      <c r="D275" s="0" t="inlineStr">
        <is>
          <t>South</t>
        </is>
      </c>
      <c r="E275" s="0" t="inlineStr">
        <is>
          <t>Mobile</t>
        </is>
      </c>
      <c r="F275" s="0" t="inlineStr">
        <is>
          <t>Paid Search</t>
        </is>
      </c>
      <c r="G275" s="0" t="inlineStr">
        <is>
          <t>Basic</t>
        </is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P275" s="0" t="n">
        <v>67.40000000000001</v>
      </c>
    </row>
    <row r="276">
      <c r="A276" s="0" t="inlineStr">
        <is>
          <t>USR-100275</t>
        </is>
      </c>
      <c r="B276" s="23" t="n">
        <v>45714</v>
      </c>
      <c r="C276" s="0" t="inlineStr">
        <is>
          <t>Control</t>
        </is>
      </c>
      <c r="D276" s="0" t="inlineStr">
        <is>
          <t>West</t>
        </is>
      </c>
      <c r="E276" s="0" t="inlineStr">
        <is>
          <t>Desktop</t>
        </is>
      </c>
      <c r="F276" s="0" t="inlineStr">
        <is>
          <t>Paid Search</t>
        </is>
      </c>
      <c r="G276" s="0" t="inlineStr">
        <is>
          <t>Premium</t>
        </is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2</v>
      </c>
      <c r="N276" s="0" t="n">
        <v>0</v>
      </c>
      <c r="P276" s="0" t="n">
        <v>53</v>
      </c>
    </row>
    <row r="277">
      <c r="A277" s="0" t="inlineStr">
        <is>
          <t>USR-100276</t>
        </is>
      </c>
      <c r="B277" s="23" t="n">
        <v>45788</v>
      </c>
      <c r="C277" s="0" t="inlineStr">
        <is>
          <t>Control</t>
        </is>
      </c>
      <c r="D277" s="0" t="inlineStr">
        <is>
          <t>North</t>
        </is>
      </c>
      <c r="E277" s="0" t="inlineStr">
        <is>
          <t>Mobile</t>
        </is>
      </c>
      <c r="F277" s="0" t="inlineStr">
        <is>
          <t>Organic</t>
        </is>
      </c>
      <c r="G277" s="0" t="inlineStr">
        <is>
          <t>Basic</t>
        </is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P277" s="0" t="n">
        <v>65.5</v>
      </c>
    </row>
    <row r="278">
      <c r="A278" s="0" t="inlineStr">
        <is>
          <t>USR-100277</t>
        </is>
      </c>
      <c r="B278" s="23" t="n">
        <v>45736</v>
      </c>
      <c r="C278" s="0" t="inlineStr">
        <is>
          <t>Control</t>
        </is>
      </c>
      <c r="D278" s="0" t="inlineStr">
        <is>
          <t>South</t>
        </is>
      </c>
      <c r="E278" s="0" t="inlineStr">
        <is>
          <t>Mobile</t>
        </is>
      </c>
      <c r="F278" s="0" t="inlineStr">
        <is>
          <t>Organic</t>
        </is>
      </c>
      <c r="G278" s="0" t="inlineStr">
        <is>
          <t>Basic</t>
        </is>
      </c>
      <c r="H278" s="0" t="n">
        <v>1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P278" s="0" t="n">
        <v>49.6</v>
      </c>
    </row>
    <row r="279">
      <c r="A279" s="0" t="inlineStr">
        <is>
          <t>USR-100278</t>
        </is>
      </c>
      <c r="B279" s="23" t="n">
        <v>45676</v>
      </c>
      <c r="C279" s="0" t="inlineStr">
        <is>
          <t>Control</t>
        </is>
      </c>
      <c r="D279" s="0" t="inlineStr">
        <is>
          <t>North</t>
        </is>
      </c>
      <c r="E279" s="0" t="inlineStr">
        <is>
          <t>Mobile</t>
        </is>
      </c>
      <c r="F279" s="0" t="inlineStr">
        <is>
          <t>Email</t>
        </is>
      </c>
      <c r="G279" s="0" t="inlineStr">
        <is>
          <t>Free</t>
        </is>
      </c>
      <c r="H279" s="0" t="n">
        <v>1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P279" s="0" t="n">
        <v>74.5</v>
      </c>
    </row>
    <row r="280">
      <c r="A280" s="0" t="inlineStr">
        <is>
          <t>USR-100279</t>
        </is>
      </c>
      <c r="B280" s="23" t="n">
        <v>45724</v>
      </c>
      <c r="C280" s="0" t="inlineStr">
        <is>
          <t>Control</t>
        </is>
      </c>
      <c r="D280" s="0" t="inlineStr">
        <is>
          <t>North</t>
        </is>
      </c>
      <c r="E280" s="0" t="inlineStr">
        <is>
          <t>Tablet</t>
        </is>
      </c>
      <c r="F280" s="0" t="inlineStr">
        <is>
          <t>Paid Search</t>
        </is>
      </c>
      <c r="G280" s="0" t="inlineStr">
        <is>
          <t>Premium</t>
        </is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P280" s="0" t="n">
        <v>46.9</v>
      </c>
    </row>
    <row r="281">
      <c r="A281" s="0" t="inlineStr">
        <is>
          <t>USR-100280</t>
        </is>
      </c>
      <c r="B281" s="23" t="n">
        <v>45772</v>
      </c>
      <c r="C281" s="0" t="inlineStr">
        <is>
          <t>Control</t>
        </is>
      </c>
      <c r="D281" s="0" t="inlineStr">
        <is>
          <t>North</t>
        </is>
      </c>
      <c r="E281" s="0" t="inlineStr">
        <is>
          <t>Mobile</t>
        </is>
      </c>
      <c r="F281" s="0" t="inlineStr">
        <is>
          <t>Organic</t>
        </is>
      </c>
      <c r="G281" s="0" t="inlineStr">
        <is>
          <t>Free</t>
        </is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P281" s="0" t="n">
        <v>87.09999999999999</v>
      </c>
    </row>
    <row r="282">
      <c r="A282" s="0" t="inlineStr">
        <is>
          <t>USR-100281</t>
        </is>
      </c>
      <c r="B282" s="23" t="n">
        <v>45751</v>
      </c>
      <c r="C282" s="0" t="inlineStr">
        <is>
          <t>Control</t>
        </is>
      </c>
      <c r="D282" s="0" t="inlineStr">
        <is>
          <t>North</t>
        </is>
      </c>
      <c r="E282" s="0" t="inlineStr">
        <is>
          <t>Desktop</t>
        </is>
      </c>
      <c r="F282" s="0" t="inlineStr">
        <is>
          <t>Organic</t>
        </is>
      </c>
      <c r="G282" s="0" t="inlineStr">
        <is>
          <t>Free</t>
        </is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P282" s="0" t="n">
        <v>56</v>
      </c>
    </row>
    <row r="283">
      <c r="A283" s="0" t="inlineStr">
        <is>
          <t>USR-100282</t>
        </is>
      </c>
      <c r="B283" s="23" t="n">
        <v>45778</v>
      </c>
      <c r="C283" s="0" t="inlineStr">
        <is>
          <t>Control</t>
        </is>
      </c>
      <c r="D283" s="0" t="inlineStr">
        <is>
          <t>East</t>
        </is>
      </c>
      <c r="E283" s="0" t="inlineStr">
        <is>
          <t>Mobile</t>
        </is>
      </c>
      <c r="F283" s="0" t="inlineStr">
        <is>
          <t>Paid Search</t>
        </is>
      </c>
      <c r="G283" s="0" t="inlineStr">
        <is>
          <t>Premium</t>
        </is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P283" s="0" t="n">
        <v>61.7</v>
      </c>
    </row>
    <row r="284">
      <c r="A284" s="0" t="inlineStr">
        <is>
          <t>USR-100283</t>
        </is>
      </c>
      <c r="B284" s="23" t="n">
        <v>45678</v>
      </c>
      <c r="C284" s="0" t="inlineStr">
        <is>
          <t>Control</t>
        </is>
      </c>
      <c r="D284" s="0" t="inlineStr">
        <is>
          <t>South</t>
        </is>
      </c>
      <c r="E284" s="0" t="inlineStr">
        <is>
          <t>Mobile</t>
        </is>
      </c>
      <c r="F284" s="0" t="inlineStr">
        <is>
          <t>Social</t>
        </is>
      </c>
      <c r="G284" s="0" t="inlineStr">
        <is>
          <t>Free</t>
        </is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P284" s="0" t="n">
        <v>70.5</v>
      </c>
    </row>
    <row r="285">
      <c r="A285" s="0" t="inlineStr">
        <is>
          <t>USR-100284</t>
        </is>
      </c>
      <c r="B285" s="23" t="n">
        <v>45698</v>
      </c>
      <c r="C285" s="0" t="inlineStr">
        <is>
          <t>Control</t>
        </is>
      </c>
      <c r="D285" s="0" t="inlineStr">
        <is>
          <t>North</t>
        </is>
      </c>
      <c r="E285" s="0" t="inlineStr">
        <is>
          <t>Desktop</t>
        </is>
      </c>
      <c r="F285" s="0" t="inlineStr">
        <is>
          <t>Referral</t>
        </is>
      </c>
      <c r="G285" s="0" t="inlineStr">
        <is>
          <t>Basic</t>
        </is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P285" s="0" t="n">
        <v>33.4</v>
      </c>
    </row>
    <row r="286">
      <c r="A286" s="0" t="inlineStr">
        <is>
          <t>USR-100285</t>
        </is>
      </c>
      <c r="B286" s="23" t="n">
        <v>45783</v>
      </c>
      <c r="C286" s="0" t="inlineStr">
        <is>
          <t>Control</t>
        </is>
      </c>
      <c r="D286" s="0" t="inlineStr">
        <is>
          <t>South</t>
        </is>
      </c>
      <c r="E286" s="0" t="inlineStr">
        <is>
          <t>Desktop</t>
        </is>
      </c>
      <c r="F286" s="0" t="inlineStr">
        <is>
          <t>Organic</t>
        </is>
      </c>
      <c r="G286" s="0" t="inlineStr">
        <is>
          <t>Free</t>
        </is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P286" s="0" t="n">
        <v>57.5</v>
      </c>
    </row>
    <row r="287">
      <c r="A287" s="0" t="inlineStr">
        <is>
          <t>USR-100286</t>
        </is>
      </c>
      <c r="B287" s="23" t="n">
        <v>45696</v>
      </c>
      <c r="C287" s="0" t="inlineStr">
        <is>
          <t>Control</t>
        </is>
      </c>
      <c r="D287" s="0" t="inlineStr">
        <is>
          <t>North</t>
        </is>
      </c>
      <c r="E287" s="0" t="inlineStr">
        <is>
          <t>Desktop</t>
        </is>
      </c>
      <c r="F287" s="0" t="inlineStr">
        <is>
          <t>Paid Search</t>
        </is>
      </c>
      <c r="G287" s="0" t="inlineStr">
        <is>
          <t>Basic</t>
        </is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P287" s="0" t="n">
        <v>85.7</v>
      </c>
    </row>
    <row r="288">
      <c r="A288" s="0" t="inlineStr">
        <is>
          <t>USR-100287</t>
        </is>
      </c>
      <c r="B288" s="23" t="n">
        <v>45808</v>
      </c>
      <c r="C288" s="0" t="inlineStr">
        <is>
          <t>Control</t>
        </is>
      </c>
      <c r="D288" s="0" t="inlineStr">
        <is>
          <t>East</t>
        </is>
      </c>
      <c r="E288" s="0" t="inlineStr">
        <is>
          <t>Mobile</t>
        </is>
      </c>
      <c r="F288" s="0" t="inlineStr">
        <is>
          <t>Social</t>
        </is>
      </c>
      <c r="G288" s="0" t="inlineStr">
        <is>
          <t>Free</t>
        </is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P288" s="0" t="n">
        <v>41.9</v>
      </c>
    </row>
    <row r="289">
      <c r="A289" s="0" t="inlineStr">
        <is>
          <t>USR-100288</t>
        </is>
      </c>
      <c r="B289" s="23" t="n">
        <v>45695</v>
      </c>
      <c r="C289" s="0" t="inlineStr">
        <is>
          <t>Control</t>
        </is>
      </c>
      <c r="D289" s="0" t="inlineStr">
        <is>
          <t>West</t>
        </is>
      </c>
      <c r="E289" s="0" t="inlineStr">
        <is>
          <t>Mobile</t>
        </is>
      </c>
      <c r="F289" s="0" t="inlineStr">
        <is>
          <t>Email</t>
        </is>
      </c>
      <c r="G289" s="0" t="inlineStr">
        <is>
          <t>Basic</t>
        </is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P289" s="0" t="n">
        <v>70.2</v>
      </c>
    </row>
    <row r="290">
      <c r="A290" s="0" t="inlineStr">
        <is>
          <t>USR-100289</t>
        </is>
      </c>
      <c r="B290" s="23" t="n">
        <v>45698</v>
      </c>
      <c r="C290" s="0" t="inlineStr">
        <is>
          <t>Control</t>
        </is>
      </c>
      <c r="D290" s="0" t="inlineStr">
        <is>
          <t>North</t>
        </is>
      </c>
      <c r="E290" s="0" t="inlineStr">
        <is>
          <t>Mobile</t>
        </is>
      </c>
      <c r="F290" s="0" t="inlineStr">
        <is>
          <t>Social</t>
        </is>
      </c>
      <c r="G290" s="0" t="inlineStr">
        <is>
          <t>Free</t>
        </is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P290" s="0" t="n">
        <v>42.6</v>
      </c>
    </row>
    <row r="291">
      <c r="A291" s="0" t="inlineStr">
        <is>
          <t>USR-100290</t>
        </is>
      </c>
      <c r="B291" s="23" t="n">
        <v>45688</v>
      </c>
      <c r="C291" s="0" t="inlineStr">
        <is>
          <t>Control</t>
        </is>
      </c>
      <c r="D291" s="0" t="inlineStr">
        <is>
          <t>West</t>
        </is>
      </c>
      <c r="E291" s="0" t="inlineStr">
        <is>
          <t>Mobile</t>
        </is>
      </c>
      <c r="F291" s="0" t="inlineStr">
        <is>
          <t>Social</t>
        </is>
      </c>
      <c r="G291" s="0" t="inlineStr">
        <is>
          <t>Basic</t>
        </is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2</v>
      </c>
      <c r="N291" s="0" t="n">
        <v>0</v>
      </c>
      <c r="P291" s="0" t="n">
        <v>30.4</v>
      </c>
    </row>
    <row r="292">
      <c r="A292" s="0" t="inlineStr">
        <is>
          <t>USR-100291</t>
        </is>
      </c>
      <c r="B292" s="23" t="n">
        <v>45732</v>
      </c>
      <c r="C292" s="0" t="inlineStr">
        <is>
          <t>Control</t>
        </is>
      </c>
      <c r="D292" s="0" t="inlineStr">
        <is>
          <t>East</t>
        </is>
      </c>
      <c r="E292" s="0" t="inlineStr">
        <is>
          <t>Mobile</t>
        </is>
      </c>
      <c r="F292" s="0" t="inlineStr">
        <is>
          <t>Paid Search</t>
        </is>
      </c>
      <c r="G292" s="0" t="inlineStr">
        <is>
          <t>Basic</t>
        </is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P292" s="0" t="n">
        <v>63.7</v>
      </c>
    </row>
    <row r="293">
      <c r="A293" s="0" t="inlineStr">
        <is>
          <t>USR-100292</t>
        </is>
      </c>
      <c r="B293" s="23" t="n">
        <v>45771</v>
      </c>
      <c r="C293" s="0" t="inlineStr">
        <is>
          <t>Control</t>
        </is>
      </c>
      <c r="D293" s="0" t="inlineStr">
        <is>
          <t>South</t>
        </is>
      </c>
      <c r="E293" s="0" t="inlineStr">
        <is>
          <t>Mobile</t>
        </is>
      </c>
      <c r="F293" s="0" t="inlineStr">
        <is>
          <t>Social</t>
        </is>
      </c>
      <c r="G293" s="0" t="inlineStr">
        <is>
          <t>Basic</t>
        </is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P293" s="0" t="n">
        <v>42.7</v>
      </c>
    </row>
    <row r="294">
      <c r="A294" s="0" t="inlineStr">
        <is>
          <t>USR-100293</t>
        </is>
      </c>
      <c r="B294" s="23" t="n">
        <v>45685</v>
      </c>
      <c r="C294" s="0" t="inlineStr">
        <is>
          <t>Control</t>
        </is>
      </c>
      <c r="D294" s="0" t="inlineStr">
        <is>
          <t>North</t>
        </is>
      </c>
      <c r="E294" s="0" t="inlineStr">
        <is>
          <t>Mobile</t>
        </is>
      </c>
      <c r="F294" s="0" t="inlineStr">
        <is>
          <t>Organic</t>
        </is>
      </c>
      <c r="G294" s="0" t="inlineStr">
        <is>
          <t>Free</t>
        </is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P294" s="0" t="n">
        <v>74.3</v>
      </c>
    </row>
    <row r="295">
      <c r="A295" s="0" t="inlineStr">
        <is>
          <t>USR-100294</t>
        </is>
      </c>
      <c r="B295" s="23" t="n">
        <v>45704</v>
      </c>
      <c r="C295" s="0" t="inlineStr">
        <is>
          <t>Control</t>
        </is>
      </c>
      <c r="D295" s="0" t="inlineStr">
        <is>
          <t>West</t>
        </is>
      </c>
      <c r="E295" s="0" t="inlineStr">
        <is>
          <t>Desktop</t>
        </is>
      </c>
      <c r="F295" s="0" t="inlineStr">
        <is>
          <t>Email</t>
        </is>
      </c>
      <c r="G295" s="0" t="inlineStr">
        <is>
          <t>Free</t>
        </is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P295" s="0" t="n">
        <v>40.6</v>
      </c>
    </row>
    <row r="296">
      <c r="A296" s="0" t="inlineStr">
        <is>
          <t>USR-100295</t>
        </is>
      </c>
      <c r="B296" s="23" t="n">
        <v>45739</v>
      </c>
      <c r="C296" s="0" t="inlineStr">
        <is>
          <t>Control</t>
        </is>
      </c>
      <c r="D296" s="0" t="inlineStr">
        <is>
          <t>East</t>
        </is>
      </c>
      <c r="E296" s="0" t="inlineStr">
        <is>
          <t>Mobile</t>
        </is>
      </c>
      <c r="F296" s="0" t="inlineStr">
        <is>
          <t>Organic</t>
        </is>
      </c>
      <c r="G296" s="0" t="inlineStr">
        <is>
          <t>Premium</t>
        </is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P296" s="0" t="n">
        <v>67</v>
      </c>
    </row>
    <row r="297">
      <c r="A297" s="0" t="inlineStr">
        <is>
          <t>USR-100296</t>
        </is>
      </c>
      <c r="B297" s="23" t="n">
        <v>45808</v>
      </c>
      <c r="C297" s="0" t="inlineStr">
        <is>
          <t>Control</t>
        </is>
      </c>
      <c r="D297" s="0" t="inlineStr">
        <is>
          <t>East</t>
        </is>
      </c>
      <c r="E297" s="0" t="inlineStr">
        <is>
          <t>Mobile</t>
        </is>
      </c>
      <c r="F297" s="0" t="inlineStr">
        <is>
          <t>Paid Search</t>
        </is>
      </c>
      <c r="G297" s="0" t="inlineStr">
        <is>
          <t>Premium</t>
        </is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P297" s="0" t="n">
        <v>51</v>
      </c>
    </row>
    <row r="298">
      <c r="A298" s="0" t="inlineStr">
        <is>
          <t>USR-100297</t>
        </is>
      </c>
      <c r="B298" s="23" t="n">
        <v>45760</v>
      </c>
      <c r="C298" s="0" t="inlineStr">
        <is>
          <t>Control</t>
        </is>
      </c>
      <c r="D298" s="0" t="inlineStr">
        <is>
          <t>West</t>
        </is>
      </c>
      <c r="E298" s="0" t="inlineStr">
        <is>
          <t>Mobile</t>
        </is>
      </c>
      <c r="F298" s="0" t="inlineStr">
        <is>
          <t>Social</t>
        </is>
      </c>
      <c r="G298" s="0" t="inlineStr">
        <is>
          <t>Basic</t>
        </is>
      </c>
      <c r="H298" s="0" t="n">
        <v>1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P298" s="0" t="n">
        <v>54.8</v>
      </c>
    </row>
    <row r="299">
      <c r="A299" s="0" t="inlineStr">
        <is>
          <t>USR-100298</t>
        </is>
      </c>
      <c r="B299" s="23" t="n">
        <v>45791</v>
      </c>
      <c r="C299" s="0" t="inlineStr">
        <is>
          <t>Control</t>
        </is>
      </c>
      <c r="D299" s="0" t="inlineStr">
        <is>
          <t>North</t>
        </is>
      </c>
      <c r="E299" s="0" t="inlineStr">
        <is>
          <t>Tablet</t>
        </is>
      </c>
      <c r="F299" s="0" t="inlineStr">
        <is>
          <t>Email</t>
        </is>
      </c>
      <c r="G299" s="0" t="inlineStr">
        <is>
          <t>Basic</t>
        </is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P299" s="0" t="n">
        <v>40.8</v>
      </c>
    </row>
    <row r="300">
      <c r="A300" s="0" t="inlineStr">
        <is>
          <t>USR-100299</t>
        </is>
      </c>
      <c r="B300" s="23" t="n">
        <v>45707</v>
      </c>
      <c r="C300" s="0" t="inlineStr">
        <is>
          <t>Control</t>
        </is>
      </c>
      <c r="D300" s="0" t="inlineStr">
        <is>
          <t>East</t>
        </is>
      </c>
      <c r="E300" s="0" t="inlineStr">
        <is>
          <t>Mobile</t>
        </is>
      </c>
      <c r="F300" s="0" t="inlineStr">
        <is>
          <t>Paid Search</t>
        </is>
      </c>
      <c r="G300" s="0" t="inlineStr">
        <is>
          <t>Free</t>
        </is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P300" s="0" t="n">
        <v>48.8</v>
      </c>
    </row>
    <row r="301">
      <c r="A301" s="0" t="inlineStr">
        <is>
          <t>USR-100300</t>
        </is>
      </c>
      <c r="B301" s="23" t="n">
        <v>45681</v>
      </c>
      <c r="C301" s="0" t="inlineStr">
        <is>
          <t>Control</t>
        </is>
      </c>
      <c r="D301" s="0" t="inlineStr">
        <is>
          <t>South</t>
        </is>
      </c>
      <c r="E301" s="0" t="inlineStr">
        <is>
          <t>Mobile</t>
        </is>
      </c>
      <c r="F301" s="0" t="inlineStr">
        <is>
          <t>Unknown</t>
        </is>
      </c>
      <c r="G301" s="0" t="inlineStr">
        <is>
          <t>Basic</t>
        </is>
      </c>
      <c r="H301" s="0" t="n">
        <v>1</v>
      </c>
      <c r="I301" s="0" t="n">
        <v>1</v>
      </c>
      <c r="J301" s="0" t="n">
        <v>1</v>
      </c>
      <c r="K301" s="0" t="n">
        <v>1</v>
      </c>
      <c r="L301" s="0" t="n">
        <v>1198.69</v>
      </c>
      <c r="M301" s="0" t="n">
        <v>1</v>
      </c>
      <c r="N301" s="0" t="n">
        <v>0</v>
      </c>
      <c r="O301" s="0" t="n">
        <v>6</v>
      </c>
      <c r="P301" s="0" t="n">
        <v>88.90000000000001</v>
      </c>
    </row>
    <row r="302">
      <c r="A302" s="0" t="inlineStr">
        <is>
          <t>USR-100301</t>
        </is>
      </c>
      <c r="B302" s="23" t="n">
        <v>45786</v>
      </c>
      <c r="C302" s="0" t="inlineStr">
        <is>
          <t>Control</t>
        </is>
      </c>
      <c r="D302" s="0" t="inlineStr">
        <is>
          <t>North</t>
        </is>
      </c>
      <c r="E302" s="0" t="inlineStr">
        <is>
          <t>Mobile</t>
        </is>
      </c>
      <c r="F302" s="0" t="inlineStr">
        <is>
          <t>Email</t>
        </is>
      </c>
      <c r="G302" s="0" t="inlineStr">
        <is>
          <t>Basic</t>
        </is>
      </c>
      <c r="H302" s="0" t="n">
        <v>1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0</v>
      </c>
      <c r="P302" s="0" t="n">
        <v>60.5</v>
      </c>
    </row>
    <row r="303">
      <c r="A303" s="0" t="inlineStr">
        <is>
          <t>USR-100302</t>
        </is>
      </c>
      <c r="B303" s="23" t="n">
        <v>45699</v>
      </c>
      <c r="C303" s="0" t="inlineStr">
        <is>
          <t>Control</t>
        </is>
      </c>
      <c r="D303" s="0" t="inlineStr">
        <is>
          <t>North</t>
        </is>
      </c>
      <c r="E303" s="0" t="inlineStr">
        <is>
          <t>Mobile</t>
        </is>
      </c>
      <c r="F303" s="0" t="inlineStr">
        <is>
          <t>Organic</t>
        </is>
      </c>
      <c r="G303" s="0" t="inlineStr">
        <is>
          <t>Basic</t>
        </is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P303" s="0" t="n">
        <v>63.6</v>
      </c>
    </row>
    <row r="304">
      <c r="A304" s="0" t="inlineStr">
        <is>
          <t>USR-100303</t>
        </is>
      </c>
      <c r="B304" s="23" t="n">
        <v>45714</v>
      </c>
      <c r="C304" s="0" t="inlineStr">
        <is>
          <t>Control</t>
        </is>
      </c>
      <c r="D304" s="0" t="inlineStr">
        <is>
          <t>North</t>
        </is>
      </c>
      <c r="E304" s="0" t="inlineStr">
        <is>
          <t>Desktop</t>
        </is>
      </c>
      <c r="F304" s="0" t="inlineStr">
        <is>
          <t>Organic</t>
        </is>
      </c>
      <c r="G304" s="0" t="inlineStr">
        <is>
          <t>Basic</t>
        </is>
      </c>
      <c r="H304" s="0" t="n">
        <v>1</v>
      </c>
      <c r="I304" s="0" t="n">
        <v>1</v>
      </c>
      <c r="J304" s="0" t="n">
        <v>1</v>
      </c>
      <c r="K304" s="0" t="n">
        <v>1</v>
      </c>
      <c r="L304" s="0" t="n">
        <v>6788.95</v>
      </c>
      <c r="M304" s="0" t="n">
        <v>0</v>
      </c>
      <c r="N304" s="0" t="n">
        <v>0</v>
      </c>
      <c r="O304" s="0" t="n">
        <v>17</v>
      </c>
      <c r="P304" s="0" t="n">
        <v>58.4</v>
      </c>
    </row>
    <row r="305">
      <c r="A305" s="0" t="inlineStr">
        <is>
          <t>USR-100304</t>
        </is>
      </c>
      <c r="B305" s="23" t="n">
        <v>45700</v>
      </c>
      <c r="C305" s="0" t="inlineStr">
        <is>
          <t>Control</t>
        </is>
      </c>
      <c r="D305" s="0" t="inlineStr">
        <is>
          <t>South</t>
        </is>
      </c>
      <c r="E305" s="0" t="inlineStr">
        <is>
          <t>Mobile</t>
        </is>
      </c>
      <c r="F305" s="0" t="inlineStr">
        <is>
          <t>Social</t>
        </is>
      </c>
      <c r="G305" s="0" t="inlineStr">
        <is>
          <t>Premium</t>
        </is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P305" s="0" t="n">
        <v>52.7</v>
      </c>
    </row>
    <row r="306">
      <c r="A306" s="0" t="inlineStr">
        <is>
          <t>USR-100305</t>
        </is>
      </c>
      <c r="B306" s="23" t="n">
        <v>45662</v>
      </c>
      <c r="C306" s="0" t="inlineStr">
        <is>
          <t>Control</t>
        </is>
      </c>
      <c r="D306" s="0" t="inlineStr">
        <is>
          <t>South</t>
        </is>
      </c>
      <c r="E306" s="0" t="inlineStr">
        <is>
          <t>Tablet</t>
        </is>
      </c>
      <c r="F306" s="0" t="inlineStr">
        <is>
          <t>Social</t>
        </is>
      </c>
      <c r="G306" s="0" t="inlineStr">
        <is>
          <t>Premium</t>
        </is>
      </c>
      <c r="H306" s="0" t="n">
        <v>1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2</v>
      </c>
      <c r="N306" s="0" t="n">
        <v>0</v>
      </c>
      <c r="P306" s="0" t="n">
        <v>48.9</v>
      </c>
    </row>
    <row r="307">
      <c r="A307" s="0" t="inlineStr">
        <is>
          <t>USR-100306</t>
        </is>
      </c>
      <c r="B307" s="23" t="n">
        <v>45796</v>
      </c>
      <c r="C307" s="0" t="inlineStr">
        <is>
          <t>Control</t>
        </is>
      </c>
      <c r="D307" s="0" t="inlineStr">
        <is>
          <t>West</t>
        </is>
      </c>
      <c r="E307" s="0" t="inlineStr">
        <is>
          <t>Mobile</t>
        </is>
      </c>
      <c r="F307" s="0" t="inlineStr">
        <is>
          <t>Organic</t>
        </is>
      </c>
      <c r="G307" s="0" t="inlineStr">
        <is>
          <t>Premium</t>
        </is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P307" s="0" t="n">
        <v>79.7</v>
      </c>
    </row>
    <row r="308">
      <c r="A308" s="0" t="inlineStr">
        <is>
          <t>USR-100307</t>
        </is>
      </c>
      <c r="B308" s="23" t="n">
        <v>45690</v>
      </c>
      <c r="C308" s="0" t="inlineStr">
        <is>
          <t>Control</t>
        </is>
      </c>
      <c r="D308" s="0" t="inlineStr">
        <is>
          <t>North</t>
        </is>
      </c>
      <c r="E308" s="0" t="inlineStr">
        <is>
          <t>Mobile</t>
        </is>
      </c>
      <c r="F308" s="0" t="inlineStr">
        <is>
          <t>Social</t>
        </is>
      </c>
      <c r="G308" s="0" t="inlineStr">
        <is>
          <t>Free</t>
        </is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P308" s="0" t="n">
        <v>44.9</v>
      </c>
    </row>
    <row r="309">
      <c r="A309" s="0" t="inlineStr">
        <is>
          <t>USR-100308</t>
        </is>
      </c>
      <c r="B309" s="23" t="n">
        <v>45687</v>
      </c>
      <c r="C309" s="0" t="inlineStr">
        <is>
          <t>Control</t>
        </is>
      </c>
      <c r="D309" s="0" t="inlineStr">
        <is>
          <t>West</t>
        </is>
      </c>
      <c r="E309" s="0" t="inlineStr">
        <is>
          <t>Tablet</t>
        </is>
      </c>
      <c r="F309" s="0" t="inlineStr">
        <is>
          <t>Paid Search</t>
        </is>
      </c>
      <c r="G309" s="0" t="inlineStr">
        <is>
          <t>Free</t>
        </is>
      </c>
      <c r="H309" s="0" t="n">
        <v>1</v>
      </c>
      <c r="I309" s="0" t="n">
        <v>1</v>
      </c>
      <c r="J309" s="0" t="n">
        <v>1</v>
      </c>
      <c r="K309" s="0" t="n">
        <v>1</v>
      </c>
      <c r="L309" s="0" t="n">
        <v>409.39</v>
      </c>
      <c r="M309" s="0" t="n">
        <v>0</v>
      </c>
      <c r="N309" s="0" t="n">
        <v>0</v>
      </c>
      <c r="O309" s="0" t="n">
        <v>10</v>
      </c>
      <c r="P309" s="0" t="n">
        <v>38.8</v>
      </c>
    </row>
    <row r="310">
      <c r="A310" s="0" t="inlineStr">
        <is>
          <t>USR-100309</t>
        </is>
      </c>
      <c r="B310" s="23" t="n">
        <v>45778</v>
      </c>
      <c r="C310" s="0" t="inlineStr">
        <is>
          <t>Control</t>
        </is>
      </c>
      <c r="D310" s="0" t="inlineStr">
        <is>
          <t>South</t>
        </is>
      </c>
      <c r="E310" s="0" t="inlineStr">
        <is>
          <t>Desktop</t>
        </is>
      </c>
      <c r="F310" s="0" t="inlineStr">
        <is>
          <t>Email</t>
        </is>
      </c>
      <c r="G310" s="0" t="inlineStr">
        <is>
          <t>Free</t>
        </is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P310" s="0" t="n">
        <v>70</v>
      </c>
    </row>
    <row r="311">
      <c r="A311" s="0" t="inlineStr">
        <is>
          <t>USR-100310</t>
        </is>
      </c>
      <c r="B311" s="23" t="n">
        <v>45793</v>
      </c>
      <c r="C311" s="0" t="inlineStr">
        <is>
          <t>Control</t>
        </is>
      </c>
      <c r="D311" s="0" t="inlineStr">
        <is>
          <t>South</t>
        </is>
      </c>
      <c r="E311" s="0" t="inlineStr">
        <is>
          <t>Desktop</t>
        </is>
      </c>
      <c r="F311" s="0" t="inlineStr">
        <is>
          <t>Referral</t>
        </is>
      </c>
      <c r="G311" s="0" t="inlineStr">
        <is>
          <t>Basic</t>
        </is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P311" s="0" t="n">
        <v>77.7</v>
      </c>
    </row>
    <row r="312">
      <c r="A312" s="0" t="inlineStr">
        <is>
          <t>USR-100311</t>
        </is>
      </c>
      <c r="B312" s="23" t="n">
        <v>45724</v>
      </c>
      <c r="C312" s="0" t="inlineStr">
        <is>
          <t>Control</t>
        </is>
      </c>
      <c r="D312" s="0" t="inlineStr">
        <is>
          <t>West</t>
        </is>
      </c>
      <c r="E312" s="0" t="inlineStr">
        <is>
          <t>Mobile</t>
        </is>
      </c>
      <c r="F312" s="0" t="inlineStr">
        <is>
          <t>Organic</t>
        </is>
      </c>
      <c r="G312" s="0" t="inlineStr">
        <is>
          <t>Free</t>
        </is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P312" s="0" t="n">
        <v>71.2</v>
      </c>
    </row>
    <row r="313">
      <c r="A313" s="0" t="inlineStr">
        <is>
          <t>USR-100312</t>
        </is>
      </c>
      <c r="B313" s="23" t="n">
        <v>45751</v>
      </c>
      <c r="C313" s="0" t="inlineStr">
        <is>
          <t>Control</t>
        </is>
      </c>
      <c r="D313" s="0" t="inlineStr">
        <is>
          <t>North</t>
        </is>
      </c>
      <c r="E313" s="0" t="inlineStr">
        <is>
          <t>Mobile</t>
        </is>
      </c>
      <c r="F313" s="0" t="inlineStr">
        <is>
          <t>Organic</t>
        </is>
      </c>
      <c r="G313" s="0" t="inlineStr">
        <is>
          <t>Basic</t>
        </is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P313" s="0" t="n">
        <v>43.8</v>
      </c>
    </row>
    <row r="314">
      <c r="A314" s="0" t="inlineStr">
        <is>
          <t>USR-100313</t>
        </is>
      </c>
      <c r="B314" s="23" t="n">
        <v>45807</v>
      </c>
      <c r="C314" s="0" t="inlineStr">
        <is>
          <t>Control</t>
        </is>
      </c>
      <c r="D314" s="0" t="inlineStr">
        <is>
          <t>South</t>
        </is>
      </c>
      <c r="E314" s="0" t="inlineStr">
        <is>
          <t>Tablet</t>
        </is>
      </c>
      <c r="F314" s="0" t="inlineStr">
        <is>
          <t>Organic</t>
        </is>
      </c>
      <c r="G314" s="0" t="inlineStr">
        <is>
          <t>Free</t>
        </is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P314" s="0" t="n">
        <v>50.9</v>
      </c>
    </row>
    <row r="315">
      <c r="A315" s="0" t="inlineStr">
        <is>
          <t>USR-100314</t>
        </is>
      </c>
      <c r="B315" s="23" t="n">
        <v>45662</v>
      </c>
      <c r="C315" s="0" t="inlineStr">
        <is>
          <t>Control</t>
        </is>
      </c>
      <c r="D315" s="0" t="inlineStr">
        <is>
          <t>West</t>
        </is>
      </c>
      <c r="E315" s="0" t="inlineStr">
        <is>
          <t>Mobile</t>
        </is>
      </c>
      <c r="F315" s="0" t="inlineStr">
        <is>
          <t>Organic</t>
        </is>
      </c>
      <c r="G315" s="0" t="inlineStr">
        <is>
          <t>Premium</t>
        </is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P315" s="0" t="n">
        <v>58.5</v>
      </c>
    </row>
    <row r="316">
      <c r="A316" s="0" t="inlineStr">
        <is>
          <t>USR-100315</t>
        </is>
      </c>
      <c r="B316" s="23" t="n">
        <v>45677</v>
      </c>
      <c r="C316" s="0" t="inlineStr">
        <is>
          <t>Control</t>
        </is>
      </c>
      <c r="D316" s="0" t="inlineStr">
        <is>
          <t>East</t>
        </is>
      </c>
      <c r="E316" s="0" t="inlineStr">
        <is>
          <t>Mobile</t>
        </is>
      </c>
      <c r="F316" s="0" t="inlineStr">
        <is>
          <t>Organic</t>
        </is>
      </c>
      <c r="G316" s="0" t="inlineStr">
        <is>
          <t>Free</t>
        </is>
      </c>
      <c r="H316" s="0" t="n">
        <v>1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0</v>
      </c>
      <c r="N316" s="0" t="n">
        <v>0</v>
      </c>
      <c r="P316" s="0" t="n">
        <v>53.6</v>
      </c>
    </row>
    <row r="317">
      <c r="A317" s="0" t="inlineStr">
        <is>
          <t>USR-100316</t>
        </is>
      </c>
      <c r="B317" s="23" t="n">
        <v>45778</v>
      </c>
      <c r="C317" s="0" t="inlineStr">
        <is>
          <t>Control</t>
        </is>
      </c>
      <c r="D317" s="0" t="inlineStr">
        <is>
          <t>East</t>
        </is>
      </c>
      <c r="E317" s="0" t="inlineStr">
        <is>
          <t>Mobile</t>
        </is>
      </c>
      <c r="F317" s="0" t="inlineStr">
        <is>
          <t>Email</t>
        </is>
      </c>
      <c r="G317" s="0" t="inlineStr">
        <is>
          <t>Free</t>
        </is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P317" s="0" t="n">
        <v>54.9</v>
      </c>
    </row>
    <row r="318">
      <c r="A318" s="0" t="inlineStr">
        <is>
          <t>USR-100317</t>
        </is>
      </c>
      <c r="B318" s="23" t="n">
        <v>45721</v>
      </c>
      <c r="C318" s="0" t="inlineStr">
        <is>
          <t>Control</t>
        </is>
      </c>
      <c r="D318" s="0" t="inlineStr">
        <is>
          <t>North</t>
        </is>
      </c>
      <c r="E318" s="0" t="inlineStr">
        <is>
          <t>Desktop</t>
        </is>
      </c>
      <c r="F318" s="0" t="inlineStr">
        <is>
          <t>Organic</t>
        </is>
      </c>
      <c r="G318" s="0" t="inlineStr">
        <is>
          <t>Premium</t>
        </is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P318" s="0" t="n">
        <v>57.3</v>
      </c>
    </row>
    <row r="319">
      <c r="A319" s="0" t="inlineStr">
        <is>
          <t>USR-100318</t>
        </is>
      </c>
      <c r="B319" s="23" t="n">
        <v>45748</v>
      </c>
      <c r="C319" s="0" t="inlineStr">
        <is>
          <t>Control</t>
        </is>
      </c>
      <c r="D319" s="0" t="inlineStr">
        <is>
          <t>East</t>
        </is>
      </c>
      <c r="E319" s="0" t="inlineStr">
        <is>
          <t>Desktop</t>
        </is>
      </c>
      <c r="F319" s="0" t="inlineStr">
        <is>
          <t>Referral</t>
        </is>
      </c>
      <c r="G319" s="0" t="inlineStr">
        <is>
          <t>Free</t>
        </is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P319" s="0" t="n">
        <v>52.1</v>
      </c>
    </row>
    <row r="320">
      <c r="A320" s="0" t="inlineStr">
        <is>
          <t>USR-100319</t>
        </is>
      </c>
      <c r="B320" s="23" t="n">
        <v>45780</v>
      </c>
      <c r="C320" s="0" t="inlineStr">
        <is>
          <t>Control</t>
        </is>
      </c>
      <c r="D320" s="0" t="inlineStr">
        <is>
          <t>North</t>
        </is>
      </c>
      <c r="E320" s="0" t="inlineStr">
        <is>
          <t>Mobile</t>
        </is>
      </c>
      <c r="F320" s="0" t="inlineStr">
        <is>
          <t>Organic</t>
        </is>
      </c>
      <c r="G320" s="0" t="inlineStr">
        <is>
          <t>Free</t>
        </is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P320" s="0" t="n">
        <v>80</v>
      </c>
    </row>
    <row r="321">
      <c r="A321" s="0" t="inlineStr">
        <is>
          <t>USR-100320</t>
        </is>
      </c>
      <c r="B321" s="23" t="n">
        <v>45722</v>
      </c>
      <c r="C321" s="0" t="inlineStr">
        <is>
          <t>Control</t>
        </is>
      </c>
      <c r="D321" s="0" t="inlineStr">
        <is>
          <t>South</t>
        </is>
      </c>
      <c r="E321" s="0" t="inlineStr">
        <is>
          <t>Desktop</t>
        </is>
      </c>
      <c r="F321" s="0" t="inlineStr">
        <is>
          <t>Paid Search</t>
        </is>
      </c>
      <c r="G321" s="0" t="inlineStr">
        <is>
          <t>Premium</t>
        </is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P321" s="0" t="n">
        <v>39.3</v>
      </c>
    </row>
    <row r="322">
      <c r="A322" s="0" t="inlineStr">
        <is>
          <t>USR-100321</t>
        </is>
      </c>
      <c r="B322" s="23" t="n">
        <v>45748</v>
      </c>
      <c r="C322" s="0" t="inlineStr">
        <is>
          <t>Control</t>
        </is>
      </c>
      <c r="D322" s="0" t="inlineStr">
        <is>
          <t>North</t>
        </is>
      </c>
      <c r="E322" s="0" t="inlineStr">
        <is>
          <t>Desktop</t>
        </is>
      </c>
      <c r="F322" s="0" t="inlineStr">
        <is>
          <t>Referral</t>
        </is>
      </c>
      <c r="G322" s="0" t="inlineStr">
        <is>
          <t>Premium</t>
        </is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P322" s="0" t="n">
        <v>45.7</v>
      </c>
    </row>
    <row r="323">
      <c r="A323" s="0" t="inlineStr">
        <is>
          <t>USR-100322</t>
        </is>
      </c>
      <c r="B323" s="23" t="n">
        <v>45697</v>
      </c>
      <c r="C323" s="0" t="inlineStr">
        <is>
          <t>Control</t>
        </is>
      </c>
      <c r="D323" s="0" t="inlineStr">
        <is>
          <t>North</t>
        </is>
      </c>
      <c r="E323" s="0" t="inlineStr">
        <is>
          <t>Desktop</t>
        </is>
      </c>
      <c r="F323" s="0" t="inlineStr">
        <is>
          <t>Social</t>
        </is>
      </c>
      <c r="G323" s="0" t="inlineStr">
        <is>
          <t>Basic</t>
        </is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2</v>
      </c>
      <c r="N323" s="0" t="n">
        <v>0</v>
      </c>
      <c r="P323" s="0" t="n">
        <v>61.2</v>
      </c>
    </row>
    <row r="324">
      <c r="A324" s="0" t="inlineStr">
        <is>
          <t>USR-100323</t>
        </is>
      </c>
      <c r="B324" s="23" t="n">
        <v>45759</v>
      </c>
      <c r="C324" s="0" t="inlineStr">
        <is>
          <t>Control</t>
        </is>
      </c>
      <c r="D324" s="0" t="inlineStr">
        <is>
          <t>West</t>
        </is>
      </c>
      <c r="E324" s="0" t="inlineStr">
        <is>
          <t>Mobile</t>
        </is>
      </c>
      <c r="F324" s="0" t="inlineStr">
        <is>
          <t>Organic</t>
        </is>
      </c>
      <c r="G324" s="0" t="inlineStr">
        <is>
          <t>Basic</t>
        </is>
      </c>
      <c r="H324" s="0" t="n">
        <v>1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P324" s="0" t="n">
        <v>66.2</v>
      </c>
    </row>
    <row r="325">
      <c r="A325" s="0" t="inlineStr">
        <is>
          <t>USR-100324</t>
        </is>
      </c>
      <c r="B325" s="23" t="n">
        <v>45734</v>
      </c>
      <c r="C325" s="0" t="inlineStr">
        <is>
          <t>Control</t>
        </is>
      </c>
      <c r="D325" s="0" t="inlineStr">
        <is>
          <t>East</t>
        </is>
      </c>
      <c r="E325" s="0" t="inlineStr">
        <is>
          <t>Mobile</t>
        </is>
      </c>
      <c r="F325" s="0" t="inlineStr">
        <is>
          <t>Social</t>
        </is>
      </c>
      <c r="G325" s="0" t="inlineStr">
        <is>
          <t>Free</t>
        </is>
      </c>
      <c r="H325" s="0" t="n">
        <v>1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0</v>
      </c>
      <c r="N325" s="0" t="n">
        <v>0</v>
      </c>
      <c r="P325" s="0" t="n">
        <v>61.3</v>
      </c>
    </row>
    <row r="326">
      <c r="A326" s="0" t="inlineStr">
        <is>
          <t>USR-100325</t>
        </is>
      </c>
      <c r="B326" s="23" t="n">
        <v>45750</v>
      </c>
      <c r="C326" s="0" t="inlineStr">
        <is>
          <t>Control</t>
        </is>
      </c>
      <c r="D326" s="0" t="inlineStr">
        <is>
          <t>East</t>
        </is>
      </c>
      <c r="E326" s="0" t="inlineStr">
        <is>
          <t>Mobile</t>
        </is>
      </c>
      <c r="F326" s="0" t="inlineStr">
        <is>
          <t>Paid Search</t>
        </is>
      </c>
      <c r="G326" s="0" t="inlineStr">
        <is>
          <t>Free</t>
        </is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P326" s="0" t="n">
        <v>72.2</v>
      </c>
    </row>
    <row r="327">
      <c r="A327" s="0" t="inlineStr">
        <is>
          <t>USR-100326</t>
        </is>
      </c>
      <c r="B327" s="23" t="n">
        <v>45749</v>
      </c>
      <c r="C327" s="0" t="inlineStr">
        <is>
          <t>Control</t>
        </is>
      </c>
      <c r="D327" s="0" t="inlineStr">
        <is>
          <t>West</t>
        </is>
      </c>
      <c r="E327" s="0" t="inlineStr">
        <is>
          <t>Mobile</t>
        </is>
      </c>
      <c r="F327" s="0" t="inlineStr">
        <is>
          <t>Email</t>
        </is>
      </c>
      <c r="G327" s="0" t="inlineStr">
        <is>
          <t>Premium</t>
        </is>
      </c>
      <c r="H327" s="0" t="n">
        <v>1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0</v>
      </c>
      <c r="N327" s="0" t="n">
        <v>0</v>
      </c>
      <c r="P327" s="0" t="n">
        <v>84</v>
      </c>
    </row>
    <row r="328">
      <c r="A328" s="0" t="inlineStr">
        <is>
          <t>USR-100327</t>
        </is>
      </c>
      <c r="B328" s="23" t="n">
        <v>45787</v>
      </c>
      <c r="C328" s="0" t="inlineStr">
        <is>
          <t>Control</t>
        </is>
      </c>
      <c r="D328" s="0" t="inlineStr">
        <is>
          <t>West</t>
        </is>
      </c>
      <c r="E328" s="0" t="inlineStr">
        <is>
          <t>Desktop</t>
        </is>
      </c>
      <c r="F328" s="0" t="inlineStr">
        <is>
          <t>Email</t>
        </is>
      </c>
      <c r="G328" s="0" t="inlineStr">
        <is>
          <t>Basic</t>
        </is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P328" s="0" t="n">
        <v>59.8</v>
      </c>
    </row>
    <row r="329">
      <c r="A329" s="0" t="inlineStr">
        <is>
          <t>USR-100328</t>
        </is>
      </c>
      <c r="B329" s="23" t="n">
        <v>45776</v>
      </c>
      <c r="C329" s="0" t="inlineStr">
        <is>
          <t>Control</t>
        </is>
      </c>
      <c r="D329" s="0" t="inlineStr">
        <is>
          <t>West</t>
        </is>
      </c>
      <c r="E329" s="0" t="inlineStr">
        <is>
          <t>Desktop</t>
        </is>
      </c>
      <c r="F329" s="0" t="inlineStr">
        <is>
          <t>Paid Search</t>
        </is>
      </c>
      <c r="G329" s="0" t="inlineStr">
        <is>
          <t>Free</t>
        </is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P329" s="0" t="n">
        <v>64.90000000000001</v>
      </c>
    </row>
    <row r="330">
      <c r="A330" s="0" t="inlineStr">
        <is>
          <t>USR-100329</t>
        </is>
      </c>
      <c r="B330" s="23" t="n">
        <v>45715</v>
      </c>
      <c r="C330" s="0" t="inlineStr">
        <is>
          <t>Control</t>
        </is>
      </c>
      <c r="D330" s="0" t="inlineStr">
        <is>
          <t>South</t>
        </is>
      </c>
      <c r="E330" s="0" t="inlineStr">
        <is>
          <t>Mobile</t>
        </is>
      </c>
      <c r="F330" s="0" t="inlineStr">
        <is>
          <t>Paid Search</t>
        </is>
      </c>
      <c r="G330" s="0" t="inlineStr">
        <is>
          <t>Free</t>
        </is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P330" s="0" t="n">
        <v>66.8</v>
      </c>
    </row>
    <row r="331">
      <c r="A331" s="0" t="inlineStr">
        <is>
          <t>USR-100330</t>
        </is>
      </c>
      <c r="B331" s="23" t="n">
        <v>45757</v>
      </c>
      <c r="C331" s="0" t="inlineStr">
        <is>
          <t>Control</t>
        </is>
      </c>
      <c r="D331" s="0" t="inlineStr">
        <is>
          <t>North</t>
        </is>
      </c>
      <c r="E331" s="0" t="inlineStr">
        <is>
          <t>Desktop</t>
        </is>
      </c>
      <c r="F331" s="0" t="inlineStr">
        <is>
          <t>Organic</t>
        </is>
      </c>
      <c r="G331" s="0" t="inlineStr">
        <is>
          <t>Premium</t>
        </is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P331" s="0" t="n">
        <v>70.90000000000001</v>
      </c>
    </row>
    <row r="332">
      <c r="A332" s="0" t="inlineStr">
        <is>
          <t>USR-100331</t>
        </is>
      </c>
      <c r="B332" s="23" t="n">
        <v>45701</v>
      </c>
      <c r="C332" s="0" t="inlineStr">
        <is>
          <t>Control</t>
        </is>
      </c>
      <c r="D332" s="0" t="inlineStr">
        <is>
          <t>East</t>
        </is>
      </c>
      <c r="E332" s="0" t="inlineStr">
        <is>
          <t>Mobile</t>
        </is>
      </c>
      <c r="F332" s="0" t="inlineStr">
        <is>
          <t>Organic</t>
        </is>
      </c>
      <c r="G332" s="0" t="inlineStr">
        <is>
          <t>Free</t>
        </is>
      </c>
      <c r="H332" s="0" t="n">
        <v>1</v>
      </c>
      <c r="I332" s="0" t="n">
        <v>1</v>
      </c>
      <c r="J332" s="0" t="n">
        <v>1</v>
      </c>
      <c r="K332" s="0" t="n">
        <v>1</v>
      </c>
      <c r="L332" s="0" t="n">
        <v>426.82</v>
      </c>
      <c r="M332" s="0" t="n">
        <v>1</v>
      </c>
      <c r="N332" s="0" t="n">
        <v>0</v>
      </c>
      <c r="O332" s="0" t="n">
        <v>14</v>
      </c>
      <c r="P332" s="0" t="n">
        <v>68.8</v>
      </c>
    </row>
    <row r="333">
      <c r="A333" s="0" t="inlineStr">
        <is>
          <t>USR-100332</t>
        </is>
      </c>
      <c r="B333" s="23" t="n">
        <v>45780</v>
      </c>
      <c r="C333" s="0" t="inlineStr">
        <is>
          <t>Control</t>
        </is>
      </c>
      <c r="D333" s="0" t="inlineStr">
        <is>
          <t>North</t>
        </is>
      </c>
      <c r="E333" s="0" t="inlineStr">
        <is>
          <t>Mobile</t>
        </is>
      </c>
      <c r="F333" s="0" t="inlineStr">
        <is>
          <t>Organic</t>
        </is>
      </c>
      <c r="G333" s="0" t="inlineStr">
        <is>
          <t>Basic</t>
        </is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P333" s="0" t="n">
        <v>72.40000000000001</v>
      </c>
    </row>
    <row r="334">
      <c r="A334" s="0" t="inlineStr">
        <is>
          <t>USR-100333</t>
        </is>
      </c>
      <c r="B334" s="23" t="n">
        <v>45726</v>
      </c>
      <c r="C334" s="0" t="inlineStr">
        <is>
          <t>Control</t>
        </is>
      </c>
      <c r="D334" s="0" t="inlineStr">
        <is>
          <t>East</t>
        </is>
      </c>
      <c r="E334" s="0" t="inlineStr">
        <is>
          <t>Mobile</t>
        </is>
      </c>
      <c r="F334" s="0" t="inlineStr">
        <is>
          <t>Organic</t>
        </is>
      </c>
      <c r="G334" s="0" t="inlineStr">
        <is>
          <t>Basic</t>
        </is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P334" s="0" t="n">
        <v>63.3</v>
      </c>
    </row>
    <row r="335">
      <c r="A335" s="0" t="inlineStr">
        <is>
          <t>USR-100334</t>
        </is>
      </c>
      <c r="B335" s="23" t="n">
        <v>45667</v>
      </c>
      <c r="C335" s="0" t="inlineStr">
        <is>
          <t>Control</t>
        </is>
      </c>
      <c r="D335" s="0" t="inlineStr">
        <is>
          <t>West</t>
        </is>
      </c>
      <c r="E335" s="0" t="inlineStr">
        <is>
          <t>Tablet</t>
        </is>
      </c>
      <c r="F335" s="0" t="inlineStr">
        <is>
          <t>Social</t>
        </is>
      </c>
      <c r="G335" s="0" t="inlineStr">
        <is>
          <t>Free</t>
        </is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P335" s="0" t="n">
        <v>30.8</v>
      </c>
    </row>
    <row r="336">
      <c r="A336" s="0" t="inlineStr">
        <is>
          <t>USR-100335</t>
        </is>
      </c>
      <c r="B336" s="23" t="n">
        <v>45673</v>
      </c>
      <c r="C336" s="0" t="inlineStr">
        <is>
          <t>Control</t>
        </is>
      </c>
      <c r="D336" s="0" t="inlineStr">
        <is>
          <t>South</t>
        </is>
      </c>
      <c r="E336" s="0" t="inlineStr">
        <is>
          <t>Mobile</t>
        </is>
      </c>
      <c r="F336" s="0" t="inlineStr">
        <is>
          <t>Email</t>
        </is>
      </c>
      <c r="G336" s="0" t="inlineStr">
        <is>
          <t>Basic</t>
        </is>
      </c>
      <c r="H336" s="0" t="n">
        <v>1</v>
      </c>
      <c r="I336" s="0" t="n">
        <v>1</v>
      </c>
      <c r="J336" s="0" t="n">
        <v>1</v>
      </c>
      <c r="K336" s="0" t="n">
        <v>1</v>
      </c>
      <c r="L336" s="0" t="n">
        <v>874.55</v>
      </c>
      <c r="M336" s="0" t="n">
        <v>0</v>
      </c>
      <c r="N336" s="0" t="n">
        <v>0</v>
      </c>
      <c r="O336" s="0" t="n">
        <v>9</v>
      </c>
      <c r="P336" s="0" t="n">
        <v>44.2</v>
      </c>
    </row>
    <row r="337">
      <c r="A337" s="0" t="inlineStr">
        <is>
          <t>USR-100336</t>
        </is>
      </c>
      <c r="B337" s="23" t="n">
        <v>45699</v>
      </c>
      <c r="C337" s="0" t="inlineStr">
        <is>
          <t>Control</t>
        </is>
      </c>
      <c r="D337" s="0" t="inlineStr">
        <is>
          <t>South</t>
        </is>
      </c>
      <c r="E337" s="0" t="inlineStr">
        <is>
          <t>Desktop</t>
        </is>
      </c>
      <c r="F337" s="0" t="inlineStr">
        <is>
          <t>Organic</t>
        </is>
      </c>
      <c r="G337" s="0" t="inlineStr">
        <is>
          <t>Premium</t>
        </is>
      </c>
      <c r="H337" s="0" t="n">
        <v>1</v>
      </c>
      <c r="I337" s="0" t="n">
        <v>1</v>
      </c>
      <c r="J337" s="0" t="n">
        <v>1</v>
      </c>
      <c r="K337" s="0" t="n">
        <v>1</v>
      </c>
      <c r="L337" s="0" t="n">
        <v>2206.88</v>
      </c>
      <c r="M337" s="0" t="n">
        <v>0</v>
      </c>
      <c r="N337" s="0" t="n">
        <v>0</v>
      </c>
      <c r="O337" s="0" t="n">
        <v>10</v>
      </c>
      <c r="P337" s="0" t="n">
        <v>56.2</v>
      </c>
    </row>
    <row r="338">
      <c r="A338" s="0" t="inlineStr">
        <is>
          <t>USR-100337</t>
        </is>
      </c>
      <c r="B338" s="23" t="n">
        <v>45760</v>
      </c>
      <c r="C338" s="0" t="inlineStr">
        <is>
          <t>Control</t>
        </is>
      </c>
      <c r="D338" s="0" t="inlineStr">
        <is>
          <t>West</t>
        </is>
      </c>
      <c r="E338" s="0" t="inlineStr">
        <is>
          <t>Mobile</t>
        </is>
      </c>
      <c r="F338" s="0" t="inlineStr">
        <is>
          <t>Organic</t>
        </is>
      </c>
      <c r="G338" s="0" t="inlineStr">
        <is>
          <t>Free</t>
        </is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P338" s="0" t="n">
        <v>40.4</v>
      </c>
    </row>
    <row r="339">
      <c r="A339" s="0" t="inlineStr">
        <is>
          <t>USR-100338</t>
        </is>
      </c>
      <c r="B339" s="23" t="n">
        <v>45696</v>
      </c>
      <c r="C339" s="0" t="inlineStr">
        <is>
          <t>Control</t>
        </is>
      </c>
      <c r="D339" s="0" t="inlineStr">
        <is>
          <t>East</t>
        </is>
      </c>
      <c r="E339" s="0" t="inlineStr">
        <is>
          <t>Mobile</t>
        </is>
      </c>
      <c r="F339" s="0" t="inlineStr">
        <is>
          <t>Paid Search</t>
        </is>
      </c>
      <c r="G339" s="0" t="inlineStr">
        <is>
          <t>Free</t>
        </is>
      </c>
      <c r="H339" s="0" t="n">
        <v>1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0</v>
      </c>
      <c r="N339" s="0" t="n">
        <v>0</v>
      </c>
      <c r="P339" s="0" t="n">
        <v>68.09999999999999</v>
      </c>
    </row>
    <row r="340">
      <c r="A340" s="0" t="inlineStr">
        <is>
          <t>USR-100339</t>
        </is>
      </c>
      <c r="B340" s="23" t="n">
        <v>45747</v>
      </c>
      <c r="C340" s="0" t="inlineStr">
        <is>
          <t>Control</t>
        </is>
      </c>
      <c r="D340" s="0" t="inlineStr">
        <is>
          <t>West</t>
        </is>
      </c>
      <c r="E340" s="0" t="inlineStr">
        <is>
          <t>Desktop</t>
        </is>
      </c>
      <c r="F340" s="0" t="inlineStr">
        <is>
          <t>Referral</t>
        </is>
      </c>
      <c r="G340" s="0" t="inlineStr">
        <is>
          <t>Free</t>
        </is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P340" s="0" t="n">
        <v>86.3</v>
      </c>
    </row>
    <row r="341">
      <c r="A341" s="0" t="inlineStr">
        <is>
          <t>USR-100340</t>
        </is>
      </c>
      <c r="B341" s="23" t="n">
        <v>45688</v>
      </c>
      <c r="C341" s="0" t="inlineStr">
        <is>
          <t>Control</t>
        </is>
      </c>
      <c r="D341" s="0" t="inlineStr">
        <is>
          <t>West</t>
        </is>
      </c>
      <c r="E341" s="0" t="inlineStr">
        <is>
          <t>Desktop</t>
        </is>
      </c>
      <c r="F341" s="0" t="inlineStr">
        <is>
          <t>Referral</t>
        </is>
      </c>
      <c r="G341" s="0" t="inlineStr">
        <is>
          <t>Free</t>
        </is>
      </c>
      <c r="H341" s="0" t="n">
        <v>1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P341" s="0" t="n">
        <v>42.9</v>
      </c>
    </row>
    <row r="342">
      <c r="A342" s="0" t="inlineStr">
        <is>
          <t>USR-100341</t>
        </is>
      </c>
      <c r="B342" s="23" t="n">
        <v>45785</v>
      </c>
      <c r="C342" s="0" t="inlineStr">
        <is>
          <t>Control</t>
        </is>
      </c>
      <c r="D342" s="0" t="inlineStr">
        <is>
          <t>West</t>
        </is>
      </c>
      <c r="E342" s="0" t="inlineStr">
        <is>
          <t>Tablet</t>
        </is>
      </c>
      <c r="F342" s="0" t="inlineStr">
        <is>
          <t>Organic</t>
        </is>
      </c>
      <c r="G342" s="0" t="inlineStr">
        <is>
          <t>Free</t>
        </is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P342" s="0" t="n">
        <v>61.4</v>
      </c>
    </row>
    <row r="343">
      <c r="A343" s="0" t="inlineStr">
        <is>
          <t>USR-100342</t>
        </is>
      </c>
      <c r="B343" s="23" t="n">
        <v>45731</v>
      </c>
      <c r="C343" s="0" t="inlineStr">
        <is>
          <t>Control</t>
        </is>
      </c>
      <c r="D343" s="0" t="inlineStr">
        <is>
          <t>North</t>
        </is>
      </c>
      <c r="E343" s="0" t="inlineStr">
        <is>
          <t>Mobile</t>
        </is>
      </c>
      <c r="F343" s="0" t="inlineStr">
        <is>
          <t>Paid Search</t>
        </is>
      </c>
      <c r="G343" s="0" t="inlineStr">
        <is>
          <t>Free</t>
        </is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P343" s="0" t="n">
        <v>73.3</v>
      </c>
    </row>
    <row r="344">
      <c r="A344" s="0" t="inlineStr">
        <is>
          <t>USR-100343</t>
        </is>
      </c>
      <c r="B344" s="23" t="n">
        <v>45670</v>
      </c>
      <c r="C344" s="0" t="inlineStr">
        <is>
          <t>Control</t>
        </is>
      </c>
      <c r="D344" s="0" t="inlineStr">
        <is>
          <t>South</t>
        </is>
      </c>
      <c r="E344" s="0" t="inlineStr">
        <is>
          <t>Mobile</t>
        </is>
      </c>
      <c r="F344" s="0" t="inlineStr">
        <is>
          <t>Referral</t>
        </is>
      </c>
      <c r="G344" s="0" t="inlineStr">
        <is>
          <t>Basic</t>
        </is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P344" s="0" t="n">
        <v>59.4</v>
      </c>
    </row>
    <row r="345">
      <c r="A345" s="0" t="inlineStr">
        <is>
          <t>USR-100344</t>
        </is>
      </c>
      <c r="B345" s="23" t="n">
        <v>45723</v>
      </c>
      <c r="C345" s="0" t="inlineStr">
        <is>
          <t>Control</t>
        </is>
      </c>
      <c r="D345" s="0" t="inlineStr">
        <is>
          <t>South</t>
        </is>
      </c>
      <c r="E345" s="0" t="inlineStr">
        <is>
          <t>Tablet</t>
        </is>
      </c>
      <c r="F345" s="0" t="inlineStr">
        <is>
          <t>Organic</t>
        </is>
      </c>
      <c r="G345" s="0" t="inlineStr">
        <is>
          <t>Basic</t>
        </is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P345" s="0" t="n">
        <v>35.2</v>
      </c>
    </row>
    <row r="346">
      <c r="A346" s="0" t="inlineStr">
        <is>
          <t>USR-100345</t>
        </is>
      </c>
      <c r="B346" s="23" t="n">
        <v>45698</v>
      </c>
      <c r="C346" s="0" t="inlineStr">
        <is>
          <t>Control</t>
        </is>
      </c>
      <c r="D346" s="0" t="inlineStr">
        <is>
          <t>South</t>
        </is>
      </c>
      <c r="E346" s="0" t="inlineStr">
        <is>
          <t>Mobile</t>
        </is>
      </c>
      <c r="F346" s="0" t="inlineStr">
        <is>
          <t>Social</t>
        </is>
      </c>
      <c r="G346" s="0" t="inlineStr">
        <is>
          <t>Premium</t>
        </is>
      </c>
      <c r="H346" s="0" t="n">
        <v>1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P346" s="0" t="n">
        <v>55.3</v>
      </c>
    </row>
    <row r="347">
      <c r="A347" s="0" t="inlineStr">
        <is>
          <t>USR-100346</t>
        </is>
      </c>
      <c r="B347" s="23" t="n">
        <v>45728</v>
      </c>
      <c r="C347" s="0" t="inlineStr">
        <is>
          <t>Control</t>
        </is>
      </c>
      <c r="D347" s="0" t="inlineStr">
        <is>
          <t>East</t>
        </is>
      </c>
      <c r="E347" s="0" t="inlineStr">
        <is>
          <t>Mobile</t>
        </is>
      </c>
      <c r="F347" s="0" t="inlineStr">
        <is>
          <t>Paid Search</t>
        </is>
      </c>
      <c r="G347" s="0" t="inlineStr">
        <is>
          <t>Free</t>
        </is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P347" s="0" t="n">
        <v>37.5</v>
      </c>
    </row>
    <row r="348">
      <c r="A348" s="0" t="inlineStr">
        <is>
          <t>USR-100347</t>
        </is>
      </c>
      <c r="B348" s="23" t="n">
        <v>45660</v>
      </c>
      <c r="C348" s="0" t="inlineStr">
        <is>
          <t>Control</t>
        </is>
      </c>
      <c r="D348" s="0" t="inlineStr">
        <is>
          <t>South</t>
        </is>
      </c>
      <c r="E348" s="0" t="inlineStr">
        <is>
          <t>Desktop</t>
        </is>
      </c>
      <c r="F348" s="0" t="inlineStr">
        <is>
          <t>Paid Search</t>
        </is>
      </c>
      <c r="G348" s="0" t="inlineStr">
        <is>
          <t>Free</t>
        </is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0</v>
      </c>
      <c r="P348" s="0" t="n">
        <v>66.40000000000001</v>
      </c>
    </row>
    <row r="349">
      <c r="A349" s="0" t="inlineStr">
        <is>
          <t>USR-100348</t>
        </is>
      </c>
      <c r="B349" s="23" t="n">
        <v>45775</v>
      </c>
      <c r="C349" s="0" t="inlineStr">
        <is>
          <t>Control</t>
        </is>
      </c>
      <c r="D349" s="0" t="inlineStr">
        <is>
          <t>North</t>
        </is>
      </c>
      <c r="E349" s="0" t="inlineStr">
        <is>
          <t>Tablet</t>
        </is>
      </c>
      <c r="F349" s="0" t="inlineStr">
        <is>
          <t>Social</t>
        </is>
      </c>
      <c r="G349" s="0" t="inlineStr">
        <is>
          <t>Basic</t>
        </is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P349" s="0" t="n">
        <v>61.9</v>
      </c>
    </row>
    <row r="350">
      <c r="A350" s="0" t="inlineStr">
        <is>
          <t>USR-100349</t>
        </is>
      </c>
      <c r="B350" s="23" t="n">
        <v>45764</v>
      </c>
      <c r="C350" s="0" t="inlineStr">
        <is>
          <t>Control</t>
        </is>
      </c>
      <c r="D350" s="0" t="inlineStr">
        <is>
          <t>East</t>
        </is>
      </c>
      <c r="E350" s="0" t="inlineStr">
        <is>
          <t>Mobile</t>
        </is>
      </c>
      <c r="F350" s="0" t="inlineStr">
        <is>
          <t>Organic</t>
        </is>
      </c>
      <c r="G350" s="0" t="inlineStr">
        <is>
          <t>Free</t>
        </is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P350" s="0" t="n">
        <v>56</v>
      </c>
    </row>
    <row r="351">
      <c r="A351" s="0" t="inlineStr">
        <is>
          <t>USR-100350</t>
        </is>
      </c>
      <c r="B351" s="23" t="n">
        <v>45800</v>
      </c>
      <c r="C351" s="0" t="inlineStr">
        <is>
          <t>Control</t>
        </is>
      </c>
      <c r="D351" s="0" t="inlineStr">
        <is>
          <t>South</t>
        </is>
      </c>
      <c r="E351" s="0" t="inlineStr">
        <is>
          <t>Desktop</t>
        </is>
      </c>
      <c r="F351" s="0" t="inlineStr">
        <is>
          <t>Social</t>
        </is>
      </c>
      <c r="G351" s="0" t="inlineStr">
        <is>
          <t>Basic</t>
        </is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P351" s="0" t="n">
        <v>55.5</v>
      </c>
    </row>
    <row r="352">
      <c r="A352" s="0" t="inlineStr">
        <is>
          <t>USR-100351</t>
        </is>
      </c>
      <c r="B352" s="23" t="n">
        <v>45707</v>
      </c>
      <c r="C352" s="0" t="inlineStr">
        <is>
          <t>Control</t>
        </is>
      </c>
      <c r="D352" s="0" t="inlineStr">
        <is>
          <t>West</t>
        </is>
      </c>
      <c r="E352" s="0" t="inlineStr">
        <is>
          <t>Tablet</t>
        </is>
      </c>
      <c r="F352" s="0" t="inlineStr">
        <is>
          <t>Referral</t>
        </is>
      </c>
      <c r="G352" s="0" t="inlineStr">
        <is>
          <t>Basic</t>
        </is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P352" s="0" t="n">
        <v>37.2</v>
      </c>
    </row>
    <row r="353">
      <c r="A353" s="0" t="inlineStr">
        <is>
          <t>USR-100352</t>
        </is>
      </c>
      <c r="B353" s="23" t="n">
        <v>45675</v>
      </c>
      <c r="C353" s="0" t="inlineStr">
        <is>
          <t>Control</t>
        </is>
      </c>
      <c r="D353" s="0" t="inlineStr">
        <is>
          <t>South</t>
        </is>
      </c>
      <c r="E353" s="0" t="inlineStr">
        <is>
          <t>Desktop</t>
        </is>
      </c>
      <c r="F353" s="0" t="inlineStr">
        <is>
          <t>Organic</t>
        </is>
      </c>
      <c r="G353" s="0" t="inlineStr">
        <is>
          <t>Free</t>
        </is>
      </c>
      <c r="H353" s="0" t="n">
        <v>1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P353" s="0" t="n">
        <v>70.5</v>
      </c>
    </row>
    <row r="354">
      <c r="A354" s="0" t="inlineStr">
        <is>
          <t>USR-100353</t>
        </is>
      </c>
      <c r="B354" s="23" t="n">
        <v>45764</v>
      </c>
      <c r="C354" s="0" t="inlineStr">
        <is>
          <t>Control</t>
        </is>
      </c>
      <c r="D354" s="0" t="inlineStr">
        <is>
          <t>North</t>
        </is>
      </c>
      <c r="E354" s="0" t="inlineStr">
        <is>
          <t>Mobile</t>
        </is>
      </c>
      <c r="F354" s="0" t="inlineStr">
        <is>
          <t>Organic</t>
        </is>
      </c>
      <c r="G354" s="0" t="inlineStr">
        <is>
          <t>Free</t>
        </is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P354" s="0" t="n">
        <v>61.2</v>
      </c>
    </row>
    <row r="355">
      <c r="A355" s="0" t="inlineStr">
        <is>
          <t>USR-100354</t>
        </is>
      </c>
      <c r="B355" s="23" t="n">
        <v>45759</v>
      </c>
      <c r="C355" s="0" t="inlineStr">
        <is>
          <t>Control</t>
        </is>
      </c>
      <c r="D355" s="0" t="inlineStr">
        <is>
          <t>East</t>
        </is>
      </c>
      <c r="E355" s="0" t="inlineStr">
        <is>
          <t>Tablet</t>
        </is>
      </c>
      <c r="F355" s="0" t="inlineStr">
        <is>
          <t>Social</t>
        </is>
      </c>
      <c r="G355" s="0" t="inlineStr">
        <is>
          <t>Free</t>
        </is>
      </c>
      <c r="H355" s="0" t="n">
        <v>1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P355" s="0" t="n">
        <v>64.59999999999999</v>
      </c>
    </row>
    <row r="356">
      <c r="A356" s="0" t="inlineStr">
        <is>
          <t>USR-100355</t>
        </is>
      </c>
      <c r="B356" s="23" t="n">
        <v>45793</v>
      </c>
      <c r="C356" s="0" t="inlineStr">
        <is>
          <t>Control</t>
        </is>
      </c>
      <c r="D356" s="0" t="inlineStr">
        <is>
          <t>East</t>
        </is>
      </c>
      <c r="E356" s="0" t="inlineStr">
        <is>
          <t>Mobile</t>
        </is>
      </c>
      <c r="F356" s="0" t="inlineStr">
        <is>
          <t>Email</t>
        </is>
      </c>
      <c r="G356" s="0" t="inlineStr">
        <is>
          <t>Free</t>
        </is>
      </c>
      <c r="H356" s="0" t="n">
        <v>1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P356" s="0" t="n">
        <v>91.7</v>
      </c>
    </row>
    <row r="357">
      <c r="A357" s="0" t="inlineStr">
        <is>
          <t>USR-100356</t>
        </is>
      </c>
      <c r="B357" s="23" t="n">
        <v>45740</v>
      </c>
      <c r="C357" s="0" t="inlineStr">
        <is>
          <t>Control</t>
        </is>
      </c>
      <c r="D357" s="0" t="inlineStr">
        <is>
          <t>West</t>
        </is>
      </c>
      <c r="E357" s="0" t="inlineStr">
        <is>
          <t>Mobile</t>
        </is>
      </c>
      <c r="F357" s="0" t="inlineStr">
        <is>
          <t>Social</t>
        </is>
      </c>
      <c r="G357" s="0" t="inlineStr">
        <is>
          <t>Free</t>
        </is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P357" s="0" t="n">
        <v>46</v>
      </c>
    </row>
    <row r="358">
      <c r="A358" s="0" t="inlineStr">
        <is>
          <t>USR-100357</t>
        </is>
      </c>
      <c r="B358" s="23" t="n">
        <v>45704</v>
      </c>
      <c r="C358" s="0" t="inlineStr">
        <is>
          <t>Control</t>
        </is>
      </c>
      <c r="D358" s="0" t="inlineStr">
        <is>
          <t>West</t>
        </is>
      </c>
      <c r="E358" s="0" t="inlineStr">
        <is>
          <t>Mobile</t>
        </is>
      </c>
      <c r="F358" s="0" t="inlineStr">
        <is>
          <t>Organic</t>
        </is>
      </c>
      <c r="G358" s="0" t="inlineStr">
        <is>
          <t>Basic</t>
        </is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P358" s="0" t="n">
        <v>50.8</v>
      </c>
    </row>
    <row r="359">
      <c r="A359" s="0" t="inlineStr">
        <is>
          <t>USR-100358</t>
        </is>
      </c>
      <c r="B359" s="23" t="n">
        <v>45735</v>
      </c>
      <c r="C359" s="0" t="inlineStr">
        <is>
          <t>Control</t>
        </is>
      </c>
      <c r="D359" s="0" t="inlineStr">
        <is>
          <t>North</t>
        </is>
      </c>
      <c r="E359" s="0" t="inlineStr">
        <is>
          <t>Tablet</t>
        </is>
      </c>
      <c r="F359" s="0" t="inlineStr">
        <is>
          <t>Organic</t>
        </is>
      </c>
      <c r="G359" s="0" t="inlineStr">
        <is>
          <t>Free</t>
        </is>
      </c>
      <c r="H359" s="0" t="n">
        <v>1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0</v>
      </c>
      <c r="N359" s="0" t="n">
        <v>0</v>
      </c>
      <c r="P359" s="0" t="n">
        <v>52.8</v>
      </c>
    </row>
    <row r="360">
      <c r="A360" s="0" t="inlineStr">
        <is>
          <t>USR-100359</t>
        </is>
      </c>
      <c r="B360" s="23" t="n">
        <v>45768</v>
      </c>
      <c r="C360" s="0" t="inlineStr">
        <is>
          <t>Control</t>
        </is>
      </c>
      <c r="D360" s="0" t="inlineStr">
        <is>
          <t>South</t>
        </is>
      </c>
      <c r="E360" s="0" t="inlineStr">
        <is>
          <t>Mobile</t>
        </is>
      </c>
      <c r="F360" s="0" t="inlineStr">
        <is>
          <t>Organic</t>
        </is>
      </c>
      <c r="G360" s="0" t="inlineStr">
        <is>
          <t>Basic</t>
        </is>
      </c>
      <c r="H360" s="0" t="n">
        <v>1</v>
      </c>
      <c r="I360" s="0" t="n">
        <v>1</v>
      </c>
      <c r="J360" s="0" t="n">
        <v>1</v>
      </c>
      <c r="K360" s="0" t="n">
        <v>0</v>
      </c>
      <c r="L360" s="0" t="n">
        <v>0</v>
      </c>
      <c r="M360" s="0" t="n">
        <v>0</v>
      </c>
      <c r="N360" s="0" t="n">
        <v>0</v>
      </c>
      <c r="P360" s="0" t="n">
        <v>63</v>
      </c>
    </row>
    <row r="361">
      <c r="A361" s="0" t="inlineStr">
        <is>
          <t>USR-100360</t>
        </is>
      </c>
      <c r="B361" s="23" t="n">
        <v>45668</v>
      </c>
      <c r="C361" s="0" t="inlineStr">
        <is>
          <t>Control</t>
        </is>
      </c>
      <c r="D361" s="0" t="inlineStr">
        <is>
          <t>West</t>
        </is>
      </c>
      <c r="E361" s="0" t="inlineStr">
        <is>
          <t>Mobile</t>
        </is>
      </c>
      <c r="F361" s="0" t="inlineStr">
        <is>
          <t>Organic</t>
        </is>
      </c>
      <c r="G361" s="0" t="inlineStr">
        <is>
          <t>Free</t>
        </is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P361" s="0" t="n">
        <v>28.4</v>
      </c>
    </row>
    <row r="362">
      <c r="A362" s="0" t="inlineStr">
        <is>
          <t>USR-100361</t>
        </is>
      </c>
      <c r="B362" s="23" t="n">
        <v>45771</v>
      </c>
      <c r="C362" s="0" t="inlineStr">
        <is>
          <t>Control</t>
        </is>
      </c>
      <c r="D362" s="0" t="inlineStr">
        <is>
          <t>West</t>
        </is>
      </c>
      <c r="E362" s="0" t="inlineStr">
        <is>
          <t>Desktop</t>
        </is>
      </c>
      <c r="F362" s="0" t="inlineStr">
        <is>
          <t>Organic</t>
        </is>
      </c>
      <c r="G362" s="0" t="inlineStr">
        <is>
          <t>Free</t>
        </is>
      </c>
      <c r="H362" s="0" t="n">
        <v>1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P362" s="0" t="n">
        <v>65.59999999999999</v>
      </c>
    </row>
    <row r="363">
      <c r="A363" s="0" t="inlineStr">
        <is>
          <t>USR-100362</t>
        </is>
      </c>
      <c r="B363" s="23" t="n">
        <v>45729</v>
      </c>
      <c r="C363" s="0" t="inlineStr">
        <is>
          <t>Control</t>
        </is>
      </c>
      <c r="D363" s="0" t="inlineStr">
        <is>
          <t>North</t>
        </is>
      </c>
      <c r="E363" s="0" t="inlineStr">
        <is>
          <t>Mobile</t>
        </is>
      </c>
      <c r="F363" s="0" t="inlineStr">
        <is>
          <t>Social</t>
        </is>
      </c>
      <c r="G363" s="0" t="inlineStr">
        <is>
          <t>Premium</t>
        </is>
      </c>
      <c r="H363" s="0" t="n">
        <v>1</v>
      </c>
      <c r="I363" s="0" t="n">
        <v>1</v>
      </c>
      <c r="J363" s="0" t="n">
        <v>1</v>
      </c>
      <c r="K363" s="0" t="n">
        <v>0</v>
      </c>
      <c r="L363" s="0" t="n">
        <v>0</v>
      </c>
      <c r="M363" s="0" t="n">
        <v>0</v>
      </c>
      <c r="N363" s="0" t="n">
        <v>0</v>
      </c>
      <c r="P363" s="0" t="n">
        <v>54.7</v>
      </c>
    </row>
    <row r="364">
      <c r="A364" s="0" t="inlineStr">
        <is>
          <t>USR-100363</t>
        </is>
      </c>
      <c r="B364" s="23" t="n">
        <v>45687</v>
      </c>
      <c r="C364" s="0" t="inlineStr">
        <is>
          <t>Control</t>
        </is>
      </c>
      <c r="D364" s="0" t="inlineStr">
        <is>
          <t>North</t>
        </is>
      </c>
      <c r="E364" s="0" t="inlineStr">
        <is>
          <t>Mobile</t>
        </is>
      </c>
      <c r="F364" s="0" t="inlineStr">
        <is>
          <t>Social</t>
        </is>
      </c>
      <c r="G364" s="0" t="inlineStr">
        <is>
          <t>Basic</t>
        </is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P364" s="0" t="n">
        <v>36.1</v>
      </c>
    </row>
    <row r="365">
      <c r="A365" s="0" t="inlineStr">
        <is>
          <t>USR-100364</t>
        </is>
      </c>
      <c r="B365" s="23" t="n">
        <v>45785</v>
      </c>
      <c r="C365" s="0" t="inlineStr">
        <is>
          <t>Control</t>
        </is>
      </c>
      <c r="D365" s="0" t="inlineStr">
        <is>
          <t>South</t>
        </is>
      </c>
      <c r="E365" s="0" t="inlineStr">
        <is>
          <t>Mobile</t>
        </is>
      </c>
      <c r="F365" s="0" t="inlineStr">
        <is>
          <t>Social</t>
        </is>
      </c>
      <c r="G365" s="0" t="inlineStr">
        <is>
          <t>Basic</t>
        </is>
      </c>
      <c r="H365" s="0" t="n">
        <v>1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0</v>
      </c>
      <c r="N365" s="0" t="n">
        <v>0</v>
      </c>
      <c r="P365" s="0" t="n">
        <v>70.40000000000001</v>
      </c>
    </row>
    <row r="366">
      <c r="A366" s="0" t="inlineStr">
        <is>
          <t>USR-100365</t>
        </is>
      </c>
      <c r="B366" s="23" t="n">
        <v>45665</v>
      </c>
      <c r="C366" s="0" t="inlineStr">
        <is>
          <t>Control</t>
        </is>
      </c>
      <c r="D366" s="0" t="inlineStr">
        <is>
          <t>East</t>
        </is>
      </c>
      <c r="E366" s="0" t="inlineStr">
        <is>
          <t>Desktop</t>
        </is>
      </c>
      <c r="F366" s="0" t="inlineStr">
        <is>
          <t>Social</t>
        </is>
      </c>
      <c r="G366" s="0" t="inlineStr">
        <is>
          <t>Free</t>
        </is>
      </c>
      <c r="H366" s="0" t="n">
        <v>1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P366" s="0" t="n">
        <v>56.4</v>
      </c>
    </row>
    <row r="367">
      <c r="A367" s="0" t="inlineStr">
        <is>
          <t>USR-100366</t>
        </is>
      </c>
      <c r="B367" s="23" t="n">
        <v>45780</v>
      </c>
      <c r="C367" s="0" t="inlineStr">
        <is>
          <t>Control</t>
        </is>
      </c>
      <c r="D367" s="0" t="inlineStr">
        <is>
          <t>South</t>
        </is>
      </c>
      <c r="E367" s="0" t="inlineStr">
        <is>
          <t>Mobile</t>
        </is>
      </c>
      <c r="F367" s="0" t="inlineStr">
        <is>
          <t>Organic</t>
        </is>
      </c>
      <c r="G367" s="0" t="inlineStr">
        <is>
          <t>Free</t>
        </is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P367" s="0" t="n">
        <v>79.2</v>
      </c>
    </row>
    <row r="368">
      <c r="A368" s="0" t="inlineStr">
        <is>
          <t>USR-100367</t>
        </is>
      </c>
      <c r="B368" s="23" t="n">
        <v>45700</v>
      </c>
      <c r="C368" s="0" t="inlineStr">
        <is>
          <t>Control</t>
        </is>
      </c>
      <c r="D368" s="0" t="inlineStr">
        <is>
          <t>East</t>
        </is>
      </c>
      <c r="E368" s="0" t="inlineStr">
        <is>
          <t>Mobile</t>
        </is>
      </c>
      <c r="F368" s="0" t="inlineStr">
        <is>
          <t>Paid Search</t>
        </is>
      </c>
      <c r="G368" s="0" t="inlineStr">
        <is>
          <t>Free</t>
        </is>
      </c>
      <c r="H368" s="0" t="n">
        <v>1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</v>
      </c>
      <c r="N368" s="0" t="n">
        <v>0</v>
      </c>
      <c r="P368" s="0" t="n">
        <v>60.1</v>
      </c>
    </row>
    <row r="369">
      <c r="A369" s="0" t="inlineStr">
        <is>
          <t>USR-100368</t>
        </is>
      </c>
      <c r="B369" s="23" t="n">
        <v>45713</v>
      </c>
      <c r="C369" s="0" t="inlineStr">
        <is>
          <t>Control</t>
        </is>
      </c>
      <c r="D369" s="0" t="inlineStr">
        <is>
          <t>South</t>
        </is>
      </c>
      <c r="E369" s="0" t="inlineStr">
        <is>
          <t>Tablet</t>
        </is>
      </c>
      <c r="F369" s="0" t="inlineStr">
        <is>
          <t>Organic</t>
        </is>
      </c>
      <c r="G369" s="0" t="inlineStr">
        <is>
          <t>Free</t>
        </is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P369" s="0" t="n">
        <v>58</v>
      </c>
    </row>
    <row r="370">
      <c r="A370" s="0" t="inlineStr">
        <is>
          <t>USR-100369</t>
        </is>
      </c>
      <c r="B370" s="23" t="n">
        <v>45761</v>
      </c>
      <c r="C370" s="0" t="inlineStr">
        <is>
          <t>Control</t>
        </is>
      </c>
      <c r="D370" s="0" t="inlineStr">
        <is>
          <t>South</t>
        </is>
      </c>
      <c r="E370" s="0" t="inlineStr">
        <is>
          <t>Mobile</t>
        </is>
      </c>
      <c r="F370" s="0" t="inlineStr">
        <is>
          <t>Referral</t>
        </is>
      </c>
      <c r="G370" s="0" t="inlineStr">
        <is>
          <t>Free</t>
        </is>
      </c>
      <c r="H370" s="0" t="n">
        <v>1</v>
      </c>
      <c r="I370" s="0" t="n">
        <v>1</v>
      </c>
      <c r="J370" s="0" t="n">
        <v>1</v>
      </c>
      <c r="K370" s="0" t="n">
        <v>0</v>
      </c>
      <c r="L370" s="0" t="n">
        <v>0</v>
      </c>
      <c r="M370" s="0" t="n">
        <v>0</v>
      </c>
      <c r="N370" s="0" t="n">
        <v>0</v>
      </c>
      <c r="P370" s="0" t="n">
        <v>69</v>
      </c>
    </row>
    <row r="371">
      <c r="A371" s="0" t="inlineStr">
        <is>
          <t>USR-100370</t>
        </is>
      </c>
      <c r="B371" s="23" t="n">
        <v>45665</v>
      </c>
      <c r="C371" s="0" t="inlineStr">
        <is>
          <t>Control</t>
        </is>
      </c>
      <c r="D371" s="0" t="inlineStr">
        <is>
          <t>North</t>
        </is>
      </c>
      <c r="E371" s="0" t="inlineStr">
        <is>
          <t>Mobile</t>
        </is>
      </c>
      <c r="F371" s="0" t="inlineStr">
        <is>
          <t>Referral</t>
        </is>
      </c>
      <c r="G371" s="0" t="inlineStr">
        <is>
          <t>Premium</t>
        </is>
      </c>
      <c r="H371" s="0" t="n">
        <v>1</v>
      </c>
      <c r="I371" s="0" t="n">
        <v>1</v>
      </c>
      <c r="J371" s="0" t="n">
        <v>1</v>
      </c>
      <c r="K371" s="0" t="n">
        <v>0</v>
      </c>
      <c r="L371" s="0" t="n">
        <v>0</v>
      </c>
      <c r="M371" s="0" t="n">
        <v>1</v>
      </c>
      <c r="N371" s="0" t="n">
        <v>0</v>
      </c>
      <c r="P371" s="0" t="n">
        <v>80.8</v>
      </c>
    </row>
    <row r="372">
      <c r="A372" s="0" t="inlineStr">
        <is>
          <t>USR-100371</t>
        </is>
      </c>
      <c r="B372" s="23" t="n">
        <v>45730</v>
      </c>
      <c r="C372" s="0" t="inlineStr">
        <is>
          <t>Control</t>
        </is>
      </c>
      <c r="D372" s="0" t="inlineStr">
        <is>
          <t>East</t>
        </is>
      </c>
      <c r="E372" s="0" t="inlineStr">
        <is>
          <t>Mobile</t>
        </is>
      </c>
      <c r="F372" s="0" t="inlineStr">
        <is>
          <t>Email</t>
        </is>
      </c>
      <c r="G372" s="0" t="inlineStr">
        <is>
          <t>Free</t>
        </is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P372" s="0" t="n">
        <v>32.8</v>
      </c>
    </row>
    <row r="373">
      <c r="A373" s="0" t="inlineStr">
        <is>
          <t>USR-100372</t>
        </is>
      </c>
      <c r="B373" s="23" t="n">
        <v>45776</v>
      </c>
      <c r="C373" s="0" t="inlineStr">
        <is>
          <t>Control</t>
        </is>
      </c>
      <c r="D373" s="0" t="inlineStr">
        <is>
          <t>North</t>
        </is>
      </c>
      <c r="E373" s="0" t="inlineStr">
        <is>
          <t>Desktop</t>
        </is>
      </c>
      <c r="F373" s="0" t="inlineStr">
        <is>
          <t>Paid Search</t>
        </is>
      </c>
      <c r="G373" s="0" t="inlineStr">
        <is>
          <t>Premium</t>
        </is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P373" s="0" t="n">
        <v>56</v>
      </c>
    </row>
    <row r="374">
      <c r="A374" s="0" t="inlineStr">
        <is>
          <t>USR-100373</t>
        </is>
      </c>
      <c r="B374" s="23" t="n">
        <v>45778</v>
      </c>
      <c r="C374" s="0" t="inlineStr">
        <is>
          <t>Control</t>
        </is>
      </c>
      <c r="D374" s="0" t="inlineStr">
        <is>
          <t>East</t>
        </is>
      </c>
      <c r="E374" s="0" t="inlineStr">
        <is>
          <t>Desktop</t>
        </is>
      </c>
      <c r="F374" s="0" t="inlineStr">
        <is>
          <t>Social</t>
        </is>
      </c>
      <c r="G374" s="0" t="inlineStr">
        <is>
          <t>Free</t>
        </is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P374" s="0" t="n">
        <v>76.40000000000001</v>
      </c>
    </row>
    <row r="375">
      <c r="A375" s="0" t="inlineStr">
        <is>
          <t>USR-100374</t>
        </is>
      </c>
      <c r="B375" s="23" t="n">
        <v>45735</v>
      </c>
      <c r="C375" s="0" t="inlineStr">
        <is>
          <t>Control</t>
        </is>
      </c>
      <c r="D375" s="0" t="inlineStr">
        <is>
          <t>North</t>
        </is>
      </c>
      <c r="E375" s="0" t="inlineStr">
        <is>
          <t>Mobile</t>
        </is>
      </c>
      <c r="F375" s="0" t="inlineStr">
        <is>
          <t>Referral</t>
        </is>
      </c>
      <c r="G375" s="0" t="inlineStr">
        <is>
          <t>Free</t>
        </is>
      </c>
      <c r="H375" s="0" t="n">
        <v>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P375" s="0" t="n">
        <v>28.5</v>
      </c>
    </row>
    <row r="376">
      <c r="A376" s="0" t="inlineStr">
        <is>
          <t>USR-100375</t>
        </is>
      </c>
      <c r="B376" s="23" t="n">
        <v>45778</v>
      </c>
      <c r="C376" s="0" t="inlineStr">
        <is>
          <t>Control</t>
        </is>
      </c>
      <c r="D376" s="0" t="inlineStr">
        <is>
          <t>South</t>
        </is>
      </c>
      <c r="E376" s="0" t="inlineStr">
        <is>
          <t>Desktop</t>
        </is>
      </c>
      <c r="F376" s="0" t="inlineStr">
        <is>
          <t>Social</t>
        </is>
      </c>
      <c r="G376" s="0" t="inlineStr">
        <is>
          <t>Basic</t>
        </is>
      </c>
      <c r="H376" s="0" t="n">
        <v>1</v>
      </c>
      <c r="I376" s="0" t="n">
        <v>1</v>
      </c>
      <c r="J376" s="0" t="n">
        <v>1</v>
      </c>
      <c r="K376" s="0" t="n">
        <v>0</v>
      </c>
      <c r="L376" s="0" t="n">
        <v>0</v>
      </c>
      <c r="M376" s="0" t="n">
        <v>0</v>
      </c>
      <c r="N376" s="0" t="n">
        <v>0</v>
      </c>
      <c r="P376" s="0" t="n">
        <v>48.3</v>
      </c>
    </row>
    <row r="377">
      <c r="A377" s="0" t="inlineStr">
        <is>
          <t>USR-100376</t>
        </is>
      </c>
      <c r="B377" s="23" t="n">
        <v>45730</v>
      </c>
      <c r="C377" s="0" t="inlineStr">
        <is>
          <t>Control</t>
        </is>
      </c>
      <c r="D377" s="0" t="inlineStr">
        <is>
          <t>West</t>
        </is>
      </c>
      <c r="E377" s="0" t="inlineStr">
        <is>
          <t>Mobile</t>
        </is>
      </c>
      <c r="F377" s="0" t="inlineStr">
        <is>
          <t>Organic</t>
        </is>
      </c>
      <c r="G377" s="0" t="inlineStr">
        <is>
          <t>Free</t>
        </is>
      </c>
      <c r="H377" s="0" t="n">
        <v>1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P377" s="0" t="n">
        <v>43.4</v>
      </c>
    </row>
    <row r="378">
      <c r="A378" s="0" t="inlineStr">
        <is>
          <t>USR-100377</t>
        </is>
      </c>
      <c r="B378" s="23" t="n">
        <v>45739</v>
      </c>
      <c r="C378" s="0" t="inlineStr">
        <is>
          <t>Control</t>
        </is>
      </c>
      <c r="D378" s="0" t="inlineStr">
        <is>
          <t>North</t>
        </is>
      </c>
      <c r="E378" s="0" t="inlineStr">
        <is>
          <t>Mobile</t>
        </is>
      </c>
      <c r="F378" s="0" t="inlineStr">
        <is>
          <t>Paid Search</t>
        </is>
      </c>
      <c r="G378" s="0" t="inlineStr">
        <is>
          <t>Free</t>
        </is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P378" s="0" t="n">
        <v>43</v>
      </c>
    </row>
    <row r="379">
      <c r="A379" s="0" t="inlineStr">
        <is>
          <t>USR-100378</t>
        </is>
      </c>
      <c r="B379" s="23" t="n">
        <v>45696</v>
      </c>
      <c r="C379" s="0" t="inlineStr">
        <is>
          <t>Control</t>
        </is>
      </c>
      <c r="D379" s="0" t="inlineStr">
        <is>
          <t>East</t>
        </is>
      </c>
      <c r="E379" s="0" t="inlineStr">
        <is>
          <t>Mobile</t>
        </is>
      </c>
      <c r="F379" s="0" t="inlineStr">
        <is>
          <t>Referral</t>
        </is>
      </c>
      <c r="G379" s="0" t="inlineStr">
        <is>
          <t>Basic</t>
        </is>
      </c>
      <c r="H379" s="0" t="n">
        <v>1</v>
      </c>
      <c r="I379" s="0" t="n">
        <v>1</v>
      </c>
      <c r="J379" s="0" t="n">
        <v>1</v>
      </c>
      <c r="K379" s="0" t="n">
        <v>0</v>
      </c>
      <c r="L379" s="0" t="n">
        <v>0</v>
      </c>
      <c r="M379" s="0" t="n">
        <v>0</v>
      </c>
      <c r="N379" s="0" t="n">
        <v>0</v>
      </c>
      <c r="P379" s="0" t="n">
        <v>91.8</v>
      </c>
    </row>
    <row r="380">
      <c r="A380" s="0" t="inlineStr">
        <is>
          <t>USR-100379</t>
        </is>
      </c>
      <c r="B380" s="23" t="n">
        <v>45762</v>
      </c>
      <c r="C380" s="0" t="inlineStr">
        <is>
          <t>Control</t>
        </is>
      </c>
      <c r="D380" s="0" t="inlineStr">
        <is>
          <t>West</t>
        </is>
      </c>
      <c r="E380" s="0" t="inlineStr">
        <is>
          <t>Tablet</t>
        </is>
      </c>
      <c r="F380" s="0" t="inlineStr">
        <is>
          <t>Paid Search</t>
        </is>
      </c>
      <c r="G380" s="0" t="inlineStr">
        <is>
          <t>Basic</t>
        </is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0</v>
      </c>
      <c r="P380" s="0" t="n">
        <v>69.3</v>
      </c>
    </row>
    <row r="381">
      <c r="A381" s="0" t="inlineStr">
        <is>
          <t>USR-100380</t>
        </is>
      </c>
      <c r="B381" s="23" t="n">
        <v>45660</v>
      </c>
      <c r="C381" s="0" t="inlineStr">
        <is>
          <t>Control</t>
        </is>
      </c>
      <c r="D381" s="0" t="inlineStr">
        <is>
          <t>South</t>
        </is>
      </c>
      <c r="E381" s="0" t="inlineStr">
        <is>
          <t>Desktop</t>
        </is>
      </c>
      <c r="F381" s="0" t="inlineStr">
        <is>
          <t>Paid Search</t>
        </is>
      </c>
      <c r="G381" s="0" t="inlineStr">
        <is>
          <t>Basic</t>
        </is>
      </c>
      <c r="H381" s="0" t="n">
        <v>1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P381" s="0" t="n">
        <v>58.9</v>
      </c>
    </row>
    <row r="382">
      <c r="A382" s="0" t="inlineStr">
        <is>
          <t>USR-100381</t>
        </is>
      </c>
      <c r="B382" s="23" t="n">
        <v>45739</v>
      </c>
      <c r="C382" s="0" t="inlineStr">
        <is>
          <t>Control</t>
        </is>
      </c>
      <c r="D382" s="0" t="inlineStr">
        <is>
          <t>West</t>
        </is>
      </c>
      <c r="E382" s="0" t="inlineStr">
        <is>
          <t>Mobile</t>
        </is>
      </c>
      <c r="F382" s="0" t="inlineStr">
        <is>
          <t>Social</t>
        </is>
      </c>
      <c r="G382" s="0" t="inlineStr">
        <is>
          <t>Free</t>
        </is>
      </c>
      <c r="H382" s="0" t="n">
        <v>1</v>
      </c>
      <c r="I382" s="0" t="n">
        <v>1</v>
      </c>
      <c r="J382" s="0" t="n">
        <v>1</v>
      </c>
      <c r="K382" s="0" t="n">
        <v>0</v>
      </c>
      <c r="L382" s="0" t="n">
        <v>0</v>
      </c>
      <c r="M382" s="0" t="n">
        <v>0</v>
      </c>
      <c r="N382" s="0" t="n">
        <v>0</v>
      </c>
      <c r="P382" s="0" t="n">
        <v>76</v>
      </c>
    </row>
    <row r="383">
      <c r="A383" s="0" t="inlineStr">
        <is>
          <t>USR-100382</t>
        </is>
      </c>
      <c r="B383" s="23" t="n">
        <v>45804</v>
      </c>
      <c r="C383" s="0" t="inlineStr">
        <is>
          <t>Control</t>
        </is>
      </c>
      <c r="D383" s="0" t="inlineStr">
        <is>
          <t>South</t>
        </is>
      </c>
      <c r="E383" s="0" t="inlineStr">
        <is>
          <t>Mobile</t>
        </is>
      </c>
      <c r="F383" s="0" t="inlineStr">
        <is>
          <t>Referral</t>
        </is>
      </c>
      <c r="G383" s="0" t="inlineStr">
        <is>
          <t>Premium</t>
        </is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P383" s="0" t="n">
        <v>46</v>
      </c>
    </row>
    <row r="384">
      <c r="A384" s="0" t="inlineStr">
        <is>
          <t>USR-100383</t>
        </is>
      </c>
      <c r="B384" s="23" t="n">
        <v>45777</v>
      </c>
      <c r="C384" s="0" t="inlineStr">
        <is>
          <t>Control</t>
        </is>
      </c>
      <c r="D384" s="0" t="inlineStr">
        <is>
          <t>East</t>
        </is>
      </c>
      <c r="E384" s="0" t="inlineStr">
        <is>
          <t>Mobile</t>
        </is>
      </c>
      <c r="F384" s="0" t="inlineStr">
        <is>
          <t>Organic</t>
        </is>
      </c>
      <c r="G384" s="0" t="inlineStr">
        <is>
          <t>Free</t>
        </is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P384" s="0" t="n">
        <v>54.1</v>
      </c>
    </row>
    <row r="385">
      <c r="A385" s="0" t="inlineStr">
        <is>
          <t>USR-100384</t>
        </is>
      </c>
      <c r="B385" s="23" t="n">
        <v>45723</v>
      </c>
      <c r="C385" s="0" t="inlineStr">
        <is>
          <t>Control</t>
        </is>
      </c>
      <c r="D385" s="0" t="inlineStr">
        <is>
          <t>West</t>
        </is>
      </c>
      <c r="E385" s="0" t="inlineStr">
        <is>
          <t>Mobile</t>
        </is>
      </c>
      <c r="F385" s="0" t="inlineStr">
        <is>
          <t>Social</t>
        </is>
      </c>
      <c r="G385" s="0" t="inlineStr">
        <is>
          <t>Basic</t>
        </is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P385" s="0" t="n">
        <v>82.40000000000001</v>
      </c>
    </row>
    <row r="386">
      <c r="A386" s="0" t="inlineStr">
        <is>
          <t>USR-100385</t>
        </is>
      </c>
      <c r="B386" s="23" t="n">
        <v>45787</v>
      </c>
      <c r="C386" s="0" t="inlineStr">
        <is>
          <t>Control</t>
        </is>
      </c>
      <c r="D386" s="0" t="inlineStr">
        <is>
          <t>South</t>
        </is>
      </c>
      <c r="E386" s="0" t="inlineStr">
        <is>
          <t>Mobile</t>
        </is>
      </c>
      <c r="F386" s="0" t="inlineStr">
        <is>
          <t>Organic</t>
        </is>
      </c>
      <c r="G386" s="0" t="inlineStr">
        <is>
          <t>Basic</t>
        </is>
      </c>
      <c r="H386" s="0" t="n">
        <v>1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0</v>
      </c>
      <c r="N386" s="0" t="n">
        <v>0</v>
      </c>
      <c r="P386" s="0" t="n">
        <v>71.90000000000001</v>
      </c>
    </row>
    <row r="387">
      <c r="A387" s="0" t="inlineStr">
        <is>
          <t>USR-100386</t>
        </is>
      </c>
      <c r="B387" s="23" t="n">
        <v>45799</v>
      </c>
      <c r="C387" s="0" t="inlineStr">
        <is>
          <t>Control</t>
        </is>
      </c>
      <c r="D387" s="0" t="inlineStr">
        <is>
          <t>East</t>
        </is>
      </c>
      <c r="E387" s="0" t="inlineStr">
        <is>
          <t>Mobile</t>
        </is>
      </c>
      <c r="F387" s="0" t="inlineStr">
        <is>
          <t>Organic</t>
        </is>
      </c>
      <c r="G387" s="0" t="inlineStr">
        <is>
          <t>Free</t>
        </is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2</v>
      </c>
      <c r="N387" s="0" t="n">
        <v>0</v>
      </c>
      <c r="P387" s="0" t="n">
        <v>38</v>
      </c>
    </row>
    <row r="388">
      <c r="A388" s="0" t="inlineStr">
        <is>
          <t>USR-100387</t>
        </is>
      </c>
      <c r="B388" s="23" t="n">
        <v>45697</v>
      </c>
      <c r="C388" s="0" t="inlineStr">
        <is>
          <t>Control</t>
        </is>
      </c>
      <c r="D388" s="0" t="inlineStr">
        <is>
          <t>East</t>
        </is>
      </c>
      <c r="E388" s="0" t="inlineStr">
        <is>
          <t>Mobile</t>
        </is>
      </c>
      <c r="F388" s="0" t="inlineStr">
        <is>
          <t>Paid Search</t>
        </is>
      </c>
      <c r="G388" s="0" t="inlineStr">
        <is>
          <t>Free</t>
        </is>
      </c>
      <c r="H388" s="0" t="n">
        <v>1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P388" s="0" t="n">
        <v>43.7</v>
      </c>
    </row>
    <row r="389">
      <c r="A389" s="0" t="inlineStr">
        <is>
          <t>USR-100388</t>
        </is>
      </c>
      <c r="B389" s="23" t="n">
        <v>45807</v>
      </c>
      <c r="C389" s="0" t="inlineStr">
        <is>
          <t>Control</t>
        </is>
      </c>
      <c r="D389" s="0" t="inlineStr">
        <is>
          <t>West</t>
        </is>
      </c>
      <c r="E389" s="0" t="inlineStr">
        <is>
          <t>Desktop</t>
        </is>
      </c>
      <c r="F389" s="0" t="inlineStr">
        <is>
          <t>Organic</t>
        </is>
      </c>
      <c r="G389" s="0" t="inlineStr">
        <is>
          <t>Premium</t>
        </is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0</v>
      </c>
      <c r="P389" s="0" t="n">
        <v>32.2</v>
      </c>
    </row>
    <row r="390">
      <c r="A390" s="0" t="inlineStr">
        <is>
          <t>USR-100389</t>
        </is>
      </c>
      <c r="B390" s="23" t="n">
        <v>45778</v>
      </c>
      <c r="C390" s="0" t="inlineStr">
        <is>
          <t>Control</t>
        </is>
      </c>
      <c r="D390" s="0" t="inlineStr">
        <is>
          <t>South</t>
        </is>
      </c>
      <c r="E390" s="0" t="inlineStr">
        <is>
          <t>Mobile</t>
        </is>
      </c>
      <c r="F390" s="0" t="inlineStr">
        <is>
          <t>Organic</t>
        </is>
      </c>
      <c r="G390" s="0" t="inlineStr">
        <is>
          <t>Premium</t>
        </is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P390" s="0" t="n">
        <v>61</v>
      </c>
    </row>
    <row r="391">
      <c r="A391" s="0" t="inlineStr">
        <is>
          <t>USR-100390</t>
        </is>
      </c>
      <c r="B391" s="23" t="n">
        <v>45660</v>
      </c>
      <c r="C391" s="0" t="inlineStr">
        <is>
          <t>Control</t>
        </is>
      </c>
      <c r="D391" s="0" t="inlineStr">
        <is>
          <t>South</t>
        </is>
      </c>
      <c r="E391" s="0" t="inlineStr">
        <is>
          <t>Mobile</t>
        </is>
      </c>
      <c r="F391" s="0" t="inlineStr">
        <is>
          <t>Paid Search</t>
        </is>
      </c>
      <c r="G391" s="0" t="inlineStr">
        <is>
          <t>Free</t>
        </is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P391" s="0" t="n">
        <v>49</v>
      </c>
    </row>
    <row r="392">
      <c r="A392" s="0" t="inlineStr">
        <is>
          <t>USR-100391</t>
        </is>
      </c>
      <c r="B392" s="23" t="n">
        <v>45701</v>
      </c>
      <c r="C392" s="0" t="inlineStr">
        <is>
          <t>Control</t>
        </is>
      </c>
      <c r="D392" s="0" t="inlineStr">
        <is>
          <t>East</t>
        </is>
      </c>
      <c r="E392" s="0" t="inlineStr">
        <is>
          <t>Mobile</t>
        </is>
      </c>
      <c r="F392" s="0" t="inlineStr">
        <is>
          <t>Organic</t>
        </is>
      </c>
      <c r="G392" s="0" t="inlineStr">
        <is>
          <t>Free</t>
        </is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P392" s="0" t="n">
        <v>48.1</v>
      </c>
    </row>
    <row r="393">
      <c r="A393" s="0" t="inlineStr">
        <is>
          <t>USR-100392</t>
        </is>
      </c>
      <c r="B393" s="23" t="n">
        <v>45671</v>
      </c>
      <c r="C393" s="0" t="inlineStr">
        <is>
          <t>Control</t>
        </is>
      </c>
      <c r="D393" s="0" t="inlineStr">
        <is>
          <t>South</t>
        </is>
      </c>
      <c r="E393" s="0" t="inlineStr">
        <is>
          <t>Desktop</t>
        </is>
      </c>
      <c r="F393" s="0" t="inlineStr">
        <is>
          <t>Organic</t>
        </is>
      </c>
      <c r="G393" s="0" t="inlineStr">
        <is>
          <t>Free</t>
        </is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2</v>
      </c>
      <c r="N393" s="0" t="n">
        <v>0</v>
      </c>
      <c r="P393" s="0" t="n">
        <v>46.3</v>
      </c>
    </row>
    <row r="394">
      <c r="A394" s="0" t="inlineStr">
        <is>
          <t>USR-100393</t>
        </is>
      </c>
      <c r="B394" s="23" t="n">
        <v>45712</v>
      </c>
      <c r="C394" s="0" t="inlineStr">
        <is>
          <t>Control</t>
        </is>
      </c>
      <c r="D394" s="0" t="inlineStr">
        <is>
          <t>North</t>
        </is>
      </c>
      <c r="E394" s="0" t="inlineStr">
        <is>
          <t>Mobile</t>
        </is>
      </c>
      <c r="F394" s="0" t="inlineStr">
        <is>
          <t>Referral</t>
        </is>
      </c>
      <c r="G394" s="0" t="inlineStr">
        <is>
          <t>Free</t>
        </is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P394" s="0" t="n">
        <v>64</v>
      </c>
    </row>
    <row r="395">
      <c r="A395" s="0" t="inlineStr">
        <is>
          <t>USR-100394</t>
        </is>
      </c>
      <c r="B395" s="23" t="n">
        <v>45793</v>
      </c>
      <c r="C395" s="0" t="inlineStr">
        <is>
          <t>Control</t>
        </is>
      </c>
      <c r="D395" s="0" t="inlineStr">
        <is>
          <t>West</t>
        </is>
      </c>
      <c r="E395" s="0" t="inlineStr">
        <is>
          <t>Desktop</t>
        </is>
      </c>
      <c r="F395" s="0" t="inlineStr">
        <is>
          <t>Organic</t>
        </is>
      </c>
      <c r="G395" s="0" t="inlineStr">
        <is>
          <t>Basic</t>
        </is>
      </c>
      <c r="H395" s="0" t="n">
        <v>1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P395" s="0" t="n">
        <v>56.2</v>
      </c>
    </row>
    <row r="396">
      <c r="A396" s="0" t="inlineStr">
        <is>
          <t>USR-100395</t>
        </is>
      </c>
      <c r="B396" s="23" t="n">
        <v>45776</v>
      </c>
      <c r="C396" s="0" t="inlineStr">
        <is>
          <t>Control</t>
        </is>
      </c>
      <c r="D396" s="0" t="inlineStr">
        <is>
          <t>North</t>
        </is>
      </c>
      <c r="E396" s="0" t="inlineStr">
        <is>
          <t>Mobile</t>
        </is>
      </c>
      <c r="F396" s="0" t="inlineStr">
        <is>
          <t>Paid Search</t>
        </is>
      </c>
      <c r="G396" s="0" t="inlineStr">
        <is>
          <t>Free</t>
        </is>
      </c>
      <c r="H396" s="0" t="n">
        <v>1</v>
      </c>
      <c r="I396" s="0" t="n">
        <v>1</v>
      </c>
      <c r="J396" s="0" t="n">
        <v>1</v>
      </c>
      <c r="K396" s="0" t="n">
        <v>0</v>
      </c>
      <c r="L396" s="0" t="n">
        <v>0</v>
      </c>
      <c r="M396" s="0" t="n">
        <v>0</v>
      </c>
      <c r="N396" s="0" t="n">
        <v>0</v>
      </c>
      <c r="P396" s="0" t="n">
        <v>77.5</v>
      </c>
    </row>
    <row r="397">
      <c r="A397" s="0" t="inlineStr">
        <is>
          <t>USR-100396</t>
        </is>
      </c>
      <c r="B397" s="23" t="n">
        <v>45777</v>
      </c>
      <c r="C397" s="0" t="inlineStr">
        <is>
          <t>Control</t>
        </is>
      </c>
      <c r="D397" s="0" t="inlineStr">
        <is>
          <t>South</t>
        </is>
      </c>
      <c r="E397" s="0" t="inlineStr">
        <is>
          <t>Desktop</t>
        </is>
      </c>
      <c r="F397" s="0" t="inlineStr">
        <is>
          <t>Email</t>
        </is>
      </c>
      <c r="G397" s="0" t="inlineStr">
        <is>
          <t>Basic</t>
        </is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P397" s="0" t="n">
        <v>59.9</v>
      </c>
    </row>
    <row r="398">
      <c r="A398" s="0" t="inlineStr">
        <is>
          <t>USR-100397</t>
        </is>
      </c>
      <c r="B398" s="23" t="n">
        <v>45666</v>
      </c>
      <c r="C398" s="0" t="inlineStr">
        <is>
          <t>Control</t>
        </is>
      </c>
      <c r="D398" s="0" t="inlineStr">
        <is>
          <t>South</t>
        </is>
      </c>
      <c r="E398" s="0" t="inlineStr">
        <is>
          <t>Desktop</t>
        </is>
      </c>
      <c r="F398" s="0" t="inlineStr">
        <is>
          <t>Organic</t>
        </is>
      </c>
      <c r="G398" s="0" t="inlineStr">
        <is>
          <t>Free</t>
        </is>
      </c>
      <c r="H398" s="0" t="n">
        <v>1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P398" s="0" t="n">
        <v>63</v>
      </c>
    </row>
    <row r="399">
      <c r="A399" s="0" t="inlineStr">
        <is>
          <t>USR-100398</t>
        </is>
      </c>
      <c r="B399" s="23" t="n">
        <v>45772</v>
      </c>
      <c r="C399" s="0" t="inlineStr">
        <is>
          <t>Control</t>
        </is>
      </c>
      <c r="D399" s="0" t="inlineStr">
        <is>
          <t>South</t>
        </is>
      </c>
      <c r="E399" s="0" t="inlineStr">
        <is>
          <t>Mobile</t>
        </is>
      </c>
      <c r="F399" s="0" t="inlineStr">
        <is>
          <t>Organic</t>
        </is>
      </c>
      <c r="G399" s="0" t="inlineStr">
        <is>
          <t>Free</t>
        </is>
      </c>
      <c r="H399" s="0" t="n">
        <v>1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P399" s="0" t="n">
        <v>76.5</v>
      </c>
    </row>
    <row r="400">
      <c r="A400" s="0" t="inlineStr">
        <is>
          <t>USR-100399</t>
        </is>
      </c>
      <c r="B400" s="23" t="n">
        <v>45728</v>
      </c>
      <c r="C400" s="0" t="inlineStr">
        <is>
          <t>Control</t>
        </is>
      </c>
      <c r="D400" s="0" t="inlineStr">
        <is>
          <t>North</t>
        </is>
      </c>
      <c r="E400" s="0" t="inlineStr">
        <is>
          <t>Desktop</t>
        </is>
      </c>
      <c r="F400" s="0" t="inlineStr">
        <is>
          <t>Paid Search</t>
        </is>
      </c>
      <c r="G400" s="0" t="inlineStr">
        <is>
          <t>Free</t>
        </is>
      </c>
      <c r="H400" s="0" t="n">
        <v>1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P400" s="0" t="n">
        <v>39.7</v>
      </c>
    </row>
    <row r="401">
      <c r="A401" s="0" t="inlineStr">
        <is>
          <t>USR-100400</t>
        </is>
      </c>
      <c r="B401" s="23" t="n">
        <v>45736</v>
      </c>
      <c r="C401" s="0" t="inlineStr">
        <is>
          <t>Control</t>
        </is>
      </c>
      <c r="D401" s="0" t="inlineStr">
        <is>
          <t>North</t>
        </is>
      </c>
      <c r="E401" s="0" t="inlineStr">
        <is>
          <t>Mobile</t>
        </is>
      </c>
      <c r="F401" s="0" t="inlineStr">
        <is>
          <t>Organic</t>
        </is>
      </c>
      <c r="G401" s="0" t="inlineStr">
        <is>
          <t>Free</t>
        </is>
      </c>
      <c r="H401" s="0" t="n">
        <v>1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P401" s="0" t="n">
        <v>80.2</v>
      </c>
    </row>
    <row r="402">
      <c r="A402" s="0" t="inlineStr">
        <is>
          <t>USR-100401</t>
        </is>
      </c>
      <c r="B402" s="23" t="n">
        <v>45706</v>
      </c>
      <c r="C402" s="0" t="inlineStr">
        <is>
          <t>Control</t>
        </is>
      </c>
      <c r="D402" s="0" t="inlineStr">
        <is>
          <t>West</t>
        </is>
      </c>
      <c r="E402" s="0" t="inlineStr">
        <is>
          <t>Mobile</t>
        </is>
      </c>
      <c r="F402" s="0" t="inlineStr">
        <is>
          <t>Paid Search</t>
        </is>
      </c>
      <c r="G402" s="0" t="inlineStr">
        <is>
          <t>Free</t>
        </is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P402" s="0" t="n">
        <v>72.2</v>
      </c>
    </row>
    <row r="403">
      <c r="A403" s="0" t="inlineStr">
        <is>
          <t>USR-100402</t>
        </is>
      </c>
      <c r="B403" s="23" t="n">
        <v>45679</v>
      </c>
      <c r="C403" s="0" t="inlineStr">
        <is>
          <t>Control</t>
        </is>
      </c>
      <c r="D403" s="0" t="inlineStr">
        <is>
          <t>North</t>
        </is>
      </c>
      <c r="E403" s="0" t="inlineStr">
        <is>
          <t>Mobile</t>
        </is>
      </c>
      <c r="F403" s="0" t="inlineStr">
        <is>
          <t>Social</t>
        </is>
      </c>
      <c r="G403" s="0" t="inlineStr">
        <is>
          <t>Basic</t>
        </is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P403" s="0" t="n">
        <v>56</v>
      </c>
    </row>
    <row r="404">
      <c r="A404" s="0" t="inlineStr">
        <is>
          <t>USR-100403</t>
        </is>
      </c>
      <c r="B404" s="23" t="n">
        <v>45696</v>
      </c>
      <c r="C404" s="0" t="inlineStr">
        <is>
          <t>Control</t>
        </is>
      </c>
      <c r="D404" s="0" t="inlineStr">
        <is>
          <t>West</t>
        </is>
      </c>
      <c r="E404" s="0" t="inlineStr">
        <is>
          <t>Mobile</t>
        </is>
      </c>
      <c r="F404" s="0" t="inlineStr">
        <is>
          <t>Email</t>
        </is>
      </c>
      <c r="G404" s="0" t="inlineStr">
        <is>
          <t>Basic</t>
        </is>
      </c>
      <c r="H404" s="0" t="n">
        <v>1</v>
      </c>
      <c r="I404" s="0" t="n">
        <v>1</v>
      </c>
      <c r="J404" s="0" t="n">
        <v>1</v>
      </c>
      <c r="K404" s="0" t="n">
        <v>0</v>
      </c>
      <c r="L404" s="0" t="n">
        <v>0</v>
      </c>
      <c r="M404" s="0" t="n">
        <v>0</v>
      </c>
      <c r="N404" s="0" t="n">
        <v>0</v>
      </c>
      <c r="P404" s="0" t="n">
        <v>69.09999999999999</v>
      </c>
    </row>
    <row r="405">
      <c r="A405" s="0" t="inlineStr">
        <is>
          <t>USR-100404</t>
        </is>
      </c>
      <c r="B405" s="23" t="n">
        <v>45677</v>
      </c>
      <c r="C405" s="0" t="inlineStr">
        <is>
          <t>Control</t>
        </is>
      </c>
      <c r="D405" s="0" t="inlineStr">
        <is>
          <t>North</t>
        </is>
      </c>
      <c r="E405" s="0" t="inlineStr">
        <is>
          <t>Mobile</t>
        </is>
      </c>
      <c r="F405" s="0" t="inlineStr">
        <is>
          <t>Email</t>
        </is>
      </c>
      <c r="G405" s="0" t="inlineStr">
        <is>
          <t>Premium</t>
        </is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0</v>
      </c>
      <c r="P405" s="0" t="n">
        <v>70.59999999999999</v>
      </c>
    </row>
    <row r="406">
      <c r="A406" s="0" t="inlineStr">
        <is>
          <t>USR-100405</t>
        </is>
      </c>
      <c r="B406" s="23" t="n">
        <v>45769</v>
      </c>
      <c r="C406" s="0" t="inlineStr">
        <is>
          <t>Control</t>
        </is>
      </c>
      <c r="D406" s="0" t="inlineStr">
        <is>
          <t>West</t>
        </is>
      </c>
      <c r="E406" s="0" t="inlineStr">
        <is>
          <t>Desktop</t>
        </is>
      </c>
      <c r="F406" s="0" t="inlineStr">
        <is>
          <t>Referral</t>
        </is>
      </c>
      <c r="G406" s="0" t="inlineStr">
        <is>
          <t>Free</t>
        </is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P406" s="0" t="n">
        <v>57.9</v>
      </c>
    </row>
    <row r="407">
      <c r="A407" s="0" t="inlineStr">
        <is>
          <t>USR-100406</t>
        </is>
      </c>
      <c r="B407" s="23" t="n">
        <v>45679</v>
      </c>
      <c r="C407" s="0" t="inlineStr">
        <is>
          <t>Control</t>
        </is>
      </c>
      <c r="D407" s="0" t="inlineStr">
        <is>
          <t>East</t>
        </is>
      </c>
      <c r="E407" s="0" t="inlineStr">
        <is>
          <t>Mobile</t>
        </is>
      </c>
      <c r="F407" s="0" t="inlineStr">
        <is>
          <t>Organic</t>
        </is>
      </c>
      <c r="G407" s="0" t="inlineStr">
        <is>
          <t>Basic</t>
        </is>
      </c>
      <c r="H407" s="0" t="n">
        <v>1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P407" s="0" t="n">
        <v>41.4</v>
      </c>
    </row>
    <row r="408">
      <c r="A408" s="0" t="inlineStr">
        <is>
          <t>USR-100407</t>
        </is>
      </c>
      <c r="B408" s="23" t="n">
        <v>45788</v>
      </c>
      <c r="C408" s="0" t="inlineStr">
        <is>
          <t>Control</t>
        </is>
      </c>
      <c r="D408" s="0" t="inlineStr">
        <is>
          <t>West</t>
        </is>
      </c>
      <c r="E408" s="0" t="inlineStr">
        <is>
          <t>Mobile</t>
        </is>
      </c>
      <c r="F408" s="0" t="inlineStr">
        <is>
          <t>Organic</t>
        </is>
      </c>
      <c r="G408" s="0" t="inlineStr">
        <is>
          <t>Basic</t>
        </is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P408" s="0" t="n">
        <v>60.9</v>
      </c>
    </row>
    <row r="409">
      <c r="A409" s="0" t="inlineStr">
        <is>
          <t>USR-100408</t>
        </is>
      </c>
      <c r="B409" s="23" t="n">
        <v>45694</v>
      </c>
      <c r="C409" s="0" t="inlineStr">
        <is>
          <t>Control</t>
        </is>
      </c>
      <c r="D409" s="0" t="inlineStr">
        <is>
          <t>South</t>
        </is>
      </c>
      <c r="E409" s="0" t="inlineStr">
        <is>
          <t>Mobile</t>
        </is>
      </c>
      <c r="F409" s="0" t="inlineStr">
        <is>
          <t>Organic</t>
        </is>
      </c>
      <c r="G409" s="0" t="inlineStr">
        <is>
          <t>Basic</t>
        </is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0</v>
      </c>
      <c r="P409" s="0" t="n">
        <v>63.8</v>
      </c>
    </row>
    <row r="410">
      <c r="A410" s="0" t="inlineStr">
        <is>
          <t>USR-100409</t>
        </is>
      </c>
      <c r="B410" s="23" t="n">
        <v>45709</v>
      </c>
      <c r="C410" s="0" t="inlineStr">
        <is>
          <t>Control</t>
        </is>
      </c>
      <c r="D410" s="0" t="inlineStr">
        <is>
          <t>North</t>
        </is>
      </c>
      <c r="E410" s="0" t="inlineStr">
        <is>
          <t>Desktop</t>
        </is>
      </c>
      <c r="F410" s="0" t="inlineStr">
        <is>
          <t>Organic</t>
        </is>
      </c>
      <c r="G410" s="0" t="inlineStr">
        <is>
          <t>Premium</t>
        </is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P410" s="0" t="n">
        <v>79.2</v>
      </c>
    </row>
    <row r="411">
      <c r="A411" s="0" t="inlineStr">
        <is>
          <t>USR-100410</t>
        </is>
      </c>
      <c r="B411" s="23" t="n">
        <v>45670</v>
      </c>
      <c r="C411" s="0" t="inlineStr">
        <is>
          <t>Control</t>
        </is>
      </c>
      <c r="D411" s="0" t="inlineStr">
        <is>
          <t>West</t>
        </is>
      </c>
      <c r="E411" s="0" t="inlineStr">
        <is>
          <t>Mobile</t>
        </is>
      </c>
      <c r="F411" s="0" t="inlineStr">
        <is>
          <t>Email</t>
        </is>
      </c>
      <c r="G411" s="0" t="inlineStr">
        <is>
          <t>Premium</t>
        </is>
      </c>
      <c r="H411" s="0" t="n">
        <v>1</v>
      </c>
      <c r="I411" s="0" t="n">
        <v>1</v>
      </c>
      <c r="J411" s="0" t="n">
        <v>1</v>
      </c>
      <c r="K411" s="0" t="n">
        <v>0</v>
      </c>
      <c r="L411" s="0" t="n">
        <v>0</v>
      </c>
      <c r="M411" s="0" t="n">
        <v>0</v>
      </c>
      <c r="N411" s="0" t="n">
        <v>0</v>
      </c>
      <c r="P411" s="0" t="n">
        <v>53.3</v>
      </c>
    </row>
    <row r="412">
      <c r="A412" s="0" t="inlineStr">
        <is>
          <t>USR-100411</t>
        </is>
      </c>
      <c r="B412" s="23" t="n">
        <v>45723</v>
      </c>
      <c r="C412" s="0" t="inlineStr">
        <is>
          <t>Control</t>
        </is>
      </c>
      <c r="D412" s="0" t="inlineStr">
        <is>
          <t>North</t>
        </is>
      </c>
      <c r="E412" s="0" t="inlineStr">
        <is>
          <t>Mobile</t>
        </is>
      </c>
      <c r="F412" s="0" t="inlineStr">
        <is>
          <t>Referral</t>
        </is>
      </c>
      <c r="G412" s="0" t="inlineStr">
        <is>
          <t>Premium</t>
        </is>
      </c>
      <c r="H412" s="0" t="n">
        <v>1</v>
      </c>
      <c r="I412" s="0" t="n">
        <v>1</v>
      </c>
      <c r="J412" s="0" t="n">
        <v>1</v>
      </c>
      <c r="K412" s="0" t="n">
        <v>1</v>
      </c>
      <c r="L412" s="0" t="n">
        <v>2144.82</v>
      </c>
      <c r="M412" s="0" t="n">
        <v>0</v>
      </c>
      <c r="N412" s="0" t="n">
        <v>0</v>
      </c>
      <c r="O412" s="0" t="n">
        <v>6</v>
      </c>
      <c r="P412" s="0" t="n">
        <v>52.3</v>
      </c>
    </row>
    <row r="413">
      <c r="A413" s="0" t="inlineStr">
        <is>
          <t>USR-100412</t>
        </is>
      </c>
      <c r="B413" s="23" t="n">
        <v>45714</v>
      </c>
      <c r="C413" s="0" t="inlineStr">
        <is>
          <t>Control</t>
        </is>
      </c>
      <c r="D413" s="0" t="inlineStr">
        <is>
          <t>West</t>
        </is>
      </c>
      <c r="E413" s="0" t="inlineStr">
        <is>
          <t>Desktop</t>
        </is>
      </c>
      <c r="F413" s="0" t="inlineStr">
        <is>
          <t>Organic</t>
        </is>
      </c>
      <c r="G413" s="0" t="inlineStr">
        <is>
          <t>Basic</t>
        </is>
      </c>
      <c r="H413" s="0" t="n">
        <v>1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P413" s="0" t="n">
        <v>62.4</v>
      </c>
    </row>
    <row r="414">
      <c r="A414" s="0" t="inlineStr">
        <is>
          <t>USR-100413</t>
        </is>
      </c>
      <c r="B414" s="23" t="n">
        <v>45782</v>
      </c>
      <c r="C414" s="0" t="inlineStr">
        <is>
          <t>Control</t>
        </is>
      </c>
      <c r="D414" s="0" t="inlineStr">
        <is>
          <t>North</t>
        </is>
      </c>
      <c r="E414" s="0" t="inlineStr">
        <is>
          <t>Mobile</t>
        </is>
      </c>
      <c r="F414" s="0" t="inlineStr">
        <is>
          <t>Referral</t>
        </is>
      </c>
      <c r="G414" s="0" t="inlineStr">
        <is>
          <t>Premium</t>
        </is>
      </c>
      <c r="H414" s="0" t="n">
        <v>1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P414" s="0" t="n">
        <v>45.5</v>
      </c>
    </row>
    <row r="415">
      <c r="A415" s="0" t="inlineStr">
        <is>
          <t>USR-100414</t>
        </is>
      </c>
      <c r="B415" s="23" t="n">
        <v>45665</v>
      </c>
      <c r="C415" s="0" t="inlineStr">
        <is>
          <t>Control</t>
        </is>
      </c>
      <c r="D415" s="0" t="inlineStr">
        <is>
          <t>East</t>
        </is>
      </c>
      <c r="E415" s="0" t="inlineStr">
        <is>
          <t>Desktop</t>
        </is>
      </c>
      <c r="F415" s="0" t="inlineStr">
        <is>
          <t>Organic</t>
        </is>
      </c>
      <c r="G415" s="0" t="inlineStr">
        <is>
          <t>Basic</t>
        </is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0</v>
      </c>
      <c r="P415" s="0" t="n">
        <v>72.59999999999999</v>
      </c>
    </row>
    <row r="416">
      <c r="A416" s="0" t="inlineStr">
        <is>
          <t>USR-100415</t>
        </is>
      </c>
      <c r="B416" s="23" t="n">
        <v>45735</v>
      </c>
      <c r="C416" s="0" t="inlineStr">
        <is>
          <t>Control</t>
        </is>
      </c>
      <c r="D416" s="0" t="inlineStr">
        <is>
          <t>South</t>
        </is>
      </c>
      <c r="E416" s="0" t="inlineStr">
        <is>
          <t>Mobile</t>
        </is>
      </c>
      <c r="F416" s="0" t="inlineStr">
        <is>
          <t>Email</t>
        </is>
      </c>
      <c r="G416" s="0" t="inlineStr">
        <is>
          <t>Premium</t>
        </is>
      </c>
      <c r="H416" s="0" t="n">
        <v>1</v>
      </c>
      <c r="I416" s="0" t="n">
        <v>1</v>
      </c>
      <c r="J416" s="0" t="n">
        <v>1</v>
      </c>
      <c r="K416" s="0" t="n">
        <v>0</v>
      </c>
      <c r="L416" s="0" t="n">
        <v>0</v>
      </c>
      <c r="M416" s="0" t="n">
        <v>0</v>
      </c>
      <c r="N416" s="0" t="n">
        <v>0</v>
      </c>
      <c r="P416" s="0" t="n">
        <v>50.1</v>
      </c>
    </row>
    <row r="417">
      <c r="A417" s="0" t="inlineStr">
        <is>
          <t>USR-100416</t>
        </is>
      </c>
      <c r="B417" s="23" t="n">
        <v>45687</v>
      </c>
      <c r="C417" s="0" t="inlineStr">
        <is>
          <t>Control</t>
        </is>
      </c>
      <c r="D417" s="0" t="inlineStr">
        <is>
          <t>East</t>
        </is>
      </c>
      <c r="E417" s="0" t="inlineStr">
        <is>
          <t>Desktop</t>
        </is>
      </c>
      <c r="F417" s="0" t="inlineStr">
        <is>
          <t>Paid Search</t>
        </is>
      </c>
      <c r="G417" s="0" t="inlineStr">
        <is>
          <t>Free</t>
        </is>
      </c>
      <c r="H417" s="0" t="n">
        <v>1</v>
      </c>
      <c r="I417" s="0" t="n">
        <v>1</v>
      </c>
      <c r="J417" s="0" t="n">
        <v>1</v>
      </c>
      <c r="K417" s="0" t="n">
        <v>0</v>
      </c>
      <c r="L417" s="0" t="n">
        <v>0</v>
      </c>
      <c r="M417" s="0" t="n">
        <v>2</v>
      </c>
      <c r="N417" s="0" t="n">
        <v>0</v>
      </c>
      <c r="P417" s="0" t="n">
        <v>58.1</v>
      </c>
    </row>
    <row r="418">
      <c r="A418" s="0" t="inlineStr">
        <is>
          <t>USR-100417</t>
        </is>
      </c>
      <c r="B418" s="23" t="n">
        <v>45775</v>
      </c>
      <c r="C418" s="0" t="inlineStr">
        <is>
          <t>Control</t>
        </is>
      </c>
      <c r="D418" s="0" t="inlineStr">
        <is>
          <t>East</t>
        </is>
      </c>
      <c r="E418" s="0" t="inlineStr">
        <is>
          <t>Mobile</t>
        </is>
      </c>
      <c r="F418" s="0" t="inlineStr">
        <is>
          <t>Organic</t>
        </is>
      </c>
      <c r="G418" s="0" t="inlineStr">
        <is>
          <t>Basic</t>
        </is>
      </c>
      <c r="H418" s="0" t="n">
        <v>1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P418" s="0" t="n">
        <v>42.9</v>
      </c>
    </row>
    <row r="419">
      <c r="A419" s="0" t="inlineStr">
        <is>
          <t>USR-100418</t>
        </is>
      </c>
      <c r="B419" s="23" t="n">
        <v>45723</v>
      </c>
      <c r="C419" s="0" t="inlineStr">
        <is>
          <t>Control</t>
        </is>
      </c>
      <c r="D419" s="0" t="inlineStr">
        <is>
          <t>North</t>
        </is>
      </c>
      <c r="E419" s="0" t="inlineStr">
        <is>
          <t>Mobile</t>
        </is>
      </c>
      <c r="F419" s="0" t="inlineStr">
        <is>
          <t>Referral</t>
        </is>
      </c>
      <c r="G419" s="0" t="inlineStr">
        <is>
          <t>Basic</t>
        </is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P419" s="0" t="n">
        <v>69.7</v>
      </c>
    </row>
    <row r="420">
      <c r="A420" s="0" t="inlineStr">
        <is>
          <t>USR-100419</t>
        </is>
      </c>
      <c r="B420" s="23" t="n">
        <v>45754</v>
      </c>
      <c r="C420" s="0" t="inlineStr">
        <is>
          <t>Control</t>
        </is>
      </c>
      <c r="D420" s="0" t="inlineStr">
        <is>
          <t>North</t>
        </is>
      </c>
      <c r="E420" s="0" t="inlineStr">
        <is>
          <t>Desktop</t>
        </is>
      </c>
      <c r="F420" s="0" t="inlineStr">
        <is>
          <t>Organic</t>
        </is>
      </c>
      <c r="G420" s="0" t="inlineStr">
        <is>
          <t>Free</t>
        </is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P420" s="0" t="n">
        <v>63.3</v>
      </c>
    </row>
    <row r="421">
      <c r="A421" s="0" t="inlineStr">
        <is>
          <t>USR-100420</t>
        </is>
      </c>
      <c r="B421" s="23" t="n">
        <v>45785</v>
      </c>
      <c r="C421" s="0" t="inlineStr">
        <is>
          <t>Control</t>
        </is>
      </c>
      <c r="D421" s="0" t="inlineStr">
        <is>
          <t>North</t>
        </is>
      </c>
      <c r="E421" s="0" t="inlineStr">
        <is>
          <t>Desktop</t>
        </is>
      </c>
      <c r="F421" s="0" t="inlineStr">
        <is>
          <t>Organic</t>
        </is>
      </c>
      <c r="G421" s="0" t="inlineStr">
        <is>
          <t>Premium</t>
        </is>
      </c>
      <c r="H421" s="0" t="n">
        <v>1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P421" s="0" t="n">
        <v>71.2</v>
      </c>
    </row>
    <row r="422">
      <c r="A422" s="0" t="inlineStr">
        <is>
          <t>USR-100421</t>
        </is>
      </c>
      <c r="B422" s="23" t="n">
        <v>45762</v>
      </c>
      <c r="C422" s="0" t="inlineStr">
        <is>
          <t>Control</t>
        </is>
      </c>
      <c r="D422" s="0" t="inlineStr">
        <is>
          <t>South</t>
        </is>
      </c>
      <c r="E422" s="0" t="inlineStr">
        <is>
          <t>Mobile</t>
        </is>
      </c>
      <c r="F422" s="0" t="inlineStr">
        <is>
          <t>Email</t>
        </is>
      </c>
      <c r="G422" s="0" t="inlineStr">
        <is>
          <t>Free</t>
        </is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P422" s="0" t="n">
        <v>39.1</v>
      </c>
    </row>
    <row r="423">
      <c r="A423" s="0" t="inlineStr">
        <is>
          <t>USR-100422</t>
        </is>
      </c>
      <c r="B423" s="23" t="n">
        <v>45767</v>
      </c>
      <c r="C423" s="0" t="inlineStr">
        <is>
          <t>Control</t>
        </is>
      </c>
      <c r="D423" s="0" t="inlineStr">
        <is>
          <t>East</t>
        </is>
      </c>
      <c r="E423" s="0" t="inlineStr">
        <is>
          <t>Desktop</t>
        </is>
      </c>
      <c r="F423" s="0" t="inlineStr">
        <is>
          <t>Social</t>
        </is>
      </c>
      <c r="G423" s="0" t="inlineStr">
        <is>
          <t>Free</t>
        </is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P423" s="0" t="n">
        <v>42.6</v>
      </c>
    </row>
    <row r="424">
      <c r="A424" s="0" t="inlineStr">
        <is>
          <t>USR-100423</t>
        </is>
      </c>
      <c r="B424" s="23" t="n">
        <v>45807</v>
      </c>
      <c r="C424" s="0" t="inlineStr">
        <is>
          <t>Control</t>
        </is>
      </c>
      <c r="D424" s="0" t="inlineStr">
        <is>
          <t>South</t>
        </is>
      </c>
      <c r="E424" s="0" t="inlineStr">
        <is>
          <t>Tablet</t>
        </is>
      </c>
      <c r="F424" s="0" t="inlineStr">
        <is>
          <t>Organic</t>
        </is>
      </c>
      <c r="G424" s="0" t="inlineStr">
        <is>
          <t>Free</t>
        </is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P424" s="0" t="n">
        <v>74.40000000000001</v>
      </c>
    </row>
    <row r="425">
      <c r="A425" s="0" t="inlineStr">
        <is>
          <t>USR-100424</t>
        </is>
      </c>
      <c r="B425" s="23" t="n">
        <v>45701</v>
      </c>
      <c r="C425" s="0" t="inlineStr">
        <is>
          <t>Control</t>
        </is>
      </c>
      <c r="D425" s="0" t="inlineStr">
        <is>
          <t>West</t>
        </is>
      </c>
      <c r="E425" s="0" t="inlineStr">
        <is>
          <t>Mobile</t>
        </is>
      </c>
      <c r="F425" s="0" t="inlineStr">
        <is>
          <t>Referral</t>
        </is>
      </c>
      <c r="G425" s="0" t="inlineStr">
        <is>
          <t>Free</t>
        </is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P425" s="0" t="n">
        <v>55.6</v>
      </c>
    </row>
    <row r="426">
      <c r="A426" s="0" t="inlineStr">
        <is>
          <t>USR-100425</t>
        </is>
      </c>
      <c r="B426" s="23" t="n">
        <v>45775</v>
      </c>
      <c r="C426" s="0" t="inlineStr">
        <is>
          <t>Control</t>
        </is>
      </c>
      <c r="D426" s="0" t="inlineStr">
        <is>
          <t>West</t>
        </is>
      </c>
      <c r="E426" s="0" t="inlineStr">
        <is>
          <t>Mobile</t>
        </is>
      </c>
      <c r="F426" s="0" t="inlineStr">
        <is>
          <t>Social</t>
        </is>
      </c>
      <c r="G426" s="0" t="inlineStr">
        <is>
          <t>Free</t>
        </is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P426" s="0" t="n">
        <v>35.8</v>
      </c>
    </row>
    <row r="427">
      <c r="A427" s="0" t="inlineStr">
        <is>
          <t>USR-100426</t>
        </is>
      </c>
      <c r="B427" s="23" t="n">
        <v>45700</v>
      </c>
      <c r="C427" s="0" t="inlineStr">
        <is>
          <t>Control</t>
        </is>
      </c>
      <c r="D427" s="0" t="inlineStr">
        <is>
          <t>North</t>
        </is>
      </c>
      <c r="E427" s="0" t="inlineStr">
        <is>
          <t>Mobile</t>
        </is>
      </c>
      <c r="F427" s="0" t="inlineStr">
        <is>
          <t>Paid Search</t>
        </is>
      </c>
      <c r="G427" s="0" t="inlineStr">
        <is>
          <t>Basic</t>
        </is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0</v>
      </c>
      <c r="P427" s="0" t="n">
        <v>28.2</v>
      </c>
    </row>
    <row r="428">
      <c r="A428" s="0" t="inlineStr">
        <is>
          <t>USR-100427</t>
        </is>
      </c>
      <c r="B428" s="23" t="n">
        <v>45700</v>
      </c>
      <c r="C428" s="0" t="inlineStr">
        <is>
          <t>Control</t>
        </is>
      </c>
      <c r="D428" s="0" t="inlineStr">
        <is>
          <t>East</t>
        </is>
      </c>
      <c r="E428" s="0" t="inlineStr">
        <is>
          <t>Mobile</t>
        </is>
      </c>
      <c r="F428" s="0" t="inlineStr">
        <is>
          <t>Organic</t>
        </is>
      </c>
      <c r="G428" s="0" t="inlineStr">
        <is>
          <t>Free</t>
        </is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2</v>
      </c>
      <c r="N428" s="0" t="n">
        <v>0</v>
      </c>
      <c r="P428" s="0" t="n">
        <v>44.4</v>
      </c>
    </row>
    <row r="429">
      <c r="A429" s="0" t="inlineStr">
        <is>
          <t>USR-100428</t>
        </is>
      </c>
      <c r="B429" s="23" t="n">
        <v>45743</v>
      </c>
      <c r="C429" s="0" t="inlineStr">
        <is>
          <t>Control</t>
        </is>
      </c>
      <c r="D429" s="0" t="inlineStr">
        <is>
          <t>North</t>
        </is>
      </c>
      <c r="E429" s="0" t="inlineStr">
        <is>
          <t>Mobile</t>
        </is>
      </c>
      <c r="F429" s="0" t="inlineStr">
        <is>
          <t>Email</t>
        </is>
      </c>
      <c r="G429" s="0" t="inlineStr">
        <is>
          <t>Premium</t>
        </is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P429" s="0" t="n">
        <v>49.9</v>
      </c>
    </row>
    <row r="430">
      <c r="A430" s="0" t="inlineStr">
        <is>
          <t>USR-100429</t>
        </is>
      </c>
      <c r="B430" s="23" t="n">
        <v>45759</v>
      </c>
      <c r="C430" s="0" t="inlineStr">
        <is>
          <t>Control</t>
        </is>
      </c>
      <c r="D430" s="0" t="inlineStr">
        <is>
          <t>South</t>
        </is>
      </c>
      <c r="E430" s="0" t="inlineStr">
        <is>
          <t>Desktop</t>
        </is>
      </c>
      <c r="F430" s="0" t="inlineStr">
        <is>
          <t>Organic</t>
        </is>
      </c>
      <c r="G430" s="0" t="inlineStr">
        <is>
          <t>Free</t>
        </is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P430" s="0" t="n">
        <v>40.4</v>
      </c>
    </row>
    <row r="431">
      <c r="A431" s="0" t="inlineStr">
        <is>
          <t>USR-100430</t>
        </is>
      </c>
      <c r="B431" s="23" t="n">
        <v>45687</v>
      </c>
      <c r="C431" s="0" t="inlineStr">
        <is>
          <t>Control</t>
        </is>
      </c>
      <c r="D431" s="0" t="inlineStr">
        <is>
          <t>West</t>
        </is>
      </c>
      <c r="E431" s="0" t="inlineStr">
        <is>
          <t>Mobile</t>
        </is>
      </c>
      <c r="F431" s="0" t="inlineStr">
        <is>
          <t>Social</t>
        </is>
      </c>
      <c r="G431" s="0" t="inlineStr">
        <is>
          <t>Free</t>
        </is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P431" s="0" t="n">
        <v>60.4</v>
      </c>
    </row>
    <row r="432">
      <c r="A432" s="0" t="inlineStr">
        <is>
          <t>USR-100431</t>
        </is>
      </c>
      <c r="B432" s="23" t="n">
        <v>45805</v>
      </c>
      <c r="C432" s="0" t="inlineStr">
        <is>
          <t>Control</t>
        </is>
      </c>
      <c r="D432" s="0" t="inlineStr">
        <is>
          <t>West</t>
        </is>
      </c>
      <c r="E432" s="0" t="inlineStr">
        <is>
          <t>Mobile</t>
        </is>
      </c>
      <c r="F432" s="0" t="inlineStr">
        <is>
          <t>Social</t>
        </is>
      </c>
      <c r="G432" s="0" t="inlineStr">
        <is>
          <t>Premium</t>
        </is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1</v>
      </c>
      <c r="N432" s="0" t="n">
        <v>0</v>
      </c>
      <c r="P432" s="0" t="n">
        <v>52.4</v>
      </c>
    </row>
    <row r="433">
      <c r="A433" s="0" t="inlineStr">
        <is>
          <t>USR-100432</t>
        </is>
      </c>
      <c r="B433" s="23" t="n">
        <v>45778</v>
      </c>
      <c r="C433" s="0" t="inlineStr">
        <is>
          <t>Control</t>
        </is>
      </c>
      <c r="D433" s="0" t="inlineStr">
        <is>
          <t>South</t>
        </is>
      </c>
      <c r="E433" s="0" t="inlineStr">
        <is>
          <t>Mobile</t>
        </is>
      </c>
      <c r="F433" s="0" t="inlineStr">
        <is>
          <t>Organic</t>
        </is>
      </c>
      <c r="G433" s="0" t="inlineStr">
        <is>
          <t>Basic</t>
        </is>
      </c>
      <c r="H433" s="0" t="n">
        <v>1</v>
      </c>
      <c r="I433" s="0" t="n">
        <v>1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P433" s="0" t="n">
        <v>48.8</v>
      </c>
    </row>
    <row r="434">
      <c r="A434" s="0" t="inlineStr">
        <is>
          <t>USR-100433</t>
        </is>
      </c>
      <c r="B434" s="23" t="n">
        <v>45691</v>
      </c>
      <c r="C434" s="0" t="inlineStr">
        <is>
          <t>Control</t>
        </is>
      </c>
      <c r="D434" s="0" t="inlineStr">
        <is>
          <t>North</t>
        </is>
      </c>
      <c r="E434" s="0" t="inlineStr">
        <is>
          <t>Tablet</t>
        </is>
      </c>
      <c r="F434" s="0" t="inlineStr">
        <is>
          <t>Email</t>
        </is>
      </c>
      <c r="G434" s="0" t="inlineStr">
        <is>
          <t>Basic</t>
        </is>
      </c>
      <c r="H434" s="0" t="n">
        <v>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P434" s="0" t="n">
        <v>60.9</v>
      </c>
    </row>
    <row r="435">
      <c r="A435" s="0" t="inlineStr">
        <is>
          <t>USR-100434</t>
        </is>
      </c>
      <c r="B435" s="23" t="n">
        <v>45667</v>
      </c>
      <c r="C435" s="0" t="inlineStr">
        <is>
          <t>Control</t>
        </is>
      </c>
      <c r="D435" s="0" t="inlineStr">
        <is>
          <t>South</t>
        </is>
      </c>
      <c r="E435" s="0" t="inlineStr">
        <is>
          <t>Desktop</t>
        </is>
      </c>
      <c r="F435" s="0" t="inlineStr">
        <is>
          <t>Social</t>
        </is>
      </c>
      <c r="G435" s="0" t="inlineStr">
        <is>
          <t>Basic</t>
        </is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P435" s="0" t="n">
        <v>68.2</v>
      </c>
    </row>
    <row r="436">
      <c r="A436" s="0" t="inlineStr">
        <is>
          <t>USR-100435</t>
        </is>
      </c>
      <c r="B436" s="23" t="n">
        <v>45779</v>
      </c>
      <c r="C436" s="0" t="inlineStr">
        <is>
          <t>Control</t>
        </is>
      </c>
      <c r="D436" s="0" t="inlineStr">
        <is>
          <t>North</t>
        </is>
      </c>
      <c r="E436" s="0" t="inlineStr">
        <is>
          <t>Desktop</t>
        </is>
      </c>
      <c r="F436" s="0" t="inlineStr">
        <is>
          <t>Organic</t>
        </is>
      </c>
      <c r="G436" s="0" t="inlineStr">
        <is>
          <t>Basic</t>
        </is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P436" s="0" t="n">
        <v>65.59999999999999</v>
      </c>
    </row>
    <row r="437">
      <c r="A437" s="0" t="inlineStr">
        <is>
          <t>USR-100436</t>
        </is>
      </c>
      <c r="B437" s="23" t="n">
        <v>45803</v>
      </c>
      <c r="C437" s="0" t="inlineStr">
        <is>
          <t>Control</t>
        </is>
      </c>
      <c r="D437" s="0" t="inlineStr">
        <is>
          <t>North</t>
        </is>
      </c>
      <c r="E437" s="0" t="inlineStr">
        <is>
          <t>Desktop</t>
        </is>
      </c>
      <c r="F437" s="0" t="inlineStr">
        <is>
          <t>Organic</t>
        </is>
      </c>
      <c r="G437" s="0" t="inlineStr">
        <is>
          <t>Basic</t>
        </is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P437" s="0" t="n">
        <v>65.40000000000001</v>
      </c>
    </row>
    <row r="438">
      <c r="A438" s="0" t="inlineStr">
        <is>
          <t>USR-100437</t>
        </is>
      </c>
      <c r="B438" s="23" t="n">
        <v>45669</v>
      </c>
      <c r="C438" s="0" t="inlineStr">
        <is>
          <t>Control</t>
        </is>
      </c>
      <c r="D438" s="0" t="inlineStr">
        <is>
          <t>West</t>
        </is>
      </c>
      <c r="E438" s="0" t="inlineStr">
        <is>
          <t>Mobile</t>
        </is>
      </c>
      <c r="F438" s="0" t="inlineStr">
        <is>
          <t>Organic</t>
        </is>
      </c>
      <c r="G438" s="0" t="inlineStr">
        <is>
          <t>Basic</t>
        </is>
      </c>
      <c r="H438" s="0" t="n">
        <v>1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P438" s="0" t="n">
        <v>78.90000000000001</v>
      </c>
    </row>
    <row r="439">
      <c r="A439" s="0" t="inlineStr">
        <is>
          <t>USR-100438</t>
        </is>
      </c>
      <c r="B439" s="23" t="n">
        <v>45804</v>
      </c>
      <c r="C439" s="0" t="inlineStr">
        <is>
          <t>Control</t>
        </is>
      </c>
      <c r="D439" s="0" t="inlineStr">
        <is>
          <t>East</t>
        </is>
      </c>
      <c r="E439" s="0" t="inlineStr">
        <is>
          <t>Mobile</t>
        </is>
      </c>
      <c r="F439" s="0" t="inlineStr">
        <is>
          <t>Paid Search</t>
        </is>
      </c>
      <c r="G439" s="0" t="inlineStr">
        <is>
          <t>Basic</t>
        </is>
      </c>
      <c r="H439" s="0" t="n">
        <v>1</v>
      </c>
      <c r="I439" s="0" t="n">
        <v>1</v>
      </c>
      <c r="J439" s="0" t="n">
        <v>1</v>
      </c>
      <c r="K439" s="0" t="n">
        <v>0</v>
      </c>
      <c r="L439" s="0" t="n">
        <v>0</v>
      </c>
      <c r="M439" s="0" t="n">
        <v>0</v>
      </c>
      <c r="N439" s="0" t="n">
        <v>0</v>
      </c>
      <c r="P439" s="0" t="n">
        <v>78.3</v>
      </c>
    </row>
    <row r="440">
      <c r="A440" s="0" t="inlineStr">
        <is>
          <t>USR-100439</t>
        </is>
      </c>
      <c r="B440" s="23" t="n">
        <v>45799</v>
      </c>
      <c r="C440" s="0" t="inlineStr">
        <is>
          <t>Control</t>
        </is>
      </c>
      <c r="D440" s="0" t="inlineStr">
        <is>
          <t>West</t>
        </is>
      </c>
      <c r="E440" s="0" t="inlineStr">
        <is>
          <t>Desktop</t>
        </is>
      </c>
      <c r="F440" s="0" t="inlineStr">
        <is>
          <t>Email</t>
        </is>
      </c>
      <c r="G440" s="0" t="inlineStr">
        <is>
          <t>Basic</t>
        </is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P440" s="0" t="n">
        <v>49.2</v>
      </c>
    </row>
    <row r="441">
      <c r="A441" s="0" t="inlineStr">
        <is>
          <t>USR-100440</t>
        </is>
      </c>
      <c r="B441" s="23" t="n">
        <v>45748</v>
      </c>
      <c r="C441" s="0" t="inlineStr">
        <is>
          <t>Control</t>
        </is>
      </c>
      <c r="D441" s="0" t="inlineStr">
        <is>
          <t>East</t>
        </is>
      </c>
      <c r="E441" s="0" t="inlineStr">
        <is>
          <t>Mobile</t>
        </is>
      </c>
      <c r="F441" s="0" t="inlineStr">
        <is>
          <t>Social</t>
        </is>
      </c>
      <c r="G441" s="0" t="inlineStr">
        <is>
          <t>Premium</t>
        </is>
      </c>
      <c r="H441" s="0" t="n">
        <v>1</v>
      </c>
      <c r="I441" s="0" t="n">
        <v>1</v>
      </c>
      <c r="J441" s="0" t="n">
        <v>1</v>
      </c>
      <c r="K441" s="0" t="n">
        <v>1</v>
      </c>
      <c r="L441" s="0" t="n">
        <v>1518.83</v>
      </c>
      <c r="M441" s="0" t="n">
        <v>0</v>
      </c>
      <c r="N441" s="0" t="n">
        <v>0</v>
      </c>
      <c r="O441" s="0" t="n">
        <v>9</v>
      </c>
      <c r="P441" s="0" t="n">
        <v>32.2</v>
      </c>
    </row>
    <row r="442">
      <c r="A442" s="0" t="inlineStr">
        <is>
          <t>USR-100441</t>
        </is>
      </c>
      <c r="B442" s="23" t="n">
        <v>45679</v>
      </c>
      <c r="C442" s="0" t="inlineStr">
        <is>
          <t>Control</t>
        </is>
      </c>
      <c r="D442" s="0" t="inlineStr">
        <is>
          <t>North</t>
        </is>
      </c>
      <c r="E442" s="0" t="inlineStr">
        <is>
          <t>Mobile</t>
        </is>
      </c>
      <c r="F442" s="0" t="inlineStr">
        <is>
          <t>Paid Search</t>
        </is>
      </c>
      <c r="G442" s="0" t="inlineStr">
        <is>
          <t>Basic</t>
        </is>
      </c>
      <c r="H442" s="0" t="n">
        <v>1</v>
      </c>
      <c r="I442" s="0" t="n">
        <v>1</v>
      </c>
      <c r="J442" s="0" t="n">
        <v>1</v>
      </c>
      <c r="K442" s="0" t="n">
        <v>0</v>
      </c>
      <c r="L442" s="0" t="n">
        <v>0</v>
      </c>
      <c r="M442" s="0" t="n">
        <v>0</v>
      </c>
      <c r="N442" s="0" t="n">
        <v>0</v>
      </c>
      <c r="P442" s="0" t="n">
        <v>46.3</v>
      </c>
    </row>
    <row r="443">
      <c r="A443" s="0" t="inlineStr">
        <is>
          <t>USR-100442</t>
        </is>
      </c>
      <c r="B443" s="23" t="n">
        <v>45801</v>
      </c>
      <c r="C443" s="0" t="inlineStr">
        <is>
          <t>Control</t>
        </is>
      </c>
      <c r="D443" s="0" t="inlineStr">
        <is>
          <t>East</t>
        </is>
      </c>
      <c r="E443" s="0" t="inlineStr">
        <is>
          <t>Mobile</t>
        </is>
      </c>
      <c r="F443" s="0" t="inlineStr">
        <is>
          <t>Paid Search</t>
        </is>
      </c>
      <c r="G443" s="0" t="inlineStr">
        <is>
          <t>Basic</t>
        </is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P443" s="0" t="n">
        <v>55.7</v>
      </c>
    </row>
    <row r="444">
      <c r="A444" s="0" t="inlineStr">
        <is>
          <t>USR-100443</t>
        </is>
      </c>
      <c r="B444" s="23" t="n">
        <v>45772</v>
      </c>
      <c r="C444" s="0" t="inlineStr">
        <is>
          <t>Control</t>
        </is>
      </c>
      <c r="D444" s="0" t="inlineStr">
        <is>
          <t>South</t>
        </is>
      </c>
      <c r="E444" s="0" t="inlineStr">
        <is>
          <t>Mobile</t>
        </is>
      </c>
      <c r="F444" s="0" t="inlineStr">
        <is>
          <t>Social</t>
        </is>
      </c>
      <c r="G444" s="0" t="inlineStr">
        <is>
          <t>Free</t>
        </is>
      </c>
      <c r="H444" s="0" t="n">
        <v>1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P444" s="0" t="n">
        <v>44.5</v>
      </c>
    </row>
    <row r="445">
      <c r="A445" s="0" t="inlineStr">
        <is>
          <t>USR-100444</t>
        </is>
      </c>
      <c r="B445" s="23" t="n">
        <v>45759</v>
      </c>
      <c r="C445" s="0" t="inlineStr">
        <is>
          <t>Control</t>
        </is>
      </c>
      <c r="D445" s="0" t="inlineStr">
        <is>
          <t>West</t>
        </is>
      </c>
      <c r="E445" s="0" t="inlineStr">
        <is>
          <t>Desktop</t>
        </is>
      </c>
      <c r="F445" s="0" t="inlineStr">
        <is>
          <t>Referral</t>
        </is>
      </c>
      <c r="G445" s="0" t="inlineStr">
        <is>
          <t>Free</t>
        </is>
      </c>
      <c r="H445" s="0" t="n">
        <v>1</v>
      </c>
      <c r="I445" s="0" t="n">
        <v>1</v>
      </c>
      <c r="J445" s="0" t="n">
        <v>1</v>
      </c>
      <c r="K445" s="0" t="n">
        <v>0</v>
      </c>
      <c r="L445" s="0" t="n">
        <v>0</v>
      </c>
      <c r="M445" s="0" t="n">
        <v>1</v>
      </c>
      <c r="N445" s="0" t="n">
        <v>0</v>
      </c>
      <c r="P445" s="0" t="n">
        <v>47.9</v>
      </c>
    </row>
    <row r="446">
      <c r="A446" s="0" t="inlineStr">
        <is>
          <t>USR-100445</t>
        </is>
      </c>
      <c r="B446" s="23" t="n">
        <v>45770</v>
      </c>
      <c r="C446" s="0" t="inlineStr">
        <is>
          <t>Control</t>
        </is>
      </c>
      <c r="D446" s="0" t="inlineStr">
        <is>
          <t>South</t>
        </is>
      </c>
      <c r="E446" s="0" t="inlineStr">
        <is>
          <t>Mobile</t>
        </is>
      </c>
      <c r="F446" s="0" t="inlineStr">
        <is>
          <t>Organic</t>
        </is>
      </c>
      <c r="G446" s="0" t="inlineStr">
        <is>
          <t>Premium</t>
        </is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P446" s="0" t="n">
        <v>43.9</v>
      </c>
    </row>
    <row r="447">
      <c r="A447" s="0" t="inlineStr">
        <is>
          <t>USR-100446</t>
        </is>
      </c>
      <c r="B447" s="23" t="n">
        <v>45746</v>
      </c>
      <c r="C447" s="0" t="inlineStr">
        <is>
          <t>Control</t>
        </is>
      </c>
      <c r="D447" s="0" t="inlineStr">
        <is>
          <t>North</t>
        </is>
      </c>
      <c r="E447" s="0" t="inlineStr">
        <is>
          <t>Desktop</t>
        </is>
      </c>
      <c r="F447" s="0" t="inlineStr">
        <is>
          <t>Referral</t>
        </is>
      </c>
      <c r="G447" s="0" t="inlineStr">
        <is>
          <t>Free</t>
        </is>
      </c>
      <c r="H447" s="0" t="n">
        <v>1</v>
      </c>
      <c r="I447" s="0" t="n">
        <v>1</v>
      </c>
      <c r="J447" s="0" t="n">
        <v>1</v>
      </c>
      <c r="K447" s="0" t="n">
        <v>0</v>
      </c>
      <c r="L447" s="0" t="n">
        <v>0</v>
      </c>
      <c r="M447" s="0" t="n">
        <v>1</v>
      </c>
      <c r="N447" s="0" t="n">
        <v>0</v>
      </c>
      <c r="P447" s="0" t="n">
        <v>67.7</v>
      </c>
    </row>
    <row r="448">
      <c r="A448" s="0" t="inlineStr">
        <is>
          <t>USR-100447</t>
        </is>
      </c>
      <c r="B448" s="23" t="n">
        <v>45675</v>
      </c>
      <c r="C448" s="0" t="inlineStr">
        <is>
          <t>Control</t>
        </is>
      </c>
      <c r="D448" s="0" t="inlineStr">
        <is>
          <t>East</t>
        </is>
      </c>
      <c r="E448" s="0" t="inlineStr">
        <is>
          <t>Mobile</t>
        </is>
      </c>
      <c r="F448" s="0" t="inlineStr">
        <is>
          <t>Referral</t>
        </is>
      </c>
      <c r="G448" s="0" t="inlineStr">
        <is>
          <t>Basic</t>
        </is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P448" s="0" t="n">
        <v>43.7</v>
      </c>
    </row>
    <row r="449">
      <c r="A449" s="0" t="inlineStr">
        <is>
          <t>USR-100448</t>
        </is>
      </c>
      <c r="B449" s="23" t="n">
        <v>45756</v>
      </c>
      <c r="C449" s="0" t="inlineStr">
        <is>
          <t>Control</t>
        </is>
      </c>
      <c r="D449" s="0" t="inlineStr">
        <is>
          <t>East</t>
        </is>
      </c>
      <c r="E449" s="0" t="inlineStr">
        <is>
          <t>Mobile</t>
        </is>
      </c>
      <c r="F449" s="0" t="inlineStr">
        <is>
          <t>Organic</t>
        </is>
      </c>
      <c r="G449" s="0" t="inlineStr">
        <is>
          <t>Free</t>
        </is>
      </c>
      <c r="H449" s="0" t="n">
        <v>1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P449" s="0" t="n">
        <v>68.8</v>
      </c>
    </row>
    <row r="450">
      <c r="A450" s="0" t="inlineStr">
        <is>
          <t>USR-100449</t>
        </is>
      </c>
      <c r="B450" s="23" t="n">
        <v>45668</v>
      </c>
      <c r="C450" s="0" t="inlineStr">
        <is>
          <t>Control</t>
        </is>
      </c>
      <c r="D450" s="0" t="inlineStr">
        <is>
          <t>West</t>
        </is>
      </c>
      <c r="E450" s="0" t="inlineStr">
        <is>
          <t>Mobile</t>
        </is>
      </c>
      <c r="F450" s="0" t="inlineStr">
        <is>
          <t>Organic</t>
        </is>
      </c>
      <c r="G450" s="0" t="inlineStr">
        <is>
          <t>Free</t>
        </is>
      </c>
      <c r="H450" s="0" t="n">
        <v>1</v>
      </c>
      <c r="I450" s="0" t="n">
        <v>1</v>
      </c>
      <c r="J450" s="0" t="n">
        <v>1</v>
      </c>
      <c r="K450" s="0" t="n">
        <v>0</v>
      </c>
      <c r="L450" s="0" t="n">
        <v>0</v>
      </c>
      <c r="M450" s="0" t="n">
        <v>0</v>
      </c>
      <c r="N450" s="0" t="n">
        <v>0</v>
      </c>
      <c r="P450" s="0" t="n">
        <v>59.2</v>
      </c>
    </row>
    <row r="451">
      <c r="A451" s="0" t="inlineStr">
        <is>
          <t>USR-100450</t>
        </is>
      </c>
      <c r="B451" s="23" t="n">
        <v>45721</v>
      </c>
      <c r="C451" s="0" t="inlineStr">
        <is>
          <t>Control</t>
        </is>
      </c>
      <c r="D451" s="0" t="inlineStr">
        <is>
          <t>East</t>
        </is>
      </c>
      <c r="E451" s="0" t="inlineStr">
        <is>
          <t>Mobile</t>
        </is>
      </c>
      <c r="F451" s="0" t="inlineStr">
        <is>
          <t>Paid Search</t>
        </is>
      </c>
      <c r="G451" s="0" t="inlineStr">
        <is>
          <t>Free</t>
        </is>
      </c>
      <c r="H451" s="0" t="n">
        <v>1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P451" s="0" t="n">
        <v>48.6</v>
      </c>
    </row>
    <row r="452">
      <c r="A452" s="0" t="inlineStr">
        <is>
          <t>USR-100451</t>
        </is>
      </c>
      <c r="B452" s="23" t="n">
        <v>45705</v>
      </c>
      <c r="C452" s="0" t="inlineStr">
        <is>
          <t>Control</t>
        </is>
      </c>
      <c r="D452" s="0" t="inlineStr">
        <is>
          <t>North</t>
        </is>
      </c>
      <c r="E452" s="0" t="inlineStr">
        <is>
          <t>Tablet</t>
        </is>
      </c>
      <c r="F452" s="0" t="inlineStr">
        <is>
          <t>Social</t>
        </is>
      </c>
      <c r="G452" s="0" t="inlineStr">
        <is>
          <t>Free</t>
        </is>
      </c>
      <c r="H452" s="0" t="n">
        <v>1</v>
      </c>
      <c r="I452" s="0" t="n">
        <v>1</v>
      </c>
      <c r="J452" s="0" t="n">
        <v>1</v>
      </c>
      <c r="K452" s="0" t="n">
        <v>0</v>
      </c>
      <c r="L452" s="0" t="n">
        <v>0</v>
      </c>
      <c r="M452" s="0" t="n">
        <v>0</v>
      </c>
      <c r="N452" s="0" t="n">
        <v>0</v>
      </c>
      <c r="P452" s="0" t="n">
        <v>56.9</v>
      </c>
    </row>
    <row r="453">
      <c r="A453" s="0" t="inlineStr">
        <is>
          <t>USR-100452</t>
        </is>
      </c>
      <c r="B453" s="23" t="n">
        <v>45784</v>
      </c>
      <c r="C453" s="0" t="inlineStr">
        <is>
          <t>Control</t>
        </is>
      </c>
      <c r="D453" s="0" t="inlineStr">
        <is>
          <t>North</t>
        </is>
      </c>
      <c r="E453" s="0" t="inlineStr">
        <is>
          <t>Desktop</t>
        </is>
      </c>
      <c r="F453" s="0" t="inlineStr">
        <is>
          <t>Paid Search</t>
        </is>
      </c>
      <c r="G453" s="0" t="inlineStr">
        <is>
          <t>Free</t>
        </is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P453" s="0" t="n">
        <v>55.8</v>
      </c>
    </row>
    <row r="454">
      <c r="A454" s="0" t="inlineStr">
        <is>
          <t>USR-100453</t>
        </is>
      </c>
      <c r="B454" s="23" t="n">
        <v>45757</v>
      </c>
      <c r="C454" s="0" t="inlineStr">
        <is>
          <t>Control</t>
        </is>
      </c>
      <c r="D454" s="0" t="inlineStr">
        <is>
          <t>East</t>
        </is>
      </c>
      <c r="E454" s="0" t="inlineStr">
        <is>
          <t>Mobile</t>
        </is>
      </c>
      <c r="F454" s="0" t="inlineStr">
        <is>
          <t>Paid Search</t>
        </is>
      </c>
      <c r="G454" s="0" t="inlineStr">
        <is>
          <t>Premium</t>
        </is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P454" s="0" t="n">
        <v>63.3</v>
      </c>
    </row>
    <row r="455">
      <c r="A455" s="0" t="inlineStr">
        <is>
          <t>USR-100454</t>
        </is>
      </c>
      <c r="B455" s="23" t="n">
        <v>45768</v>
      </c>
      <c r="C455" s="0" t="inlineStr">
        <is>
          <t>Control</t>
        </is>
      </c>
      <c r="D455" s="0" t="inlineStr">
        <is>
          <t>North</t>
        </is>
      </c>
      <c r="E455" s="0" t="inlineStr">
        <is>
          <t>Mobile</t>
        </is>
      </c>
      <c r="F455" s="0" t="inlineStr">
        <is>
          <t>Social</t>
        </is>
      </c>
      <c r="G455" s="0" t="inlineStr">
        <is>
          <t>Free</t>
        </is>
      </c>
      <c r="H455" s="0" t="n">
        <v>1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P455" s="0" t="n">
        <v>52.2</v>
      </c>
    </row>
    <row r="456">
      <c r="A456" s="0" t="inlineStr">
        <is>
          <t>USR-100455</t>
        </is>
      </c>
      <c r="B456" s="23" t="n">
        <v>45713</v>
      </c>
      <c r="C456" s="0" t="inlineStr">
        <is>
          <t>Control</t>
        </is>
      </c>
      <c r="D456" s="0" t="inlineStr">
        <is>
          <t>South</t>
        </is>
      </c>
      <c r="E456" s="0" t="inlineStr">
        <is>
          <t>Tablet</t>
        </is>
      </c>
      <c r="F456" s="0" t="inlineStr">
        <is>
          <t>Unknown</t>
        </is>
      </c>
      <c r="G456" s="0" t="inlineStr">
        <is>
          <t>Free</t>
        </is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P456" s="0" t="n">
        <v>51.5</v>
      </c>
    </row>
    <row r="457">
      <c r="A457" s="0" t="inlineStr">
        <is>
          <t>USR-100456</t>
        </is>
      </c>
      <c r="B457" s="23" t="n">
        <v>45791</v>
      </c>
      <c r="C457" s="0" t="inlineStr">
        <is>
          <t>Control</t>
        </is>
      </c>
      <c r="D457" s="0" t="inlineStr">
        <is>
          <t>East</t>
        </is>
      </c>
      <c r="E457" s="0" t="inlineStr">
        <is>
          <t>Desktop</t>
        </is>
      </c>
      <c r="F457" s="0" t="inlineStr">
        <is>
          <t>Organic</t>
        </is>
      </c>
      <c r="G457" s="0" t="inlineStr">
        <is>
          <t>Free</t>
        </is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P457" s="0" t="n">
        <v>50.3</v>
      </c>
    </row>
    <row r="458">
      <c r="A458" s="0" t="inlineStr">
        <is>
          <t>USR-100457</t>
        </is>
      </c>
      <c r="B458" s="23" t="n">
        <v>45726</v>
      </c>
      <c r="C458" s="0" t="inlineStr">
        <is>
          <t>Control</t>
        </is>
      </c>
      <c r="D458" s="0" t="inlineStr">
        <is>
          <t>North</t>
        </is>
      </c>
      <c r="E458" s="0" t="inlineStr">
        <is>
          <t>Mobile</t>
        </is>
      </c>
      <c r="F458" s="0" t="inlineStr">
        <is>
          <t>Email</t>
        </is>
      </c>
      <c r="G458" s="0" t="inlineStr">
        <is>
          <t>Basic</t>
        </is>
      </c>
      <c r="H458" s="0" t="n">
        <v>1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1</v>
      </c>
      <c r="N458" s="0" t="n">
        <v>0</v>
      </c>
      <c r="P458" s="0" t="n">
        <v>35.4</v>
      </c>
    </row>
    <row r="459">
      <c r="A459" s="0" t="inlineStr">
        <is>
          <t>USR-100458</t>
        </is>
      </c>
      <c r="B459" s="23" t="n">
        <v>45688</v>
      </c>
      <c r="C459" s="0" t="inlineStr">
        <is>
          <t>Control</t>
        </is>
      </c>
      <c r="D459" s="0" t="inlineStr">
        <is>
          <t>West</t>
        </is>
      </c>
      <c r="E459" s="0" t="inlineStr">
        <is>
          <t>Desktop</t>
        </is>
      </c>
      <c r="F459" s="0" t="inlineStr">
        <is>
          <t>Organic</t>
        </is>
      </c>
      <c r="G459" s="0" t="inlineStr">
        <is>
          <t>Premium</t>
        </is>
      </c>
      <c r="H459" s="0" t="n">
        <v>1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0</v>
      </c>
      <c r="P459" s="0" t="n">
        <v>54.1</v>
      </c>
    </row>
    <row r="460">
      <c r="A460" s="0" t="inlineStr">
        <is>
          <t>USR-100459</t>
        </is>
      </c>
      <c r="B460" s="23" t="n">
        <v>45674</v>
      </c>
      <c r="C460" s="0" t="inlineStr">
        <is>
          <t>Control</t>
        </is>
      </c>
      <c r="D460" s="0" t="inlineStr">
        <is>
          <t>South</t>
        </is>
      </c>
      <c r="E460" s="0" t="inlineStr">
        <is>
          <t>Mobile</t>
        </is>
      </c>
      <c r="F460" s="0" t="inlineStr">
        <is>
          <t>Organic</t>
        </is>
      </c>
      <c r="G460" s="0" t="inlineStr">
        <is>
          <t>Premium</t>
        </is>
      </c>
      <c r="H460" s="0" t="n">
        <v>1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P460" s="0" t="n">
        <v>56.2</v>
      </c>
    </row>
    <row r="461">
      <c r="A461" s="0" t="inlineStr">
        <is>
          <t>USR-100460</t>
        </is>
      </c>
      <c r="B461" s="23" t="n">
        <v>45728</v>
      </c>
      <c r="C461" s="0" t="inlineStr">
        <is>
          <t>Control</t>
        </is>
      </c>
      <c r="D461" s="0" t="inlineStr">
        <is>
          <t>South</t>
        </is>
      </c>
      <c r="E461" s="0" t="inlineStr">
        <is>
          <t>Mobile</t>
        </is>
      </c>
      <c r="F461" s="0" t="inlineStr">
        <is>
          <t>Paid Search</t>
        </is>
      </c>
      <c r="G461" s="0" t="inlineStr">
        <is>
          <t>Free</t>
        </is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3</v>
      </c>
      <c r="N461" s="0" t="n">
        <v>0</v>
      </c>
      <c r="P461" s="0" t="n">
        <v>43.7</v>
      </c>
    </row>
    <row r="462">
      <c r="A462" s="0" t="inlineStr">
        <is>
          <t>USR-100461</t>
        </is>
      </c>
      <c r="B462" s="23" t="n">
        <v>45716</v>
      </c>
      <c r="C462" s="0" t="inlineStr">
        <is>
          <t>Control</t>
        </is>
      </c>
      <c r="D462" s="0" t="inlineStr">
        <is>
          <t>West</t>
        </is>
      </c>
      <c r="E462" s="0" t="inlineStr">
        <is>
          <t>Desktop</t>
        </is>
      </c>
      <c r="F462" s="0" t="inlineStr">
        <is>
          <t>Organic</t>
        </is>
      </c>
      <c r="G462" s="0" t="inlineStr">
        <is>
          <t>Premium</t>
        </is>
      </c>
      <c r="H462" s="0" t="n">
        <v>1</v>
      </c>
      <c r="I462" s="0" t="n">
        <v>1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P462" s="0" t="n">
        <v>51.3</v>
      </c>
    </row>
    <row r="463">
      <c r="A463" s="0" t="inlineStr">
        <is>
          <t>USR-100462</t>
        </is>
      </c>
      <c r="B463" s="23" t="n">
        <v>45796</v>
      </c>
      <c r="C463" s="0" t="inlineStr">
        <is>
          <t>Control</t>
        </is>
      </c>
      <c r="D463" s="0" t="inlineStr">
        <is>
          <t>North</t>
        </is>
      </c>
      <c r="E463" s="0" t="inlineStr">
        <is>
          <t>Unknown</t>
        </is>
      </c>
      <c r="F463" s="0" t="inlineStr">
        <is>
          <t>Organic</t>
        </is>
      </c>
      <c r="G463" s="0" t="inlineStr">
        <is>
          <t>Basic</t>
        </is>
      </c>
      <c r="H463" s="0" t="n">
        <v>1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P463" s="0" t="n">
        <v>50.5</v>
      </c>
    </row>
    <row r="464">
      <c r="A464" s="0" t="inlineStr">
        <is>
          <t>USR-100463</t>
        </is>
      </c>
      <c r="B464" s="23" t="n">
        <v>45711</v>
      </c>
      <c r="C464" s="0" t="inlineStr">
        <is>
          <t>Control</t>
        </is>
      </c>
      <c r="D464" s="0" t="inlineStr">
        <is>
          <t>North</t>
        </is>
      </c>
      <c r="E464" s="0" t="inlineStr">
        <is>
          <t>Mobile</t>
        </is>
      </c>
      <c r="F464" s="0" t="inlineStr">
        <is>
          <t>Referral</t>
        </is>
      </c>
      <c r="G464" s="0" t="inlineStr">
        <is>
          <t>Basic</t>
        </is>
      </c>
      <c r="H464" s="0" t="n">
        <v>1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P464" s="0" t="n">
        <v>57.3</v>
      </c>
    </row>
    <row r="465">
      <c r="A465" s="0" t="inlineStr">
        <is>
          <t>USR-100464</t>
        </is>
      </c>
      <c r="B465" s="23" t="n">
        <v>45708</v>
      </c>
      <c r="C465" s="0" t="inlineStr">
        <is>
          <t>Control</t>
        </is>
      </c>
      <c r="D465" s="0" t="inlineStr">
        <is>
          <t>West</t>
        </is>
      </c>
      <c r="E465" s="0" t="inlineStr">
        <is>
          <t>Desktop</t>
        </is>
      </c>
      <c r="F465" s="0" t="inlineStr">
        <is>
          <t>Organic</t>
        </is>
      </c>
      <c r="G465" s="0" t="inlineStr">
        <is>
          <t>Free</t>
        </is>
      </c>
      <c r="H465" s="0" t="n">
        <v>1</v>
      </c>
      <c r="I465" s="0" t="n">
        <v>1</v>
      </c>
      <c r="J465" s="0" t="n">
        <v>1</v>
      </c>
      <c r="K465" s="0" t="n">
        <v>0</v>
      </c>
      <c r="L465" s="0" t="n">
        <v>0</v>
      </c>
      <c r="M465" s="0" t="n">
        <v>0</v>
      </c>
      <c r="N465" s="0" t="n">
        <v>0</v>
      </c>
      <c r="P465" s="0" t="n">
        <v>58.4</v>
      </c>
    </row>
    <row r="466">
      <c r="A466" s="0" t="inlineStr">
        <is>
          <t>USR-100465</t>
        </is>
      </c>
      <c r="B466" s="23" t="n">
        <v>45759</v>
      </c>
      <c r="C466" s="0" t="inlineStr">
        <is>
          <t>Control</t>
        </is>
      </c>
      <c r="D466" s="0" t="inlineStr">
        <is>
          <t>North</t>
        </is>
      </c>
      <c r="E466" s="0" t="inlineStr">
        <is>
          <t>Mobile</t>
        </is>
      </c>
      <c r="F466" s="0" t="inlineStr">
        <is>
          <t>Unknown</t>
        </is>
      </c>
      <c r="G466" s="0" t="inlineStr">
        <is>
          <t>Free</t>
        </is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P466" s="0" t="n">
        <v>56.5</v>
      </c>
    </row>
    <row r="467">
      <c r="A467" s="0" t="inlineStr">
        <is>
          <t>USR-100466</t>
        </is>
      </c>
      <c r="B467" s="23" t="n">
        <v>45665</v>
      </c>
      <c r="C467" s="0" t="inlineStr">
        <is>
          <t>Control</t>
        </is>
      </c>
      <c r="D467" s="0" t="inlineStr">
        <is>
          <t>West</t>
        </is>
      </c>
      <c r="E467" s="0" t="inlineStr">
        <is>
          <t>Mobile</t>
        </is>
      </c>
      <c r="F467" s="0" t="inlineStr">
        <is>
          <t>Email</t>
        </is>
      </c>
      <c r="G467" s="0" t="inlineStr">
        <is>
          <t>Free</t>
        </is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P467" s="0" t="n">
        <v>69.59999999999999</v>
      </c>
    </row>
    <row r="468">
      <c r="A468" s="0" t="inlineStr">
        <is>
          <t>USR-100467</t>
        </is>
      </c>
      <c r="B468" s="23" t="n">
        <v>45701</v>
      </c>
      <c r="C468" s="0" t="inlineStr">
        <is>
          <t>Control</t>
        </is>
      </c>
      <c r="D468" s="0" t="inlineStr">
        <is>
          <t>West</t>
        </is>
      </c>
      <c r="E468" s="0" t="inlineStr">
        <is>
          <t>Mobile</t>
        </is>
      </c>
      <c r="F468" s="0" t="inlineStr">
        <is>
          <t>Organic</t>
        </is>
      </c>
      <c r="G468" s="0" t="inlineStr">
        <is>
          <t>Basic</t>
        </is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P468" s="0" t="n">
        <v>6.2</v>
      </c>
    </row>
    <row r="469">
      <c r="A469" s="0" t="inlineStr">
        <is>
          <t>USR-100468</t>
        </is>
      </c>
      <c r="B469" s="23" t="n">
        <v>45798</v>
      </c>
      <c r="C469" s="0" t="inlineStr">
        <is>
          <t>Control</t>
        </is>
      </c>
      <c r="D469" s="0" t="inlineStr">
        <is>
          <t>East</t>
        </is>
      </c>
      <c r="E469" s="0" t="inlineStr">
        <is>
          <t>Desktop</t>
        </is>
      </c>
      <c r="F469" s="0" t="inlineStr">
        <is>
          <t>Email</t>
        </is>
      </c>
      <c r="G469" s="0" t="inlineStr">
        <is>
          <t>Free</t>
        </is>
      </c>
      <c r="H469" s="0" t="n">
        <v>1</v>
      </c>
      <c r="I469" s="0" t="n">
        <v>1</v>
      </c>
      <c r="J469" s="0" t="n">
        <v>1</v>
      </c>
      <c r="K469" s="0" t="n">
        <v>0</v>
      </c>
      <c r="L469" s="0" t="n">
        <v>0</v>
      </c>
      <c r="M469" s="0" t="n">
        <v>0</v>
      </c>
      <c r="N469" s="0" t="n">
        <v>0</v>
      </c>
      <c r="P469" s="0" t="n">
        <v>54.3</v>
      </c>
    </row>
    <row r="470">
      <c r="A470" s="0" t="inlineStr">
        <is>
          <t>USR-100469</t>
        </is>
      </c>
      <c r="B470" s="23" t="n">
        <v>45807</v>
      </c>
      <c r="C470" s="0" t="inlineStr">
        <is>
          <t>Control</t>
        </is>
      </c>
      <c r="D470" s="0" t="inlineStr">
        <is>
          <t>North</t>
        </is>
      </c>
      <c r="E470" s="0" t="inlineStr">
        <is>
          <t>Mobile</t>
        </is>
      </c>
      <c r="F470" s="0" t="inlineStr">
        <is>
          <t>Organic</t>
        </is>
      </c>
      <c r="G470" s="0" t="inlineStr">
        <is>
          <t>Basic</t>
        </is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P470" s="0" t="n">
        <v>59.8</v>
      </c>
    </row>
    <row r="471">
      <c r="A471" s="0" t="inlineStr">
        <is>
          <t>USR-100470</t>
        </is>
      </c>
      <c r="B471" s="23" t="n">
        <v>45797</v>
      </c>
      <c r="C471" s="0" t="inlineStr">
        <is>
          <t>Control</t>
        </is>
      </c>
      <c r="D471" s="0" t="inlineStr">
        <is>
          <t>West</t>
        </is>
      </c>
      <c r="E471" s="0" t="inlineStr">
        <is>
          <t>Mobile</t>
        </is>
      </c>
      <c r="F471" s="0" t="inlineStr">
        <is>
          <t>Paid Search</t>
        </is>
      </c>
      <c r="G471" s="0" t="inlineStr">
        <is>
          <t>Free</t>
        </is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P471" s="0" t="n">
        <v>58.9</v>
      </c>
    </row>
    <row r="472">
      <c r="A472" s="0" t="inlineStr">
        <is>
          <t>USR-100471</t>
        </is>
      </c>
      <c r="B472" s="23" t="n">
        <v>45666</v>
      </c>
      <c r="C472" s="0" t="inlineStr">
        <is>
          <t>Control</t>
        </is>
      </c>
      <c r="D472" s="0" t="inlineStr">
        <is>
          <t>East</t>
        </is>
      </c>
      <c r="E472" s="0" t="inlineStr">
        <is>
          <t>Desktop</t>
        </is>
      </c>
      <c r="F472" s="0" t="inlineStr">
        <is>
          <t>Organic</t>
        </is>
      </c>
      <c r="G472" s="0" t="inlineStr">
        <is>
          <t>Free</t>
        </is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1</v>
      </c>
      <c r="N472" s="0" t="n">
        <v>0</v>
      </c>
      <c r="P472" s="0" t="n">
        <v>52.9</v>
      </c>
    </row>
    <row r="473">
      <c r="A473" s="0" t="inlineStr">
        <is>
          <t>USR-100472</t>
        </is>
      </c>
      <c r="B473" s="23" t="n">
        <v>45723</v>
      </c>
      <c r="C473" s="0" t="inlineStr">
        <is>
          <t>Control</t>
        </is>
      </c>
      <c r="D473" s="0" t="inlineStr">
        <is>
          <t>West</t>
        </is>
      </c>
      <c r="E473" s="0" t="inlineStr">
        <is>
          <t>Mobile</t>
        </is>
      </c>
      <c r="F473" s="0" t="inlineStr">
        <is>
          <t>Organic</t>
        </is>
      </c>
      <c r="G473" s="0" t="inlineStr">
        <is>
          <t>Free</t>
        </is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P473" s="0" t="n">
        <v>67.8</v>
      </c>
    </row>
    <row r="474">
      <c r="A474" s="0" t="inlineStr">
        <is>
          <t>USR-100473</t>
        </is>
      </c>
      <c r="B474" s="23" t="n">
        <v>45770</v>
      </c>
      <c r="C474" s="0" t="inlineStr">
        <is>
          <t>Control</t>
        </is>
      </c>
      <c r="D474" s="0" t="inlineStr">
        <is>
          <t>South</t>
        </is>
      </c>
      <c r="E474" s="0" t="inlineStr">
        <is>
          <t>Mobile</t>
        </is>
      </c>
      <c r="F474" s="0" t="inlineStr">
        <is>
          <t>Social</t>
        </is>
      </c>
      <c r="G474" s="0" t="inlineStr">
        <is>
          <t>Free</t>
        </is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P474" s="0" t="n">
        <v>48.7</v>
      </c>
    </row>
    <row r="475">
      <c r="A475" s="0" t="inlineStr">
        <is>
          <t>USR-100474</t>
        </is>
      </c>
      <c r="B475" s="23" t="n">
        <v>45724</v>
      </c>
      <c r="C475" s="0" t="inlineStr">
        <is>
          <t>Control</t>
        </is>
      </c>
      <c r="D475" s="0" t="inlineStr">
        <is>
          <t>East</t>
        </is>
      </c>
      <c r="E475" s="0" t="inlineStr">
        <is>
          <t>Mobile</t>
        </is>
      </c>
      <c r="F475" s="0" t="inlineStr">
        <is>
          <t>Organic</t>
        </is>
      </c>
      <c r="G475" s="0" t="inlineStr">
        <is>
          <t>Basic</t>
        </is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P475" s="0" t="n">
        <v>59</v>
      </c>
    </row>
    <row r="476">
      <c r="A476" s="0" t="inlineStr">
        <is>
          <t>USR-100475</t>
        </is>
      </c>
      <c r="B476" s="23" t="n">
        <v>45702</v>
      </c>
      <c r="C476" s="0" t="inlineStr">
        <is>
          <t>Control</t>
        </is>
      </c>
      <c r="D476" s="0" t="inlineStr">
        <is>
          <t>South</t>
        </is>
      </c>
      <c r="E476" s="0" t="inlineStr">
        <is>
          <t>Mobile</t>
        </is>
      </c>
      <c r="F476" s="0" t="inlineStr">
        <is>
          <t>Referral</t>
        </is>
      </c>
      <c r="G476" s="0" t="inlineStr">
        <is>
          <t>Free</t>
        </is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P476" s="0" t="n">
        <v>63.2</v>
      </c>
    </row>
    <row r="477">
      <c r="A477" s="0" t="inlineStr">
        <is>
          <t>USR-100476</t>
        </is>
      </c>
      <c r="B477" s="23" t="n">
        <v>45794</v>
      </c>
      <c r="C477" s="0" t="inlineStr">
        <is>
          <t>Control</t>
        </is>
      </c>
      <c r="D477" s="0" t="inlineStr">
        <is>
          <t>West</t>
        </is>
      </c>
      <c r="E477" s="0" t="inlineStr">
        <is>
          <t>Mobile</t>
        </is>
      </c>
      <c r="F477" s="0" t="inlineStr">
        <is>
          <t>Referral</t>
        </is>
      </c>
      <c r="G477" s="0" t="inlineStr">
        <is>
          <t>Basic</t>
        </is>
      </c>
      <c r="H477" s="0" t="n">
        <v>1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P477" s="0" t="n">
        <v>68.7</v>
      </c>
    </row>
    <row r="478">
      <c r="A478" s="0" t="inlineStr">
        <is>
          <t>USR-100477</t>
        </is>
      </c>
      <c r="B478" s="23" t="n">
        <v>45772</v>
      </c>
      <c r="C478" s="0" t="inlineStr">
        <is>
          <t>Control</t>
        </is>
      </c>
      <c r="D478" s="0" t="inlineStr">
        <is>
          <t>South</t>
        </is>
      </c>
      <c r="E478" s="0" t="inlineStr">
        <is>
          <t>Mobile</t>
        </is>
      </c>
      <c r="F478" s="0" t="inlineStr">
        <is>
          <t>Referral</t>
        </is>
      </c>
      <c r="G478" s="0" t="inlineStr">
        <is>
          <t>Free</t>
        </is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P478" s="0" t="n">
        <v>52.1</v>
      </c>
    </row>
    <row r="479">
      <c r="A479" s="0" t="inlineStr">
        <is>
          <t>USR-100478</t>
        </is>
      </c>
      <c r="B479" s="23" t="n">
        <v>45720</v>
      </c>
      <c r="C479" s="0" t="inlineStr">
        <is>
          <t>Control</t>
        </is>
      </c>
      <c r="D479" s="0" t="inlineStr">
        <is>
          <t>South</t>
        </is>
      </c>
      <c r="E479" s="0" t="inlineStr">
        <is>
          <t>Desktop</t>
        </is>
      </c>
      <c r="F479" s="0" t="inlineStr">
        <is>
          <t>Social</t>
        </is>
      </c>
      <c r="G479" s="0" t="inlineStr">
        <is>
          <t>Basic</t>
        </is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P479" s="0" t="n">
        <v>56.5</v>
      </c>
    </row>
    <row r="480">
      <c r="A480" s="0" t="inlineStr">
        <is>
          <t>USR-100479</t>
        </is>
      </c>
      <c r="B480" s="23" t="n">
        <v>45734</v>
      </c>
      <c r="C480" s="0" t="inlineStr">
        <is>
          <t>Control</t>
        </is>
      </c>
      <c r="D480" s="0" t="inlineStr">
        <is>
          <t>South</t>
        </is>
      </c>
      <c r="E480" s="0" t="inlineStr">
        <is>
          <t>Mobile</t>
        </is>
      </c>
      <c r="F480" s="0" t="inlineStr">
        <is>
          <t>Organic</t>
        </is>
      </c>
      <c r="G480" s="0" t="inlineStr">
        <is>
          <t>Free</t>
        </is>
      </c>
      <c r="H480" s="0" t="n">
        <v>1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P480" s="0" t="n">
        <v>64.40000000000001</v>
      </c>
    </row>
    <row r="481">
      <c r="A481" s="0" t="inlineStr">
        <is>
          <t>USR-100480</t>
        </is>
      </c>
      <c r="B481" s="23" t="n">
        <v>45687</v>
      </c>
      <c r="C481" s="0" t="inlineStr">
        <is>
          <t>Control</t>
        </is>
      </c>
      <c r="D481" s="0" t="inlineStr">
        <is>
          <t>West</t>
        </is>
      </c>
      <c r="E481" s="0" t="inlineStr">
        <is>
          <t>Mobile</t>
        </is>
      </c>
      <c r="F481" s="0" t="inlineStr">
        <is>
          <t>Paid Search</t>
        </is>
      </c>
      <c r="G481" s="0" t="inlineStr">
        <is>
          <t>Premium</t>
        </is>
      </c>
      <c r="H481" s="0" t="n">
        <v>1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P481" s="0" t="n">
        <v>65.90000000000001</v>
      </c>
    </row>
    <row r="482">
      <c r="A482" s="0" t="inlineStr">
        <is>
          <t>USR-100481</t>
        </is>
      </c>
      <c r="B482" s="23" t="n">
        <v>45797</v>
      </c>
      <c r="C482" s="0" t="inlineStr">
        <is>
          <t>Control</t>
        </is>
      </c>
      <c r="D482" s="0" t="inlineStr">
        <is>
          <t>West</t>
        </is>
      </c>
      <c r="E482" s="0" t="inlineStr">
        <is>
          <t>Tablet</t>
        </is>
      </c>
      <c r="F482" s="0" t="inlineStr">
        <is>
          <t>Referral</t>
        </is>
      </c>
      <c r="G482" s="0" t="inlineStr">
        <is>
          <t>Free</t>
        </is>
      </c>
      <c r="H482" s="0" t="n">
        <v>1</v>
      </c>
      <c r="I482" s="0" t="n">
        <v>1</v>
      </c>
      <c r="J482" s="0" t="n">
        <v>1</v>
      </c>
      <c r="K482" s="0" t="n">
        <v>0</v>
      </c>
      <c r="L482" s="0" t="n">
        <v>0</v>
      </c>
      <c r="M482" s="0" t="n">
        <v>0</v>
      </c>
      <c r="N482" s="0" t="n">
        <v>0</v>
      </c>
      <c r="P482" s="0" t="n">
        <v>100</v>
      </c>
    </row>
    <row r="483">
      <c r="A483" s="0" t="inlineStr">
        <is>
          <t>USR-100482</t>
        </is>
      </c>
      <c r="B483" s="23" t="n">
        <v>45701</v>
      </c>
      <c r="C483" s="0" t="inlineStr">
        <is>
          <t>Control</t>
        </is>
      </c>
      <c r="D483" s="0" t="inlineStr">
        <is>
          <t>North</t>
        </is>
      </c>
      <c r="E483" s="0" t="inlineStr">
        <is>
          <t>Unknown</t>
        </is>
      </c>
      <c r="F483" s="0" t="inlineStr">
        <is>
          <t>Organic</t>
        </is>
      </c>
      <c r="G483" s="0" t="inlineStr">
        <is>
          <t>Basic</t>
        </is>
      </c>
      <c r="H483" s="0" t="n">
        <v>1</v>
      </c>
      <c r="I483" s="0" t="n">
        <v>1</v>
      </c>
      <c r="J483" s="0" t="n">
        <v>1</v>
      </c>
      <c r="K483" s="0" t="n">
        <v>0</v>
      </c>
      <c r="L483" s="0" t="n">
        <v>0</v>
      </c>
      <c r="M483" s="0" t="n">
        <v>0</v>
      </c>
      <c r="N483" s="0" t="n">
        <v>0</v>
      </c>
      <c r="P483" s="0" t="n">
        <v>50.4</v>
      </c>
    </row>
    <row r="484">
      <c r="A484" s="0" t="inlineStr">
        <is>
          <t>USR-100483</t>
        </is>
      </c>
      <c r="B484" s="23" t="n">
        <v>45759</v>
      </c>
      <c r="C484" s="0" t="inlineStr">
        <is>
          <t>Control</t>
        </is>
      </c>
      <c r="D484" s="0" t="inlineStr">
        <is>
          <t>West</t>
        </is>
      </c>
      <c r="E484" s="0" t="inlineStr">
        <is>
          <t>Desktop</t>
        </is>
      </c>
      <c r="F484" s="0" t="inlineStr">
        <is>
          <t>Organic</t>
        </is>
      </c>
      <c r="G484" s="0" t="inlineStr">
        <is>
          <t>Basic</t>
        </is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P484" s="0" t="n">
        <v>41.5</v>
      </c>
    </row>
    <row r="485">
      <c r="A485" s="0" t="inlineStr">
        <is>
          <t>USR-100484</t>
        </is>
      </c>
      <c r="B485" s="23" t="n">
        <v>45754</v>
      </c>
      <c r="C485" s="0" t="inlineStr">
        <is>
          <t>Control</t>
        </is>
      </c>
      <c r="D485" s="0" t="inlineStr">
        <is>
          <t>North</t>
        </is>
      </c>
      <c r="E485" s="0" t="inlineStr">
        <is>
          <t>Mobile</t>
        </is>
      </c>
      <c r="F485" s="0" t="inlineStr">
        <is>
          <t>Email</t>
        </is>
      </c>
      <c r="G485" s="0" t="inlineStr">
        <is>
          <t>Free</t>
        </is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P485" s="0" t="n">
        <v>86.2</v>
      </c>
    </row>
    <row r="486">
      <c r="A486" s="0" t="inlineStr">
        <is>
          <t>USR-100485</t>
        </is>
      </c>
      <c r="B486" s="23" t="n">
        <v>45728</v>
      </c>
      <c r="C486" s="0" t="inlineStr">
        <is>
          <t>Control</t>
        </is>
      </c>
      <c r="D486" s="0" t="inlineStr">
        <is>
          <t>North</t>
        </is>
      </c>
      <c r="E486" s="0" t="inlineStr">
        <is>
          <t>Desktop</t>
        </is>
      </c>
      <c r="F486" s="0" t="inlineStr">
        <is>
          <t>Social</t>
        </is>
      </c>
      <c r="G486" s="0" t="inlineStr">
        <is>
          <t>Free</t>
        </is>
      </c>
      <c r="H486" s="0" t="n">
        <v>1</v>
      </c>
      <c r="I486" s="0" t="n">
        <v>1</v>
      </c>
      <c r="J486" s="0" t="n">
        <v>1</v>
      </c>
      <c r="K486" s="0" t="n">
        <v>0</v>
      </c>
      <c r="L486" s="0" t="n">
        <v>0</v>
      </c>
      <c r="M486" s="0" t="n">
        <v>2</v>
      </c>
      <c r="N486" s="0" t="n">
        <v>0</v>
      </c>
      <c r="P486" s="0" t="n">
        <v>50.8</v>
      </c>
    </row>
    <row r="487">
      <c r="A487" s="0" t="inlineStr">
        <is>
          <t>USR-100486</t>
        </is>
      </c>
      <c r="B487" s="23" t="n">
        <v>45695</v>
      </c>
      <c r="C487" s="0" t="inlineStr">
        <is>
          <t>Control</t>
        </is>
      </c>
      <c r="D487" s="0" t="inlineStr">
        <is>
          <t>West</t>
        </is>
      </c>
      <c r="E487" s="0" t="inlineStr">
        <is>
          <t>Mobile</t>
        </is>
      </c>
      <c r="F487" s="0" t="inlineStr">
        <is>
          <t>Organic</t>
        </is>
      </c>
      <c r="G487" s="0" t="inlineStr">
        <is>
          <t>Free</t>
        </is>
      </c>
      <c r="H487" s="0" t="n">
        <v>1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P487" s="0" t="n">
        <v>50.9</v>
      </c>
    </row>
    <row r="488">
      <c r="A488" s="0" t="inlineStr">
        <is>
          <t>USR-100487</t>
        </is>
      </c>
      <c r="B488" s="23" t="n">
        <v>45782</v>
      </c>
      <c r="C488" s="0" t="inlineStr">
        <is>
          <t>Control</t>
        </is>
      </c>
      <c r="D488" s="0" t="inlineStr">
        <is>
          <t>North</t>
        </is>
      </c>
      <c r="E488" s="0" t="inlineStr">
        <is>
          <t>Mobile</t>
        </is>
      </c>
      <c r="F488" s="0" t="inlineStr">
        <is>
          <t>Organic</t>
        </is>
      </c>
      <c r="G488" s="0" t="inlineStr">
        <is>
          <t>Premium</t>
        </is>
      </c>
      <c r="H488" s="0" t="n">
        <v>1</v>
      </c>
      <c r="I488" s="0" t="n">
        <v>1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P488" s="0" t="n">
        <v>87.5</v>
      </c>
    </row>
    <row r="489">
      <c r="A489" s="0" t="inlineStr">
        <is>
          <t>USR-100488</t>
        </is>
      </c>
      <c r="B489" s="23" t="n">
        <v>45734</v>
      </c>
      <c r="C489" s="0" t="inlineStr">
        <is>
          <t>Control</t>
        </is>
      </c>
      <c r="D489" s="0" t="inlineStr">
        <is>
          <t>South</t>
        </is>
      </c>
      <c r="E489" s="0" t="inlineStr">
        <is>
          <t>Mobile</t>
        </is>
      </c>
      <c r="F489" s="0" t="inlineStr">
        <is>
          <t>Referral</t>
        </is>
      </c>
      <c r="G489" s="0" t="inlineStr">
        <is>
          <t>Free</t>
        </is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P489" s="0" t="n">
        <v>43.6</v>
      </c>
    </row>
    <row r="490">
      <c r="A490" s="0" t="inlineStr">
        <is>
          <t>USR-100489</t>
        </is>
      </c>
      <c r="B490" s="23" t="n">
        <v>45662</v>
      </c>
      <c r="C490" s="0" t="inlineStr">
        <is>
          <t>Control</t>
        </is>
      </c>
      <c r="D490" s="0" t="inlineStr">
        <is>
          <t>South</t>
        </is>
      </c>
      <c r="E490" s="0" t="inlineStr">
        <is>
          <t>Mobile</t>
        </is>
      </c>
      <c r="F490" s="0" t="inlineStr">
        <is>
          <t>Paid Search</t>
        </is>
      </c>
      <c r="G490" s="0" t="inlineStr">
        <is>
          <t>Basic</t>
        </is>
      </c>
      <c r="H490" s="0" t="n">
        <v>1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P490" s="0" t="n">
        <v>55.5</v>
      </c>
    </row>
    <row r="491">
      <c r="A491" s="0" t="inlineStr">
        <is>
          <t>USR-100490</t>
        </is>
      </c>
      <c r="B491" s="23" t="n">
        <v>45787</v>
      </c>
      <c r="C491" s="0" t="inlineStr">
        <is>
          <t>Control</t>
        </is>
      </c>
      <c r="D491" s="0" t="inlineStr">
        <is>
          <t>South</t>
        </is>
      </c>
      <c r="E491" s="0" t="inlineStr">
        <is>
          <t>Desktop</t>
        </is>
      </c>
      <c r="F491" s="0" t="inlineStr">
        <is>
          <t>Referral</t>
        </is>
      </c>
      <c r="G491" s="0" t="inlineStr">
        <is>
          <t>Basic</t>
        </is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P491" s="0" t="n">
        <v>78.59999999999999</v>
      </c>
    </row>
    <row r="492">
      <c r="A492" s="0" t="inlineStr">
        <is>
          <t>USR-100491</t>
        </is>
      </c>
      <c r="B492" s="23" t="n">
        <v>45660</v>
      </c>
      <c r="C492" s="0" t="inlineStr">
        <is>
          <t>Control</t>
        </is>
      </c>
      <c r="D492" s="0" t="inlineStr">
        <is>
          <t>South</t>
        </is>
      </c>
      <c r="E492" s="0" t="inlineStr">
        <is>
          <t>Mobile</t>
        </is>
      </c>
      <c r="F492" s="0" t="inlineStr">
        <is>
          <t>Social</t>
        </is>
      </c>
      <c r="G492" s="0" t="inlineStr">
        <is>
          <t>Basic</t>
        </is>
      </c>
      <c r="H492" s="0" t="n">
        <v>1</v>
      </c>
      <c r="I492" s="0" t="n">
        <v>1</v>
      </c>
      <c r="J492" s="0" t="n">
        <v>0</v>
      </c>
      <c r="K492" s="0" t="n">
        <v>0</v>
      </c>
      <c r="L492" s="0" t="n">
        <v>0</v>
      </c>
      <c r="M492" s="0" t="n">
        <v>1</v>
      </c>
      <c r="N492" s="0" t="n">
        <v>0</v>
      </c>
      <c r="P492" s="0" t="n">
        <v>44.3</v>
      </c>
    </row>
    <row r="493">
      <c r="A493" s="0" t="inlineStr">
        <is>
          <t>USR-100492</t>
        </is>
      </c>
      <c r="B493" s="23" t="n">
        <v>45785</v>
      </c>
      <c r="C493" s="0" t="inlineStr">
        <is>
          <t>Control</t>
        </is>
      </c>
      <c r="D493" s="0" t="inlineStr">
        <is>
          <t>South</t>
        </is>
      </c>
      <c r="E493" s="0" t="inlineStr">
        <is>
          <t>Mobile</t>
        </is>
      </c>
      <c r="F493" s="0" t="inlineStr">
        <is>
          <t>Paid Search</t>
        </is>
      </c>
      <c r="G493" s="0" t="inlineStr">
        <is>
          <t>Free</t>
        </is>
      </c>
      <c r="H493" s="0" t="n">
        <v>1</v>
      </c>
      <c r="I493" s="0" t="n">
        <v>1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P493" s="0" t="n">
        <v>45.2</v>
      </c>
    </row>
    <row r="494">
      <c r="A494" s="0" t="inlineStr">
        <is>
          <t>USR-100493</t>
        </is>
      </c>
      <c r="B494" s="23" t="n">
        <v>45721</v>
      </c>
      <c r="C494" s="0" t="inlineStr">
        <is>
          <t>Control</t>
        </is>
      </c>
      <c r="D494" s="0" t="inlineStr">
        <is>
          <t>South</t>
        </is>
      </c>
      <c r="E494" s="0" t="inlineStr">
        <is>
          <t>Desktop</t>
        </is>
      </c>
      <c r="F494" s="0" t="inlineStr">
        <is>
          <t>Email</t>
        </is>
      </c>
      <c r="G494" s="0" t="inlineStr">
        <is>
          <t>Basic</t>
        </is>
      </c>
      <c r="H494" s="0" t="n">
        <v>1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2</v>
      </c>
      <c r="N494" s="0" t="n">
        <v>0</v>
      </c>
      <c r="P494" s="0" t="n">
        <v>46.1</v>
      </c>
    </row>
    <row r="495">
      <c r="A495" s="0" t="inlineStr">
        <is>
          <t>USR-100494</t>
        </is>
      </c>
      <c r="B495" s="23" t="n">
        <v>45705</v>
      </c>
      <c r="C495" s="0" t="inlineStr">
        <is>
          <t>Control</t>
        </is>
      </c>
      <c r="D495" s="0" t="inlineStr">
        <is>
          <t>North</t>
        </is>
      </c>
      <c r="E495" s="0" t="inlineStr">
        <is>
          <t>Mobile</t>
        </is>
      </c>
      <c r="F495" s="0" t="inlineStr">
        <is>
          <t>Organic</t>
        </is>
      </c>
      <c r="G495" s="0" t="inlineStr">
        <is>
          <t>Premium</t>
        </is>
      </c>
      <c r="H495" s="0" t="n">
        <v>1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P495" s="0" t="n">
        <v>49.6</v>
      </c>
    </row>
    <row r="496">
      <c r="A496" s="0" t="inlineStr">
        <is>
          <t>USR-100495</t>
        </is>
      </c>
      <c r="B496" s="23" t="n">
        <v>45666</v>
      </c>
      <c r="C496" s="0" t="inlineStr">
        <is>
          <t>Control</t>
        </is>
      </c>
      <c r="D496" s="0" t="inlineStr">
        <is>
          <t>South</t>
        </is>
      </c>
      <c r="E496" s="0" t="inlineStr">
        <is>
          <t>Mobile</t>
        </is>
      </c>
      <c r="F496" s="0" t="inlineStr">
        <is>
          <t>Referral</t>
        </is>
      </c>
      <c r="G496" s="0" t="inlineStr">
        <is>
          <t>Basic</t>
        </is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P496" s="0" t="n">
        <v>70.5</v>
      </c>
    </row>
    <row r="497">
      <c r="A497" s="0" t="inlineStr">
        <is>
          <t>USR-100496</t>
        </is>
      </c>
      <c r="B497" s="23" t="n">
        <v>45782</v>
      </c>
      <c r="C497" s="0" t="inlineStr">
        <is>
          <t>Control</t>
        </is>
      </c>
      <c r="D497" s="0" t="inlineStr">
        <is>
          <t>South</t>
        </is>
      </c>
      <c r="E497" s="0" t="inlineStr">
        <is>
          <t>Mobile</t>
        </is>
      </c>
      <c r="F497" s="0" t="inlineStr">
        <is>
          <t>Email</t>
        </is>
      </c>
      <c r="G497" s="0" t="inlineStr">
        <is>
          <t>Basic</t>
        </is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0</v>
      </c>
      <c r="P497" s="0" t="n">
        <v>60.8</v>
      </c>
    </row>
    <row r="498">
      <c r="A498" s="0" t="inlineStr">
        <is>
          <t>USR-100497</t>
        </is>
      </c>
      <c r="B498" s="23" t="n">
        <v>45763</v>
      </c>
      <c r="C498" s="0" t="inlineStr">
        <is>
          <t>Control</t>
        </is>
      </c>
      <c r="D498" s="0" t="inlineStr">
        <is>
          <t>East</t>
        </is>
      </c>
      <c r="E498" s="0" t="inlineStr">
        <is>
          <t>Mobile</t>
        </is>
      </c>
      <c r="F498" s="0" t="inlineStr">
        <is>
          <t>Email</t>
        </is>
      </c>
      <c r="G498" s="0" t="inlineStr">
        <is>
          <t>Basic</t>
        </is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0</v>
      </c>
      <c r="P498" s="0" t="n">
        <v>50.5</v>
      </c>
    </row>
    <row r="499">
      <c r="A499" s="0" t="inlineStr">
        <is>
          <t>USR-100498</t>
        </is>
      </c>
      <c r="B499" s="23" t="n">
        <v>45718</v>
      </c>
      <c r="C499" s="0" t="inlineStr">
        <is>
          <t>Control</t>
        </is>
      </c>
      <c r="D499" s="0" t="inlineStr">
        <is>
          <t>South</t>
        </is>
      </c>
      <c r="E499" s="0" t="inlineStr">
        <is>
          <t>Desktop</t>
        </is>
      </c>
      <c r="F499" s="0" t="inlineStr">
        <is>
          <t>Organic</t>
        </is>
      </c>
      <c r="G499" s="0" t="inlineStr">
        <is>
          <t>Free</t>
        </is>
      </c>
      <c r="H499" s="0" t="n">
        <v>1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P499" s="0" t="n">
        <v>54.9</v>
      </c>
    </row>
    <row r="500">
      <c r="A500" s="0" t="inlineStr">
        <is>
          <t>USR-100499</t>
        </is>
      </c>
      <c r="B500" s="23" t="n">
        <v>45761</v>
      </c>
      <c r="C500" s="0" t="inlineStr">
        <is>
          <t>Control</t>
        </is>
      </c>
      <c r="D500" s="0" t="inlineStr">
        <is>
          <t>South</t>
        </is>
      </c>
      <c r="E500" s="0" t="inlineStr">
        <is>
          <t>Mobile</t>
        </is>
      </c>
      <c r="F500" s="0" t="inlineStr">
        <is>
          <t>Social</t>
        </is>
      </c>
      <c r="G500" s="0" t="inlineStr">
        <is>
          <t>Premium</t>
        </is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P500" s="0" t="n">
        <v>29.9</v>
      </c>
    </row>
    <row r="501">
      <c r="A501" s="0" t="inlineStr">
        <is>
          <t>USR-100500</t>
        </is>
      </c>
      <c r="B501" s="23" t="n">
        <v>45703</v>
      </c>
      <c r="C501" s="0" t="inlineStr">
        <is>
          <t>Control</t>
        </is>
      </c>
      <c r="D501" s="0" t="inlineStr">
        <is>
          <t>East</t>
        </is>
      </c>
      <c r="E501" s="0" t="inlineStr">
        <is>
          <t>Desktop</t>
        </is>
      </c>
      <c r="F501" s="0" t="inlineStr">
        <is>
          <t>Paid Search</t>
        </is>
      </c>
      <c r="G501" s="0" t="inlineStr">
        <is>
          <t>Basic</t>
        </is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P501" s="0" t="n">
        <v>48.3</v>
      </c>
    </row>
    <row r="502">
      <c r="A502" s="0" t="inlineStr">
        <is>
          <t>USR-100501</t>
        </is>
      </c>
      <c r="B502" s="23" t="n">
        <v>45701</v>
      </c>
      <c r="C502" s="0" t="inlineStr">
        <is>
          <t>Control</t>
        </is>
      </c>
      <c r="D502" s="0" t="inlineStr">
        <is>
          <t>West</t>
        </is>
      </c>
      <c r="E502" s="0" t="inlineStr">
        <is>
          <t>Mobile</t>
        </is>
      </c>
      <c r="F502" s="0" t="inlineStr">
        <is>
          <t>Social</t>
        </is>
      </c>
      <c r="G502" s="0" t="inlineStr">
        <is>
          <t>Free</t>
        </is>
      </c>
      <c r="H502" s="0" t="n">
        <v>1</v>
      </c>
      <c r="I502" s="0" t="n">
        <v>1</v>
      </c>
      <c r="J502" s="0" t="n">
        <v>1</v>
      </c>
      <c r="K502" s="0" t="n">
        <v>1</v>
      </c>
      <c r="L502" s="0" t="n">
        <v>513.61</v>
      </c>
      <c r="M502" s="0" t="n">
        <v>0</v>
      </c>
      <c r="N502" s="0" t="n">
        <v>0</v>
      </c>
      <c r="O502" s="0" t="n">
        <v>7</v>
      </c>
      <c r="P502" s="0" t="n">
        <v>41.3</v>
      </c>
    </row>
    <row r="503">
      <c r="A503" s="0" t="inlineStr">
        <is>
          <t>USR-100502</t>
        </is>
      </c>
      <c r="B503" s="23" t="n">
        <v>45722</v>
      </c>
      <c r="C503" s="0" t="inlineStr">
        <is>
          <t>Control</t>
        </is>
      </c>
      <c r="D503" s="0" t="inlineStr">
        <is>
          <t>North</t>
        </is>
      </c>
      <c r="E503" s="0" t="inlineStr">
        <is>
          <t>Mobile</t>
        </is>
      </c>
      <c r="F503" s="0" t="inlineStr">
        <is>
          <t>Email</t>
        </is>
      </c>
      <c r="G503" s="0" t="inlineStr">
        <is>
          <t>Free</t>
        </is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P503" s="0" t="n">
        <v>61.4</v>
      </c>
    </row>
    <row r="504">
      <c r="A504" s="0" t="inlineStr">
        <is>
          <t>USR-100503</t>
        </is>
      </c>
      <c r="B504" s="23" t="n">
        <v>45706</v>
      </c>
      <c r="C504" s="0" t="inlineStr">
        <is>
          <t>Control</t>
        </is>
      </c>
      <c r="D504" s="0" t="inlineStr">
        <is>
          <t>South</t>
        </is>
      </c>
      <c r="E504" s="0" t="inlineStr">
        <is>
          <t>Desktop</t>
        </is>
      </c>
      <c r="F504" s="0" t="inlineStr">
        <is>
          <t>Social</t>
        </is>
      </c>
      <c r="G504" s="0" t="inlineStr">
        <is>
          <t>Free</t>
        </is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P504" s="0" t="n">
        <v>57.8</v>
      </c>
    </row>
    <row r="505">
      <c r="A505" s="0" t="inlineStr">
        <is>
          <t>USR-100504</t>
        </is>
      </c>
      <c r="B505" s="23" t="n">
        <v>45754</v>
      </c>
      <c r="C505" s="0" t="inlineStr">
        <is>
          <t>Control</t>
        </is>
      </c>
      <c r="D505" s="0" t="inlineStr">
        <is>
          <t>North</t>
        </is>
      </c>
      <c r="E505" s="0" t="inlineStr">
        <is>
          <t>Desktop</t>
        </is>
      </c>
      <c r="F505" s="0" t="inlineStr">
        <is>
          <t>Organic</t>
        </is>
      </c>
      <c r="G505" s="0" t="inlineStr">
        <is>
          <t>Free</t>
        </is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P505" s="0" t="n">
        <v>78.2</v>
      </c>
    </row>
    <row r="506">
      <c r="A506" s="0" t="inlineStr">
        <is>
          <t>USR-100505</t>
        </is>
      </c>
      <c r="B506" s="23" t="n">
        <v>45753</v>
      </c>
      <c r="C506" s="0" t="inlineStr">
        <is>
          <t>Control</t>
        </is>
      </c>
      <c r="D506" s="0" t="inlineStr">
        <is>
          <t>North</t>
        </is>
      </c>
      <c r="E506" s="0" t="inlineStr">
        <is>
          <t>Mobile</t>
        </is>
      </c>
      <c r="F506" s="0" t="inlineStr">
        <is>
          <t>Referral</t>
        </is>
      </c>
      <c r="G506" s="0" t="inlineStr">
        <is>
          <t>Free</t>
        </is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P506" s="0" t="n">
        <v>63.8</v>
      </c>
    </row>
    <row r="507">
      <c r="A507" s="0" t="inlineStr">
        <is>
          <t>USR-100506</t>
        </is>
      </c>
      <c r="B507" s="23" t="n">
        <v>45687</v>
      </c>
      <c r="C507" s="0" t="inlineStr">
        <is>
          <t>Control</t>
        </is>
      </c>
      <c r="D507" s="0" t="inlineStr">
        <is>
          <t>North</t>
        </is>
      </c>
      <c r="E507" s="0" t="inlineStr">
        <is>
          <t>Desktop</t>
        </is>
      </c>
      <c r="F507" s="0" t="inlineStr">
        <is>
          <t>Social</t>
        </is>
      </c>
      <c r="G507" s="0" t="inlineStr">
        <is>
          <t>Free</t>
        </is>
      </c>
      <c r="H507" s="0" t="n">
        <v>1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P507" s="0" t="n">
        <v>56.8</v>
      </c>
    </row>
    <row r="508">
      <c r="A508" s="0" t="inlineStr">
        <is>
          <t>USR-100507</t>
        </is>
      </c>
      <c r="B508" s="23" t="n">
        <v>45790</v>
      </c>
      <c r="C508" s="0" t="inlineStr">
        <is>
          <t>Control</t>
        </is>
      </c>
      <c r="D508" s="0" t="inlineStr">
        <is>
          <t>South</t>
        </is>
      </c>
      <c r="E508" s="0" t="inlineStr">
        <is>
          <t>Desktop</t>
        </is>
      </c>
      <c r="F508" s="0" t="inlineStr">
        <is>
          <t>Organic</t>
        </is>
      </c>
      <c r="G508" s="0" t="inlineStr">
        <is>
          <t>Basic</t>
        </is>
      </c>
      <c r="H508" s="0" t="n">
        <v>1</v>
      </c>
      <c r="I508" s="0" t="n">
        <v>1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P508" s="0" t="n">
        <v>59.6</v>
      </c>
    </row>
    <row r="509">
      <c r="A509" s="0" t="inlineStr">
        <is>
          <t>USR-100508</t>
        </is>
      </c>
      <c r="B509" s="23" t="n">
        <v>45677</v>
      </c>
      <c r="C509" s="0" t="inlineStr">
        <is>
          <t>Control</t>
        </is>
      </c>
      <c r="D509" s="0" t="inlineStr">
        <is>
          <t>West</t>
        </is>
      </c>
      <c r="E509" s="0" t="inlineStr">
        <is>
          <t>Mobile</t>
        </is>
      </c>
      <c r="F509" s="0" t="inlineStr">
        <is>
          <t>Paid Search</t>
        </is>
      </c>
      <c r="G509" s="0" t="inlineStr">
        <is>
          <t>Premium</t>
        </is>
      </c>
      <c r="H509" s="0" t="n">
        <v>1</v>
      </c>
      <c r="I509" s="0" t="n">
        <v>1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P509" s="0" t="n">
        <v>50</v>
      </c>
    </row>
    <row r="510">
      <c r="A510" s="0" t="inlineStr">
        <is>
          <t>USR-100509</t>
        </is>
      </c>
      <c r="B510" s="23" t="n">
        <v>45687</v>
      </c>
      <c r="C510" s="0" t="inlineStr">
        <is>
          <t>Control</t>
        </is>
      </c>
      <c r="D510" s="0" t="inlineStr">
        <is>
          <t>North</t>
        </is>
      </c>
      <c r="E510" s="0" t="inlineStr">
        <is>
          <t>Tablet</t>
        </is>
      </c>
      <c r="F510" s="0" t="inlineStr">
        <is>
          <t>Organic</t>
        </is>
      </c>
      <c r="G510" s="0" t="inlineStr">
        <is>
          <t>Free</t>
        </is>
      </c>
      <c r="H510" s="0" t="n">
        <v>1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P510" s="0" t="n">
        <v>35.7</v>
      </c>
    </row>
    <row r="511">
      <c r="A511" s="0" t="inlineStr">
        <is>
          <t>USR-100510</t>
        </is>
      </c>
      <c r="B511" s="23" t="n">
        <v>45670</v>
      </c>
      <c r="C511" s="0" t="inlineStr">
        <is>
          <t>Control</t>
        </is>
      </c>
      <c r="D511" s="0" t="inlineStr">
        <is>
          <t>South</t>
        </is>
      </c>
      <c r="E511" s="0" t="inlineStr">
        <is>
          <t>Mobile</t>
        </is>
      </c>
      <c r="F511" s="0" t="inlineStr">
        <is>
          <t>Organic</t>
        </is>
      </c>
      <c r="G511" s="0" t="inlineStr">
        <is>
          <t>Free</t>
        </is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2</v>
      </c>
      <c r="N511" s="0" t="n">
        <v>0</v>
      </c>
      <c r="P511" s="0" t="n">
        <v>47.2</v>
      </c>
    </row>
    <row r="512">
      <c r="A512" s="0" t="inlineStr">
        <is>
          <t>USR-100511</t>
        </is>
      </c>
      <c r="B512" s="23" t="n">
        <v>45699</v>
      </c>
      <c r="C512" s="0" t="inlineStr">
        <is>
          <t>Control</t>
        </is>
      </c>
      <c r="D512" s="0" t="inlineStr">
        <is>
          <t>North</t>
        </is>
      </c>
      <c r="E512" s="0" t="inlineStr">
        <is>
          <t>Mobile</t>
        </is>
      </c>
      <c r="F512" s="0" t="inlineStr">
        <is>
          <t>Social</t>
        </is>
      </c>
      <c r="G512" s="0" t="inlineStr">
        <is>
          <t>Free</t>
        </is>
      </c>
      <c r="H512" s="0" t="n">
        <v>1</v>
      </c>
      <c r="I512" s="0" t="n">
        <v>1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P512" s="0" t="n">
        <v>56.9</v>
      </c>
    </row>
    <row r="513">
      <c r="A513" s="0" t="inlineStr">
        <is>
          <t>USR-100512</t>
        </is>
      </c>
      <c r="B513" s="23" t="n">
        <v>45762</v>
      </c>
      <c r="C513" s="0" t="inlineStr">
        <is>
          <t>Control</t>
        </is>
      </c>
      <c r="D513" s="0" t="inlineStr">
        <is>
          <t>South</t>
        </is>
      </c>
      <c r="E513" s="0" t="inlineStr">
        <is>
          <t>Mobile</t>
        </is>
      </c>
      <c r="F513" s="0" t="inlineStr">
        <is>
          <t>Organic</t>
        </is>
      </c>
      <c r="G513" s="0" t="inlineStr">
        <is>
          <t>Free</t>
        </is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1</v>
      </c>
      <c r="N513" s="0" t="n">
        <v>0</v>
      </c>
      <c r="P513" s="0" t="n">
        <v>57.2</v>
      </c>
    </row>
    <row r="514">
      <c r="A514" s="0" t="inlineStr">
        <is>
          <t>USR-100513</t>
        </is>
      </c>
      <c r="B514" s="23" t="n">
        <v>45701</v>
      </c>
      <c r="C514" s="0" t="inlineStr">
        <is>
          <t>Control</t>
        </is>
      </c>
      <c r="D514" s="0" t="inlineStr">
        <is>
          <t>South</t>
        </is>
      </c>
      <c r="E514" s="0" t="inlineStr">
        <is>
          <t>Mobile</t>
        </is>
      </c>
      <c r="F514" s="0" t="inlineStr">
        <is>
          <t>Unknown</t>
        </is>
      </c>
      <c r="G514" s="0" t="inlineStr">
        <is>
          <t>Free</t>
        </is>
      </c>
      <c r="H514" s="0" t="n">
        <v>1</v>
      </c>
      <c r="I514" s="0" t="n">
        <v>1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P514" s="0" t="n">
        <v>31.4</v>
      </c>
    </row>
    <row r="515">
      <c r="A515" s="0" t="inlineStr">
        <is>
          <t>USR-100514</t>
        </is>
      </c>
      <c r="B515" s="23" t="n">
        <v>45786</v>
      </c>
      <c r="C515" s="0" t="inlineStr">
        <is>
          <t>Control</t>
        </is>
      </c>
      <c r="D515" s="0" t="inlineStr">
        <is>
          <t>South</t>
        </is>
      </c>
      <c r="E515" s="0" t="inlineStr">
        <is>
          <t>Desktop</t>
        </is>
      </c>
      <c r="F515" s="0" t="inlineStr">
        <is>
          <t>Organic</t>
        </is>
      </c>
      <c r="G515" s="0" t="inlineStr">
        <is>
          <t>Free</t>
        </is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P515" s="0" t="n">
        <v>71.2</v>
      </c>
    </row>
    <row r="516">
      <c r="A516" s="0" t="inlineStr">
        <is>
          <t>USR-100515</t>
        </is>
      </c>
      <c r="B516" s="23" t="n">
        <v>45726</v>
      </c>
      <c r="C516" s="0" t="inlineStr">
        <is>
          <t>Control</t>
        </is>
      </c>
      <c r="D516" s="0" t="inlineStr">
        <is>
          <t>North</t>
        </is>
      </c>
      <c r="E516" s="0" t="inlineStr">
        <is>
          <t>Mobile</t>
        </is>
      </c>
      <c r="F516" s="0" t="inlineStr">
        <is>
          <t>Paid Search</t>
        </is>
      </c>
      <c r="G516" s="0" t="inlineStr">
        <is>
          <t>Free</t>
        </is>
      </c>
      <c r="H516" s="0" t="n">
        <v>1</v>
      </c>
      <c r="I516" s="0" t="n">
        <v>1</v>
      </c>
      <c r="J516" s="0" t="n">
        <v>1</v>
      </c>
      <c r="K516" s="0" t="n">
        <v>0</v>
      </c>
      <c r="L516" s="0" t="n">
        <v>0</v>
      </c>
      <c r="M516" s="0" t="n">
        <v>1</v>
      </c>
      <c r="N516" s="0" t="n">
        <v>0</v>
      </c>
      <c r="P516" s="0" t="n">
        <v>38.3</v>
      </c>
    </row>
    <row r="517">
      <c r="A517" s="0" t="inlineStr">
        <is>
          <t>USR-100516</t>
        </is>
      </c>
      <c r="B517" s="23" t="n">
        <v>45748</v>
      </c>
      <c r="C517" s="0" t="inlineStr">
        <is>
          <t>Control</t>
        </is>
      </c>
      <c r="D517" s="0" t="inlineStr">
        <is>
          <t>North</t>
        </is>
      </c>
      <c r="E517" s="0" t="inlineStr">
        <is>
          <t>Mobile</t>
        </is>
      </c>
      <c r="F517" s="0" t="inlineStr">
        <is>
          <t>Organic</t>
        </is>
      </c>
      <c r="G517" s="0" t="inlineStr">
        <is>
          <t>Free</t>
        </is>
      </c>
      <c r="H517" s="0" t="n">
        <v>1</v>
      </c>
      <c r="I517" s="0" t="n">
        <v>1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P517" s="0" t="n">
        <v>63.1</v>
      </c>
    </row>
    <row r="518">
      <c r="A518" s="0" t="inlineStr">
        <is>
          <t>USR-100517</t>
        </is>
      </c>
      <c r="B518" s="23" t="n">
        <v>45792</v>
      </c>
      <c r="C518" s="0" t="inlineStr">
        <is>
          <t>Control</t>
        </is>
      </c>
      <c r="D518" s="0" t="inlineStr">
        <is>
          <t>East</t>
        </is>
      </c>
      <c r="E518" s="0" t="inlineStr">
        <is>
          <t>Mobile</t>
        </is>
      </c>
      <c r="F518" s="0" t="inlineStr">
        <is>
          <t>Referral</t>
        </is>
      </c>
      <c r="G518" s="0" t="inlineStr">
        <is>
          <t>Basic</t>
        </is>
      </c>
      <c r="H518" s="0" t="n">
        <v>1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P518" s="0" t="n">
        <v>59.7</v>
      </c>
    </row>
    <row r="519">
      <c r="A519" s="0" t="inlineStr">
        <is>
          <t>USR-100518</t>
        </is>
      </c>
      <c r="B519" s="23" t="n">
        <v>45781</v>
      </c>
      <c r="C519" s="0" t="inlineStr">
        <is>
          <t>Control</t>
        </is>
      </c>
      <c r="D519" s="0" t="inlineStr">
        <is>
          <t>South</t>
        </is>
      </c>
      <c r="E519" s="0" t="inlineStr">
        <is>
          <t>Desktop</t>
        </is>
      </c>
      <c r="F519" s="0" t="inlineStr">
        <is>
          <t>Social</t>
        </is>
      </c>
      <c r="G519" s="0" t="inlineStr">
        <is>
          <t>Premium</t>
        </is>
      </c>
      <c r="H519" s="0" t="n">
        <v>1</v>
      </c>
      <c r="I519" s="0" t="n">
        <v>1</v>
      </c>
      <c r="J519" s="0" t="n">
        <v>1</v>
      </c>
      <c r="K519" s="0" t="n">
        <v>0</v>
      </c>
      <c r="L519" s="0" t="n">
        <v>0</v>
      </c>
      <c r="M519" s="0" t="n">
        <v>0</v>
      </c>
      <c r="N519" s="0" t="n">
        <v>0</v>
      </c>
      <c r="P519" s="0" t="n">
        <v>59.5</v>
      </c>
    </row>
    <row r="520">
      <c r="A520" s="0" t="inlineStr">
        <is>
          <t>USR-100519</t>
        </is>
      </c>
      <c r="B520" s="23" t="n">
        <v>45797</v>
      </c>
      <c r="C520" s="0" t="inlineStr">
        <is>
          <t>Control</t>
        </is>
      </c>
      <c r="D520" s="0" t="inlineStr">
        <is>
          <t>East</t>
        </is>
      </c>
      <c r="E520" s="0" t="inlineStr">
        <is>
          <t>Mobile</t>
        </is>
      </c>
      <c r="F520" s="0" t="inlineStr">
        <is>
          <t>Paid Search</t>
        </is>
      </c>
      <c r="G520" s="0" t="inlineStr">
        <is>
          <t>Free</t>
        </is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P520" s="0" t="n">
        <v>78.8</v>
      </c>
    </row>
    <row r="521">
      <c r="A521" s="0" t="inlineStr">
        <is>
          <t>USR-100520</t>
        </is>
      </c>
      <c r="B521" s="23" t="n">
        <v>45793</v>
      </c>
      <c r="C521" s="0" t="inlineStr">
        <is>
          <t>Control</t>
        </is>
      </c>
      <c r="D521" s="0" t="inlineStr">
        <is>
          <t>West</t>
        </is>
      </c>
      <c r="E521" s="0" t="inlineStr">
        <is>
          <t>Desktop</t>
        </is>
      </c>
      <c r="F521" s="0" t="inlineStr">
        <is>
          <t>Referral</t>
        </is>
      </c>
      <c r="G521" s="0" t="inlineStr">
        <is>
          <t>Free</t>
        </is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P521" s="0" t="n">
        <v>54</v>
      </c>
    </row>
    <row r="522">
      <c r="A522" s="0" t="inlineStr">
        <is>
          <t>USR-100521</t>
        </is>
      </c>
      <c r="B522" s="23" t="n">
        <v>45733</v>
      </c>
      <c r="C522" s="0" t="inlineStr">
        <is>
          <t>Control</t>
        </is>
      </c>
      <c r="D522" s="0" t="inlineStr">
        <is>
          <t>West</t>
        </is>
      </c>
      <c r="E522" s="0" t="inlineStr">
        <is>
          <t>Mobile</t>
        </is>
      </c>
      <c r="F522" s="0" t="inlineStr">
        <is>
          <t>Organic</t>
        </is>
      </c>
      <c r="G522" s="0" t="inlineStr">
        <is>
          <t>Free</t>
        </is>
      </c>
      <c r="H522" s="0" t="n">
        <v>1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P522" s="0" t="n">
        <v>66.3</v>
      </c>
    </row>
    <row r="523">
      <c r="A523" s="0" t="inlineStr">
        <is>
          <t>USR-100522</t>
        </is>
      </c>
      <c r="B523" s="23" t="n">
        <v>45684</v>
      </c>
      <c r="C523" s="0" t="inlineStr">
        <is>
          <t>Control</t>
        </is>
      </c>
      <c r="D523" s="0" t="inlineStr">
        <is>
          <t>East</t>
        </is>
      </c>
      <c r="E523" s="0" t="inlineStr">
        <is>
          <t>Tablet</t>
        </is>
      </c>
      <c r="F523" s="0" t="inlineStr">
        <is>
          <t>Paid Search</t>
        </is>
      </c>
      <c r="G523" s="0" t="inlineStr">
        <is>
          <t>Free</t>
        </is>
      </c>
      <c r="H523" s="0" t="n">
        <v>1</v>
      </c>
      <c r="I523" s="0" t="n">
        <v>1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P523" s="0" t="n">
        <v>54.7</v>
      </c>
    </row>
    <row r="524">
      <c r="A524" s="0" t="inlineStr">
        <is>
          <t>USR-100523</t>
        </is>
      </c>
      <c r="B524" s="23" t="n">
        <v>45760</v>
      </c>
      <c r="C524" s="0" t="inlineStr">
        <is>
          <t>Control</t>
        </is>
      </c>
      <c r="D524" s="0" t="inlineStr">
        <is>
          <t>South</t>
        </is>
      </c>
      <c r="E524" s="0" t="inlineStr">
        <is>
          <t>Mobile</t>
        </is>
      </c>
      <c r="F524" s="0" t="inlineStr">
        <is>
          <t>Organic</t>
        </is>
      </c>
      <c r="G524" s="0" t="inlineStr">
        <is>
          <t>Basic</t>
        </is>
      </c>
      <c r="H524" s="0" t="n">
        <v>1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P524" s="0" t="n">
        <v>76.7</v>
      </c>
    </row>
    <row r="525">
      <c r="A525" s="0" t="inlineStr">
        <is>
          <t>USR-100524</t>
        </is>
      </c>
      <c r="B525" s="23" t="n">
        <v>45780</v>
      </c>
      <c r="C525" s="0" t="inlineStr">
        <is>
          <t>Control</t>
        </is>
      </c>
      <c r="D525" s="0" t="inlineStr">
        <is>
          <t>South</t>
        </is>
      </c>
      <c r="E525" s="0" t="inlineStr">
        <is>
          <t>Desktop</t>
        </is>
      </c>
      <c r="F525" s="0" t="inlineStr">
        <is>
          <t>Email</t>
        </is>
      </c>
      <c r="G525" s="0" t="inlineStr">
        <is>
          <t>Basic</t>
        </is>
      </c>
      <c r="H525" s="0" t="n">
        <v>1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2</v>
      </c>
      <c r="N525" s="0" t="n">
        <v>0</v>
      </c>
      <c r="P525" s="0" t="n">
        <v>47.4</v>
      </c>
    </row>
    <row r="526">
      <c r="A526" s="0" t="inlineStr">
        <is>
          <t>USR-100525</t>
        </is>
      </c>
      <c r="B526" s="23" t="n">
        <v>45746</v>
      </c>
      <c r="C526" s="0" t="inlineStr">
        <is>
          <t>Control</t>
        </is>
      </c>
      <c r="D526" s="0" t="inlineStr">
        <is>
          <t>North</t>
        </is>
      </c>
      <c r="E526" s="0" t="inlineStr">
        <is>
          <t>Mobile</t>
        </is>
      </c>
      <c r="F526" s="0" t="inlineStr">
        <is>
          <t>Organic</t>
        </is>
      </c>
      <c r="G526" s="0" t="inlineStr">
        <is>
          <t>Free</t>
        </is>
      </c>
      <c r="H526" s="0" t="n">
        <v>1</v>
      </c>
      <c r="I526" s="0" t="n">
        <v>1</v>
      </c>
      <c r="J526" s="0" t="n">
        <v>1</v>
      </c>
      <c r="K526" s="0" t="n">
        <v>0</v>
      </c>
      <c r="L526" s="0" t="n">
        <v>0</v>
      </c>
      <c r="M526" s="0" t="n">
        <v>0</v>
      </c>
      <c r="N526" s="0" t="n">
        <v>0</v>
      </c>
      <c r="P526" s="0" t="n">
        <v>81.7</v>
      </c>
    </row>
    <row r="527">
      <c r="A527" s="0" t="inlineStr">
        <is>
          <t>USR-100526</t>
        </is>
      </c>
      <c r="B527" s="23" t="n">
        <v>45658</v>
      </c>
      <c r="C527" s="0" t="inlineStr">
        <is>
          <t>Control</t>
        </is>
      </c>
      <c r="D527" s="0" t="inlineStr">
        <is>
          <t>West</t>
        </is>
      </c>
      <c r="E527" s="0" t="inlineStr">
        <is>
          <t>Mobile</t>
        </is>
      </c>
      <c r="F527" s="0" t="inlineStr">
        <is>
          <t>Paid Search</t>
        </is>
      </c>
      <c r="G527" s="0" t="inlineStr">
        <is>
          <t>Basic</t>
        </is>
      </c>
      <c r="H527" s="0" t="n">
        <v>1</v>
      </c>
      <c r="I527" s="0" t="n">
        <v>1</v>
      </c>
      <c r="J527" s="0" t="n">
        <v>1</v>
      </c>
      <c r="K527" s="0" t="n">
        <v>0</v>
      </c>
      <c r="L527" s="0" t="n">
        <v>0</v>
      </c>
      <c r="M527" s="0" t="n">
        <v>0</v>
      </c>
      <c r="N527" s="0" t="n">
        <v>0</v>
      </c>
      <c r="P527" s="0" t="n">
        <v>67.5</v>
      </c>
    </row>
    <row r="528">
      <c r="A528" s="0" t="inlineStr">
        <is>
          <t>USR-100527</t>
        </is>
      </c>
      <c r="B528" s="23" t="n">
        <v>45694</v>
      </c>
      <c r="C528" s="0" t="inlineStr">
        <is>
          <t>Control</t>
        </is>
      </c>
      <c r="D528" s="0" t="inlineStr">
        <is>
          <t>West</t>
        </is>
      </c>
      <c r="E528" s="0" t="inlineStr">
        <is>
          <t>Mobile</t>
        </is>
      </c>
      <c r="F528" s="0" t="inlineStr">
        <is>
          <t>Paid Search</t>
        </is>
      </c>
      <c r="G528" s="0" t="inlineStr">
        <is>
          <t>Basic</t>
        </is>
      </c>
      <c r="H528" s="0" t="n">
        <v>1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P528" s="0" t="n">
        <v>36.8</v>
      </c>
    </row>
    <row r="529">
      <c r="A529" s="0" t="inlineStr">
        <is>
          <t>USR-100528</t>
        </is>
      </c>
      <c r="B529" s="23" t="n">
        <v>45713</v>
      </c>
      <c r="C529" s="0" t="inlineStr">
        <is>
          <t>Control</t>
        </is>
      </c>
      <c r="D529" s="0" t="inlineStr">
        <is>
          <t>North</t>
        </is>
      </c>
      <c r="E529" s="0" t="inlineStr">
        <is>
          <t>Desktop</t>
        </is>
      </c>
      <c r="F529" s="0" t="inlineStr">
        <is>
          <t>Organic</t>
        </is>
      </c>
      <c r="G529" s="0" t="inlineStr">
        <is>
          <t>Free</t>
        </is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P529" s="0" t="n">
        <v>66.5</v>
      </c>
    </row>
    <row r="530">
      <c r="A530" s="0" t="inlineStr">
        <is>
          <t>USR-100529</t>
        </is>
      </c>
      <c r="B530" s="23" t="n">
        <v>45791</v>
      </c>
      <c r="C530" s="0" t="inlineStr">
        <is>
          <t>Control</t>
        </is>
      </c>
      <c r="D530" s="0" t="inlineStr">
        <is>
          <t>East</t>
        </is>
      </c>
      <c r="E530" s="0" t="inlineStr">
        <is>
          <t>Tablet</t>
        </is>
      </c>
      <c r="F530" s="0" t="inlineStr">
        <is>
          <t>Social</t>
        </is>
      </c>
      <c r="G530" s="0" t="inlineStr">
        <is>
          <t>Free</t>
        </is>
      </c>
      <c r="H530" s="0" t="n">
        <v>1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P530" s="0" t="n">
        <v>35.4</v>
      </c>
    </row>
    <row r="531">
      <c r="A531" s="0" t="inlineStr">
        <is>
          <t>USR-100530</t>
        </is>
      </c>
      <c r="B531" s="23" t="n">
        <v>45797</v>
      </c>
      <c r="C531" s="0" t="inlineStr">
        <is>
          <t>Control</t>
        </is>
      </c>
      <c r="D531" s="0" t="inlineStr">
        <is>
          <t>South</t>
        </is>
      </c>
      <c r="E531" s="0" t="inlineStr">
        <is>
          <t>Mobile</t>
        </is>
      </c>
      <c r="F531" s="0" t="inlineStr">
        <is>
          <t>Organic</t>
        </is>
      </c>
      <c r="G531" s="0" t="inlineStr">
        <is>
          <t>Basic</t>
        </is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P531" s="0" t="n">
        <v>64.3</v>
      </c>
    </row>
    <row r="532">
      <c r="A532" s="0" t="inlineStr">
        <is>
          <t>USR-100531</t>
        </is>
      </c>
      <c r="B532" s="23" t="n">
        <v>45699</v>
      </c>
      <c r="C532" s="0" t="inlineStr">
        <is>
          <t>Control</t>
        </is>
      </c>
      <c r="D532" s="0" t="inlineStr">
        <is>
          <t>South</t>
        </is>
      </c>
      <c r="E532" s="0" t="inlineStr">
        <is>
          <t>Mobile</t>
        </is>
      </c>
      <c r="F532" s="0" t="inlineStr">
        <is>
          <t>Organic</t>
        </is>
      </c>
      <c r="G532" s="0" t="inlineStr">
        <is>
          <t>Free</t>
        </is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P532" s="0" t="n">
        <v>49.1</v>
      </c>
    </row>
    <row r="533">
      <c r="A533" s="0" t="inlineStr">
        <is>
          <t>USR-100532</t>
        </is>
      </c>
      <c r="B533" s="23" t="n">
        <v>45701</v>
      </c>
      <c r="C533" s="0" t="inlineStr">
        <is>
          <t>Control</t>
        </is>
      </c>
      <c r="D533" s="0" t="inlineStr">
        <is>
          <t>West</t>
        </is>
      </c>
      <c r="E533" s="0" t="inlineStr">
        <is>
          <t>Mobile</t>
        </is>
      </c>
      <c r="F533" s="0" t="inlineStr">
        <is>
          <t>Organic</t>
        </is>
      </c>
      <c r="G533" s="0" t="inlineStr">
        <is>
          <t>Free</t>
        </is>
      </c>
      <c r="H533" s="0" t="n">
        <v>1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P533" s="0" t="n">
        <v>84.3</v>
      </c>
    </row>
    <row r="534">
      <c r="A534" s="0" t="inlineStr">
        <is>
          <t>USR-100533</t>
        </is>
      </c>
      <c r="B534" s="23" t="n">
        <v>45754</v>
      </c>
      <c r="C534" s="0" t="inlineStr">
        <is>
          <t>Control</t>
        </is>
      </c>
      <c r="D534" s="0" t="inlineStr">
        <is>
          <t>South</t>
        </is>
      </c>
      <c r="E534" s="0" t="inlineStr">
        <is>
          <t>Mobile</t>
        </is>
      </c>
      <c r="F534" s="0" t="inlineStr">
        <is>
          <t>Paid Search</t>
        </is>
      </c>
      <c r="G534" s="0" t="inlineStr">
        <is>
          <t>Premium</t>
        </is>
      </c>
      <c r="H534" s="0" t="n">
        <v>1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P534" s="0" t="n">
        <v>65.59999999999999</v>
      </c>
    </row>
    <row r="535">
      <c r="A535" s="0" t="inlineStr">
        <is>
          <t>USR-100534</t>
        </is>
      </c>
      <c r="B535" s="23" t="n">
        <v>45724</v>
      </c>
      <c r="C535" s="0" t="inlineStr">
        <is>
          <t>Control</t>
        </is>
      </c>
      <c r="D535" s="0" t="inlineStr">
        <is>
          <t>East</t>
        </is>
      </c>
      <c r="E535" s="0" t="inlineStr">
        <is>
          <t>Mobile</t>
        </is>
      </c>
      <c r="F535" s="0" t="inlineStr">
        <is>
          <t>Email</t>
        </is>
      </c>
      <c r="G535" s="0" t="inlineStr">
        <is>
          <t>Free</t>
        </is>
      </c>
      <c r="H535" s="0" t="n">
        <v>1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P535" s="0" t="n">
        <v>47.1</v>
      </c>
    </row>
    <row r="536">
      <c r="A536" s="0" t="inlineStr">
        <is>
          <t>USR-100535</t>
        </is>
      </c>
      <c r="B536" s="23" t="n">
        <v>45704</v>
      </c>
      <c r="C536" s="0" t="inlineStr">
        <is>
          <t>Control</t>
        </is>
      </c>
      <c r="D536" s="0" t="inlineStr">
        <is>
          <t>North</t>
        </is>
      </c>
      <c r="E536" s="0" t="inlineStr">
        <is>
          <t>Desktop</t>
        </is>
      </c>
      <c r="F536" s="0" t="inlineStr">
        <is>
          <t>Paid Search</t>
        </is>
      </c>
      <c r="G536" s="0" t="inlineStr">
        <is>
          <t>Free</t>
        </is>
      </c>
      <c r="H536" s="0" t="n">
        <v>1</v>
      </c>
      <c r="I536" s="0" t="n">
        <v>1</v>
      </c>
      <c r="J536" s="0" t="n">
        <v>1</v>
      </c>
      <c r="K536" s="0" t="n">
        <v>0</v>
      </c>
      <c r="L536" s="0" t="n">
        <v>0</v>
      </c>
      <c r="M536" s="0" t="n">
        <v>0</v>
      </c>
      <c r="N536" s="0" t="n">
        <v>0</v>
      </c>
      <c r="P536" s="0" t="n">
        <v>70</v>
      </c>
    </row>
    <row r="537">
      <c r="A537" s="0" t="inlineStr">
        <is>
          <t>USR-100536</t>
        </is>
      </c>
      <c r="B537" s="23" t="n">
        <v>45775</v>
      </c>
      <c r="C537" s="0" t="inlineStr">
        <is>
          <t>Control</t>
        </is>
      </c>
      <c r="D537" s="0" t="inlineStr">
        <is>
          <t>South</t>
        </is>
      </c>
      <c r="E537" s="0" t="inlineStr">
        <is>
          <t>Mobile</t>
        </is>
      </c>
      <c r="F537" s="0" t="inlineStr">
        <is>
          <t>Paid Search</t>
        </is>
      </c>
      <c r="G537" s="0" t="inlineStr">
        <is>
          <t>Premium</t>
        </is>
      </c>
      <c r="H537" s="0" t="n">
        <v>1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P537" s="0" t="n">
        <v>54.6</v>
      </c>
    </row>
    <row r="538">
      <c r="A538" s="0" t="inlineStr">
        <is>
          <t>USR-100537</t>
        </is>
      </c>
      <c r="B538" s="23" t="n">
        <v>45726</v>
      </c>
      <c r="C538" s="0" t="inlineStr">
        <is>
          <t>Control</t>
        </is>
      </c>
      <c r="D538" s="0" t="inlineStr">
        <is>
          <t>West</t>
        </is>
      </c>
      <c r="E538" s="0" t="inlineStr">
        <is>
          <t>Tablet</t>
        </is>
      </c>
      <c r="F538" s="0" t="inlineStr">
        <is>
          <t>Social</t>
        </is>
      </c>
      <c r="G538" s="0" t="inlineStr">
        <is>
          <t>Basic</t>
        </is>
      </c>
      <c r="H538" s="0" t="n">
        <v>1</v>
      </c>
      <c r="I538" s="0" t="n">
        <v>1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0</v>
      </c>
      <c r="P538" s="0" t="n">
        <v>65.2</v>
      </c>
    </row>
    <row r="539">
      <c r="A539" s="0" t="inlineStr">
        <is>
          <t>USR-100538</t>
        </is>
      </c>
      <c r="B539" s="23" t="n">
        <v>45682</v>
      </c>
      <c r="C539" s="0" t="inlineStr">
        <is>
          <t>Control</t>
        </is>
      </c>
      <c r="D539" s="0" t="inlineStr">
        <is>
          <t>East</t>
        </is>
      </c>
      <c r="E539" s="0" t="inlineStr">
        <is>
          <t>Mobile</t>
        </is>
      </c>
      <c r="F539" s="0" t="inlineStr">
        <is>
          <t>Social</t>
        </is>
      </c>
      <c r="G539" s="0" t="inlineStr">
        <is>
          <t>Free</t>
        </is>
      </c>
      <c r="H539" s="0" t="n">
        <v>1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P539" s="0" t="n">
        <v>65</v>
      </c>
    </row>
    <row r="540">
      <c r="A540" s="0" t="inlineStr">
        <is>
          <t>USR-100539</t>
        </is>
      </c>
      <c r="B540" s="23" t="n">
        <v>45668</v>
      </c>
      <c r="C540" s="0" t="inlineStr">
        <is>
          <t>Control</t>
        </is>
      </c>
      <c r="D540" s="0" t="inlineStr">
        <is>
          <t>West</t>
        </is>
      </c>
      <c r="E540" s="0" t="inlineStr">
        <is>
          <t>Mobile</t>
        </is>
      </c>
      <c r="F540" s="0" t="inlineStr">
        <is>
          <t>Paid Search</t>
        </is>
      </c>
      <c r="G540" s="0" t="inlineStr">
        <is>
          <t>Premium</t>
        </is>
      </c>
      <c r="H540" s="0" t="n">
        <v>1</v>
      </c>
      <c r="I540" s="0" t="n">
        <v>1</v>
      </c>
      <c r="J540" s="0" t="n">
        <v>1</v>
      </c>
      <c r="K540" s="0" t="n">
        <v>0</v>
      </c>
      <c r="L540" s="0" t="n">
        <v>0</v>
      </c>
      <c r="M540" s="0" t="n">
        <v>1</v>
      </c>
      <c r="N540" s="0" t="n">
        <v>0</v>
      </c>
      <c r="P540" s="0" t="n">
        <v>42.1</v>
      </c>
    </row>
    <row r="541">
      <c r="A541" s="0" t="inlineStr">
        <is>
          <t>USR-100540</t>
        </is>
      </c>
      <c r="B541" s="23" t="n">
        <v>45747</v>
      </c>
      <c r="C541" s="0" t="inlineStr">
        <is>
          <t>Control</t>
        </is>
      </c>
      <c r="D541" s="0" t="inlineStr">
        <is>
          <t>West</t>
        </is>
      </c>
      <c r="E541" s="0" t="inlineStr">
        <is>
          <t>Tablet</t>
        </is>
      </c>
      <c r="F541" s="0" t="inlineStr">
        <is>
          <t>Paid Search</t>
        </is>
      </c>
      <c r="G541" s="0" t="inlineStr">
        <is>
          <t>Free</t>
        </is>
      </c>
      <c r="H541" s="0" t="n">
        <v>1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P541" s="0" t="n">
        <v>43.4</v>
      </c>
    </row>
    <row r="542">
      <c r="A542" s="0" t="inlineStr">
        <is>
          <t>USR-100541</t>
        </is>
      </c>
      <c r="B542" s="23" t="n">
        <v>45799</v>
      </c>
      <c r="C542" s="0" t="inlineStr">
        <is>
          <t>Control</t>
        </is>
      </c>
      <c r="D542" s="0" t="inlineStr">
        <is>
          <t>North</t>
        </is>
      </c>
      <c r="E542" s="0" t="inlineStr">
        <is>
          <t>Mobile</t>
        </is>
      </c>
      <c r="F542" s="0" t="inlineStr">
        <is>
          <t>Paid Search</t>
        </is>
      </c>
      <c r="G542" s="0" t="inlineStr">
        <is>
          <t>Basic</t>
        </is>
      </c>
      <c r="H542" s="0" t="n">
        <v>1</v>
      </c>
      <c r="I542" s="0" t="n">
        <v>1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P542" s="0" t="n">
        <v>39.9</v>
      </c>
    </row>
    <row r="543">
      <c r="A543" s="0" t="inlineStr">
        <is>
          <t>USR-100542</t>
        </is>
      </c>
      <c r="B543" s="23" t="n">
        <v>45793</v>
      </c>
      <c r="C543" s="0" t="inlineStr">
        <is>
          <t>Control</t>
        </is>
      </c>
      <c r="D543" s="0" t="inlineStr">
        <is>
          <t>North</t>
        </is>
      </c>
      <c r="E543" s="0" t="inlineStr">
        <is>
          <t>Mobile</t>
        </is>
      </c>
      <c r="F543" s="0" t="inlineStr">
        <is>
          <t>Referral</t>
        </is>
      </c>
      <c r="G543" s="0" t="inlineStr">
        <is>
          <t>Basic</t>
        </is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P543" s="0" t="n">
        <v>74.09999999999999</v>
      </c>
    </row>
    <row r="544">
      <c r="A544" s="0" t="inlineStr">
        <is>
          <t>USR-100543</t>
        </is>
      </c>
      <c r="B544" s="23" t="n">
        <v>45772</v>
      </c>
      <c r="C544" s="0" t="inlineStr">
        <is>
          <t>Control</t>
        </is>
      </c>
      <c r="D544" s="0" t="inlineStr">
        <is>
          <t>East</t>
        </is>
      </c>
      <c r="E544" s="0" t="inlineStr">
        <is>
          <t>Desktop</t>
        </is>
      </c>
      <c r="F544" s="0" t="inlineStr">
        <is>
          <t>Paid Search</t>
        </is>
      </c>
      <c r="G544" s="0" t="inlineStr">
        <is>
          <t>Free</t>
        </is>
      </c>
      <c r="H544" s="0" t="n">
        <v>1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P544" s="0" t="n">
        <v>61.4</v>
      </c>
    </row>
    <row r="545">
      <c r="A545" s="0" t="inlineStr">
        <is>
          <t>USR-100544</t>
        </is>
      </c>
      <c r="B545" s="23" t="n">
        <v>45764</v>
      </c>
      <c r="C545" s="0" t="inlineStr">
        <is>
          <t>Control</t>
        </is>
      </c>
      <c r="D545" s="0" t="inlineStr">
        <is>
          <t>East</t>
        </is>
      </c>
      <c r="E545" s="0" t="inlineStr">
        <is>
          <t>Mobile</t>
        </is>
      </c>
      <c r="F545" s="0" t="inlineStr">
        <is>
          <t>Social</t>
        </is>
      </c>
      <c r="G545" s="0" t="inlineStr">
        <is>
          <t>Premium</t>
        </is>
      </c>
      <c r="H545" s="0" t="n">
        <v>1</v>
      </c>
      <c r="I545" s="0" t="n">
        <v>1</v>
      </c>
      <c r="J545" s="0" t="n">
        <v>1</v>
      </c>
      <c r="K545" s="0" t="n">
        <v>0</v>
      </c>
      <c r="L545" s="0" t="n">
        <v>0</v>
      </c>
      <c r="M545" s="0" t="n">
        <v>0</v>
      </c>
      <c r="N545" s="0" t="n">
        <v>0</v>
      </c>
      <c r="P545" s="0" t="n">
        <v>76.8</v>
      </c>
    </row>
    <row r="546">
      <c r="A546" s="0" t="inlineStr">
        <is>
          <t>USR-100545</t>
        </is>
      </c>
      <c r="B546" s="23" t="n">
        <v>45658</v>
      </c>
      <c r="C546" s="0" t="inlineStr">
        <is>
          <t>Control</t>
        </is>
      </c>
      <c r="D546" s="0" t="inlineStr">
        <is>
          <t>South</t>
        </is>
      </c>
      <c r="E546" s="0" t="inlineStr">
        <is>
          <t>Desktop</t>
        </is>
      </c>
      <c r="F546" s="0" t="inlineStr">
        <is>
          <t>Social</t>
        </is>
      </c>
      <c r="G546" s="0" t="inlineStr">
        <is>
          <t>Basic</t>
        </is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</row>
    <row r="547">
      <c r="A547" s="0" t="inlineStr">
        <is>
          <t>USR-100546</t>
        </is>
      </c>
      <c r="B547" s="23" t="n">
        <v>45734</v>
      </c>
      <c r="C547" s="0" t="inlineStr">
        <is>
          <t>Control</t>
        </is>
      </c>
      <c r="D547" s="0" t="inlineStr">
        <is>
          <t>East</t>
        </is>
      </c>
      <c r="E547" s="0" t="inlineStr">
        <is>
          <t>Mobile</t>
        </is>
      </c>
      <c r="F547" s="0" t="inlineStr">
        <is>
          <t>Paid Search</t>
        </is>
      </c>
      <c r="G547" s="0" t="inlineStr">
        <is>
          <t>Basic</t>
        </is>
      </c>
      <c r="H547" s="0" t="n">
        <v>1</v>
      </c>
      <c r="I547" s="0" t="n">
        <v>1</v>
      </c>
      <c r="J547" s="0" t="n">
        <v>1</v>
      </c>
      <c r="K547" s="0" t="n">
        <v>0</v>
      </c>
      <c r="L547" s="0" t="n">
        <v>0</v>
      </c>
      <c r="M547" s="0" t="n">
        <v>0</v>
      </c>
      <c r="N547" s="0" t="n">
        <v>0</v>
      </c>
      <c r="P547" s="0" t="n">
        <v>45.3</v>
      </c>
    </row>
    <row r="548">
      <c r="A548" s="0" t="inlineStr">
        <is>
          <t>USR-100547</t>
        </is>
      </c>
      <c r="B548" s="23" t="n">
        <v>45797</v>
      </c>
      <c r="C548" s="0" t="inlineStr">
        <is>
          <t>Control</t>
        </is>
      </c>
      <c r="D548" s="0" t="inlineStr">
        <is>
          <t>North</t>
        </is>
      </c>
      <c r="E548" s="0" t="inlineStr">
        <is>
          <t>Tablet</t>
        </is>
      </c>
      <c r="F548" s="0" t="inlineStr">
        <is>
          <t>Paid Search</t>
        </is>
      </c>
      <c r="G548" s="0" t="inlineStr">
        <is>
          <t>Free</t>
        </is>
      </c>
      <c r="H548" s="0" t="n">
        <v>1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P548" s="0" t="n">
        <v>41.4</v>
      </c>
    </row>
    <row r="549">
      <c r="A549" s="0" t="inlineStr">
        <is>
          <t>USR-100548</t>
        </is>
      </c>
      <c r="B549" s="23" t="n">
        <v>45732</v>
      </c>
      <c r="C549" s="0" t="inlineStr">
        <is>
          <t>Control</t>
        </is>
      </c>
      <c r="D549" s="0" t="inlineStr">
        <is>
          <t>North</t>
        </is>
      </c>
      <c r="E549" s="0" t="inlineStr">
        <is>
          <t>Mobile</t>
        </is>
      </c>
      <c r="F549" s="0" t="inlineStr">
        <is>
          <t>Organic</t>
        </is>
      </c>
      <c r="G549" s="0" t="inlineStr">
        <is>
          <t>Basic</t>
        </is>
      </c>
      <c r="H549" s="0" t="n">
        <v>1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P549" s="0" t="n">
        <v>37.1</v>
      </c>
    </row>
    <row r="550">
      <c r="A550" s="0" t="inlineStr">
        <is>
          <t>USR-100549</t>
        </is>
      </c>
      <c r="B550" s="23" t="n">
        <v>45807</v>
      </c>
      <c r="C550" s="0" t="inlineStr">
        <is>
          <t>Control</t>
        </is>
      </c>
      <c r="D550" s="0" t="inlineStr">
        <is>
          <t>East</t>
        </is>
      </c>
      <c r="E550" s="0" t="inlineStr">
        <is>
          <t>Desktop</t>
        </is>
      </c>
      <c r="F550" s="0" t="inlineStr">
        <is>
          <t>Social</t>
        </is>
      </c>
      <c r="G550" s="0" t="inlineStr">
        <is>
          <t>Free</t>
        </is>
      </c>
      <c r="H550" s="0" t="n">
        <v>1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P550" s="0" t="n">
        <v>40.7</v>
      </c>
    </row>
    <row r="551">
      <c r="A551" s="0" t="inlineStr">
        <is>
          <t>USR-100550</t>
        </is>
      </c>
      <c r="B551" s="23" t="n">
        <v>45708</v>
      </c>
      <c r="C551" s="0" t="inlineStr">
        <is>
          <t>Control</t>
        </is>
      </c>
      <c r="D551" s="0" t="inlineStr">
        <is>
          <t>North</t>
        </is>
      </c>
      <c r="E551" s="0" t="inlineStr">
        <is>
          <t>Mobile</t>
        </is>
      </c>
      <c r="F551" s="0" t="inlineStr">
        <is>
          <t>Social</t>
        </is>
      </c>
      <c r="G551" s="0" t="inlineStr">
        <is>
          <t>Premium</t>
        </is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2</v>
      </c>
      <c r="N551" s="0" t="n">
        <v>0</v>
      </c>
      <c r="P551" s="0" t="n">
        <v>55.9</v>
      </c>
    </row>
    <row r="552">
      <c r="A552" s="0" t="inlineStr">
        <is>
          <t>USR-100551</t>
        </is>
      </c>
      <c r="B552" s="23" t="n">
        <v>45699</v>
      </c>
      <c r="C552" s="0" t="inlineStr">
        <is>
          <t>Control</t>
        </is>
      </c>
      <c r="D552" s="0" t="inlineStr">
        <is>
          <t>East</t>
        </is>
      </c>
      <c r="E552" s="0" t="inlineStr">
        <is>
          <t>Unknown</t>
        </is>
      </c>
      <c r="F552" s="0" t="inlineStr">
        <is>
          <t>Social</t>
        </is>
      </c>
      <c r="G552" s="0" t="inlineStr">
        <is>
          <t>Free</t>
        </is>
      </c>
      <c r="H552" s="0" t="n">
        <v>1</v>
      </c>
      <c r="I552" s="0" t="n">
        <v>1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P552" s="0" t="n">
        <v>55.8</v>
      </c>
    </row>
    <row r="553">
      <c r="A553" s="0" t="inlineStr">
        <is>
          <t>USR-100552</t>
        </is>
      </c>
      <c r="B553" s="23" t="n">
        <v>45659</v>
      </c>
      <c r="C553" s="0" t="inlineStr">
        <is>
          <t>Control</t>
        </is>
      </c>
      <c r="D553" s="0" t="inlineStr">
        <is>
          <t>South</t>
        </is>
      </c>
      <c r="E553" s="0" t="inlineStr">
        <is>
          <t>Tablet</t>
        </is>
      </c>
      <c r="F553" s="0" t="inlineStr">
        <is>
          <t>Referral</t>
        </is>
      </c>
      <c r="G553" s="0" t="inlineStr">
        <is>
          <t>Basic</t>
        </is>
      </c>
      <c r="H553" s="0" t="n">
        <v>1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P553" s="0" t="n">
        <v>64.3</v>
      </c>
    </row>
    <row r="554">
      <c r="A554" s="0" t="inlineStr">
        <is>
          <t>USR-100553</t>
        </is>
      </c>
      <c r="B554" s="23" t="n">
        <v>45780</v>
      </c>
      <c r="C554" s="0" t="inlineStr">
        <is>
          <t>Control</t>
        </is>
      </c>
      <c r="D554" s="0" t="inlineStr">
        <is>
          <t>North</t>
        </is>
      </c>
      <c r="E554" s="0" t="inlineStr">
        <is>
          <t>Mobile</t>
        </is>
      </c>
      <c r="F554" s="0" t="inlineStr">
        <is>
          <t>Organic</t>
        </is>
      </c>
      <c r="G554" s="0" t="inlineStr">
        <is>
          <t>Free</t>
        </is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P554" s="0" t="n">
        <v>65.40000000000001</v>
      </c>
    </row>
    <row r="555">
      <c r="A555" s="0" t="inlineStr">
        <is>
          <t>USR-100554</t>
        </is>
      </c>
      <c r="B555" s="23" t="n">
        <v>45712</v>
      </c>
      <c r="C555" s="0" t="inlineStr">
        <is>
          <t>Control</t>
        </is>
      </c>
      <c r="D555" s="0" t="inlineStr">
        <is>
          <t>West</t>
        </is>
      </c>
      <c r="E555" s="0" t="inlineStr">
        <is>
          <t>Mobile</t>
        </is>
      </c>
      <c r="F555" s="0" t="inlineStr">
        <is>
          <t>Organic</t>
        </is>
      </c>
      <c r="G555" s="0" t="inlineStr">
        <is>
          <t>Free</t>
        </is>
      </c>
      <c r="H555" s="0" t="n">
        <v>1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P555" s="0" t="n">
        <v>89.8</v>
      </c>
    </row>
    <row r="556">
      <c r="A556" s="0" t="inlineStr">
        <is>
          <t>USR-100555</t>
        </is>
      </c>
      <c r="B556" s="23" t="n">
        <v>45699</v>
      </c>
      <c r="C556" s="0" t="inlineStr">
        <is>
          <t>Control</t>
        </is>
      </c>
      <c r="D556" s="0" t="inlineStr">
        <is>
          <t>South</t>
        </is>
      </c>
      <c r="E556" s="0" t="inlineStr">
        <is>
          <t>Unknown</t>
        </is>
      </c>
      <c r="F556" s="0" t="inlineStr">
        <is>
          <t>Organic</t>
        </is>
      </c>
      <c r="G556" s="0" t="inlineStr">
        <is>
          <t>Free</t>
        </is>
      </c>
      <c r="H556" s="0" t="n">
        <v>1</v>
      </c>
      <c r="I556" s="0" t="n">
        <v>1</v>
      </c>
      <c r="J556" s="0" t="n">
        <v>1</v>
      </c>
      <c r="K556" s="0" t="n">
        <v>0</v>
      </c>
      <c r="L556" s="0" t="n">
        <v>0</v>
      </c>
      <c r="M556" s="0" t="n">
        <v>0</v>
      </c>
      <c r="N556" s="0" t="n">
        <v>0</v>
      </c>
      <c r="P556" s="0" t="n">
        <v>58.3</v>
      </c>
    </row>
    <row r="557">
      <c r="A557" s="0" t="inlineStr">
        <is>
          <t>USR-100556</t>
        </is>
      </c>
      <c r="B557" s="23" t="n">
        <v>45783</v>
      </c>
      <c r="C557" s="0" t="inlineStr">
        <is>
          <t>Control</t>
        </is>
      </c>
      <c r="D557" s="0" t="inlineStr">
        <is>
          <t>South</t>
        </is>
      </c>
      <c r="E557" s="0" t="inlineStr">
        <is>
          <t>Mobile</t>
        </is>
      </c>
      <c r="F557" s="0" t="inlineStr">
        <is>
          <t>Social</t>
        </is>
      </c>
      <c r="G557" s="0" t="inlineStr">
        <is>
          <t>Basic</t>
        </is>
      </c>
      <c r="H557" s="0" t="n">
        <v>1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P557" s="0" t="n">
        <v>64.40000000000001</v>
      </c>
    </row>
    <row r="558">
      <c r="A558" s="0" t="inlineStr">
        <is>
          <t>USR-100557</t>
        </is>
      </c>
      <c r="B558" s="23" t="n">
        <v>45800</v>
      </c>
      <c r="C558" s="0" t="inlineStr">
        <is>
          <t>Control</t>
        </is>
      </c>
      <c r="D558" s="0" t="inlineStr">
        <is>
          <t>North</t>
        </is>
      </c>
      <c r="E558" s="0" t="inlineStr">
        <is>
          <t>Mobile</t>
        </is>
      </c>
      <c r="F558" s="0" t="inlineStr">
        <is>
          <t>Paid Search</t>
        </is>
      </c>
      <c r="G558" s="0" t="inlineStr">
        <is>
          <t>Premium</t>
        </is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P558" s="0" t="n">
        <v>46.2</v>
      </c>
    </row>
    <row r="559">
      <c r="A559" s="0" t="inlineStr">
        <is>
          <t>USR-100558</t>
        </is>
      </c>
      <c r="B559" s="23" t="n">
        <v>45666</v>
      </c>
      <c r="C559" s="0" t="inlineStr">
        <is>
          <t>Control</t>
        </is>
      </c>
      <c r="D559" s="0" t="inlineStr">
        <is>
          <t>North</t>
        </is>
      </c>
      <c r="E559" s="0" t="inlineStr">
        <is>
          <t>Desktop</t>
        </is>
      </c>
      <c r="F559" s="0" t="inlineStr">
        <is>
          <t>Paid Search</t>
        </is>
      </c>
      <c r="G559" s="0" t="inlineStr">
        <is>
          <t>Free</t>
        </is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P559" s="0" t="n">
        <v>78</v>
      </c>
    </row>
    <row r="560">
      <c r="A560" s="0" t="inlineStr">
        <is>
          <t>USR-100559</t>
        </is>
      </c>
      <c r="B560" s="23" t="n">
        <v>45748</v>
      </c>
      <c r="C560" s="0" t="inlineStr">
        <is>
          <t>Control</t>
        </is>
      </c>
      <c r="D560" s="0" t="inlineStr">
        <is>
          <t>North</t>
        </is>
      </c>
      <c r="E560" s="0" t="inlineStr">
        <is>
          <t>Desktop</t>
        </is>
      </c>
      <c r="F560" s="0" t="inlineStr">
        <is>
          <t>Organic</t>
        </is>
      </c>
      <c r="G560" s="0" t="inlineStr">
        <is>
          <t>Premium</t>
        </is>
      </c>
      <c r="H560" s="0" t="n">
        <v>1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P560" s="0" t="n">
        <v>62.3</v>
      </c>
    </row>
    <row r="561">
      <c r="A561" s="0" t="inlineStr">
        <is>
          <t>USR-100560</t>
        </is>
      </c>
      <c r="B561" s="23" t="n">
        <v>45724</v>
      </c>
      <c r="C561" s="0" t="inlineStr">
        <is>
          <t>Control</t>
        </is>
      </c>
      <c r="D561" s="0" t="inlineStr">
        <is>
          <t>North</t>
        </is>
      </c>
      <c r="E561" s="0" t="inlineStr">
        <is>
          <t>Mobile</t>
        </is>
      </c>
      <c r="F561" s="0" t="inlineStr">
        <is>
          <t>Organic</t>
        </is>
      </c>
      <c r="G561" s="0" t="inlineStr">
        <is>
          <t>Free</t>
        </is>
      </c>
      <c r="H561" s="0" t="n">
        <v>1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P561" s="0" t="n">
        <v>78.8</v>
      </c>
    </row>
    <row r="562">
      <c r="A562" s="0" t="inlineStr">
        <is>
          <t>USR-100561</t>
        </is>
      </c>
      <c r="B562" s="23" t="n">
        <v>45708</v>
      </c>
      <c r="C562" s="0" t="inlineStr">
        <is>
          <t>Control</t>
        </is>
      </c>
      <c r="D562" s="0" t="inlineStr">
        <is>
          <t>North</t>
        </is>
      </c>
      <c r="E562" s="0" t="inlineStr">
        <is>
          <t>Mobile</t>
        </is>
      </c>
      <c r="F562" s="0" t="inlineStr">
        <is>
          <t>Social</t>
        </is>
      </c>
      <c r="G562" s="0" t="inlineStr">
        <is>
          <t>Basic</t>
        </is>
      </c>
      <c r="H562" s="0" t="n">
        <v>1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P562" s="0" t="n">
        <v>25</v>
      </c>
    </row>
    <row r="563">
      <c r="A563" s="0" t="inlineStr">
        <is>
          <t>USR-100562</t>
        </is>
      </c>
      <c r="B563" s="23" t="n">
        <v>45746</v>
      </c>
      <c r="C563" s="0" t="inlineStr">
        <is>
          <t>Control</t>
        </is>
      </c>
      <c r="D563" s="0" t="inlineStr">
        <is>
          <t>East</t>
        </is>
      </c>
      <c r="E563" s="0" t="inlineStr">
        <is>
          <t>Mobile</t>
        </is>
      </c>
      <c r="F563" s="0" t="inlineStr">
        <is>
          <t>Social</t>
        </is>
      </c>
      <c r="G563" s="0" t="inlineStr">
        <is>
          <t>Basic</t>
        </is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P563" s="0" t="n">
        <v>53.4</v>
      </c>
    </row>
    <row r="564">
      <c r="A564" s="0" t="inlineStr">
        <is>
          <t>USR-100563</t>
        </is>
      </c>
      <c r="B564" s="23" t="n">
        <v>45757</v>
      </c>
      <c r="C564" s="0" t="inlineStr">
        <is>
          <t>Control</t>
        </is>
      </c>
      <c r="D564" s="0" t="inlineStr">
        <is>
          <t>East</t>
        </is>
      </c>
      <c r="E564" s="0" t="inlineStr">
        <is>
          <t>Desktop</t>
        </is>
      </c>
      <c r="F564" s="0" t="inlineStr">
        <is>
          <t>Organic</t>
        </is>
      </c>
      <c r="G564" s="0" t="inlineStr">
        <is>
          <t>Basic</t>
        </is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P564" s="0" t="n">
        <v>40.7</v>
      </c>
    </row>
    <row r="565">
      <c r="A565" s="0" t="inlineStr">
        <is>
          <t>USR-100564</t>
        </is>
      </c>
      <c r="B565" s="23" t="n">
        <v>45740</v>
      </c>
      <c r="C565" s="0" t="inlineStr">
        <is>
          <t>Control</t>
        </is>
      </c>
      <c r="D565" s="0" t="inlineStr">
        <is>
          <t>East</t>
        </is>
      </c>
      <c r="E565" s="0" t="inlineStr">
        <is>
          <t>Mobile</t>
        </is>
      </c>
      <c r="F565" s="0" t="inlineStr">
        <is>
          <t>Organic</t>
        </is>
      </c>
      <c r="G565" s="0" t="inlineStr">
        <is>
          <t>Premium</t>
        </is>
      </c>
      <c r="H565" s="0" t="n">
        <v>1</v>
      </c>
      <c r="I565" s="0" t="n">
        <v>1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P565" s="0" t="n">
        <v>36.7</v>
      </c>
    </row>
    <row r="566">
      <c r="A566" s="0" t="inlineStr">
        <is>
          <t>USR-100565</t>
        </is>
      </c>
      <c r="B566" s="23" t="n">
        <v>45798</v>
      </c>
      <c r="C566" s="0" t="inlineStr">
        <is>
          <t>Control</t>
        </is>
      </c>
      <c r="D566" s="0" t="inlineStr">
        <is>
          <t>West</t>
        </is>
      </c>
      <c r="E566" s="0" t="inlineStr">
        <is>
          <t>Mobile</t>
        </is>
      </c>
      <c r="F566" s="0" t="inlineStr">
        <is>
          <t>Organic</t>
        </is>
      </c>
      <c r="G566" s="0" t="inlineStr">
        <is>
          <t>Basic</t>
        </is>
      </c>
      <c r="H566" s="0" t="n">
        <v>1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1</v>
      </c>
      <c r="N566" s="0" t="n">
        <v>0</v>
      </c>
      <c r="P566" s="0" t="n">
        <v>67.5</v>
      </c>
    </row>
    <row r="567">
      <c r="A567" s="0" t="inlineStr">
        <is>
          <t>USR-100566</t>
        </is>
      </c>
      <c r="B567" s="23" t="n">
        <v>45745</v>
      </c>
      <c r="C567" s="0" t="inlineStr">
        <is>
          <t>Control</t>
        </is>
      </c>
      <c r="D567" s="0" t="inlineStr">
        <is>
          <t>East</t>
        </is>
      </c>
      <c r="E567" s="0" t="inlineStr">
        <is>
          <t>Mobile</t>
        </is>
      </c>
      <c r="F567" s="0" t="inlineStr">
        <is>
          <t>Social</t>
        </is>
      </c>
      <c r="G567" s="0" t="inlineStr">
        <is>
          <t>Premium</t>
        </is>
      </c>
      <c r="H567" s="0" t="n">
        <v>1</v>
      </c>
      <c r="I567" s="0" t="n">
        <v>1</v>
      </c>
      <c r="J567" s="0" t="n">
        <v>1</v>
      </c>
      <c r="K567" s="0" t="n">
        <v>0</v>
      </c>
      <c r="L567" s="0" t="n">
        <v>0</v>
      </c>
      <c r="M567" s="0" t="n">
        <v>0</v>
      </c>
      <c r="N567" s="0" t="n">
        <v>0</v>
      </c>
      <c r="P567" s="0" t="n">
        <v>69.90000000000001</v>
      </c>
    </row>
    <row r="568">
      <c r="A568" s="0" t="inlineStr">
        <is>
          <t>USR-100567</t>
        </is>
      </c>
      <c r="B568" s="23" t="n">
        <v>45711</v>
      </c>
      <c r="C568" s="0" t="inlineStr">
        <is>
          <t>Control</t>
        </is>
      </c>
      <c r="D568" s="0" t="inlineStr">
        <is>
          <t>North</t>
        </is>
      </c>
      <c r="E568" s="0" t="inlineStr">
        <is>
          <t>Tablet</t>
        </is>
      </c>
      <c r="F568" s="0" t="inlineStr">
        <is>
          <t>Referral</t>
        </is>
      </c>
      <c r="G568" s="0" t="inlineStr">
        <is>
          <t>Basic</t>
        </is>
      </c>
      <c r="H568" s="0" t="n">
        <v>1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P568" s="0" t="n">
        <v>65.09999999999999</v>
      </c>
    </row>
    <row r="569">
      <c r="A569" s="0" t="inlineStr">
        <is>
          <t>USR-100568</t>
        </is>
      </c>
      <c r="B569" s="23" t="n">
        <v>45704</v>
      </c>
      <c r="C569" s="0" t="inlineStr">
        <is>
          <t>Control</t>
        </is>
      </c>
      <c r="D569" s="0" t="inlineStr">
        <is>
          <t>West</t>
        </is>
      </c>
      <c r="E569" s="0" t="inlineStr">
        <is>
          <t>Mobile</t>
        </is>
      </c>
      <c r="F569" s="0" t="inlineStr">
        <is>
          <t>Paid Search</t>
        </is>
      </c>
      <c r="G569" s="0" t="inlineStr">
        <is>
          <t>Premium</t>
        </is>
      </c>
      <c r="H569" s="0" t="n">
        <v>1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P569" s="0" t="n">
        <v>48.7</v>
      </c>
    </row>
    <row r="570">
      <c r="A570" s="0" t="inlineStr">
        <is>
          <t>USR-100569</t>
        </is>
      </c>
      <c r="B570" s="23" t="n">
        <v>45709</v>
      </c>
      <c r="C570" s="0" t="inlineStr">
        <is>
          <t>Control</t>
        </is>
      </c>
      <c r="D570" s="0" t="inlineStr">
        <is>
          <t>West</t>
        </is>
      </c>
      <c r="E570" s="0" t="inlineStr">
        <is>
          <t>Desktop</t>
        </is>
      </c>
      <c r="F570" s="0" t="inlineStr">
        <is>
          <t>Organic</t>
        </is>
      </c>
      <c r="G570" s="0" t="inlineStr">
        <is>
          <t>Basic</t>
        </is>
      </c>
      <c r="H570" s="0" t="n">
        <v>1</v>
      </c>
      <c r="I570" s="0" t="n">
        <v>1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P570" s="0" t="n">
        <v>47.2</v>
      </c>
    </row>
    <row r="571">
      <c r="A571" s="0" t="inlineStr">
        <is>
          <t>USR-100570</t>
        </is>
      </c>
      <c r="B571" s="23" t="n">
        <v>45664</v>
      </c>
      <c r="C571" s="0" t="inlineStr">
        <is>
          <t>Control</t>
        </is>
      </c>
      <c r="D571" s="0" t="inlineStr">
        <is>
          <t>North</t>
        </is>
      </c>
      <c r="E571" s="0" t="inlineStr">
        <is>
          <t>Mobile</t>
        </is>
      </c>
      <c r="F571" s="0" t="inlineStr">
        <is>
          <t>Referral</t>
        </is>
      </c>
      <c r="G571" s="0" t="inlineStr">
        <is>
          <t>Free</t>
        </is>
      </c>
      <c r="H571" s="0" t="n">
        <v>1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2</v>
      </c>
      <c r="N571" s="0" t="n">
        <v>0</v>
      </c>
      <c r="P571" s="0" t="n">
        <v>20.3</v>
      </c>
    </row>
    <row r="572">
      <c r="A572" s="0" t="inlineStr">
        <is>
          <t>USR-100571</t>
        </is>
      </c>
      <c r="B572" s="23" t="n">
        <v>45722</v>
      </c>
      <c r="C572" s="0" t="inlineStr">
        <is>
          <t>Control</t>
        </is>
      </c>
      <c r="D572" s="0" t="inlineStr">
        <is>
          <t>West</t>
        </is>
      </c>
      <c r="E572" s="0" t="inlineStr">
        <is>
          <t>Mobile</t>
        </is>
      </c>
      <c r="F572" s="0" t="inlineStr">
        <is>
          <t>Paid Search</t>
        </is>
      </c>
      <c r="G572" s="0" t="inlineStr">
        <is>
          <t>Free</t>
        </is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0</v>
      </c>
      <c r="P572" s="0" t="n">
        <v>57.8</v>
      </c>
    </row>
    <row r="573">
      <c r="A573" s="0" t="inlineStr">
        <is>
          <t>USR-100572</t>
        </is>
      </c>
      <c r="B573" s="23" t="n">
        <v>45746</v>
      </c>
      <c r="C573" s="0" t="inlineStr">
        <is>
          <t>Control</t>
        </is>
      </c>
      <c r="D573" s="0" t="inlineStr">
        <is>
          <t>East</t>
        </is>
      </c>
      <c r="E573" s="0" t="inlineStr">
        <is>
          <t>Mobile</t>
        </is>
      </c>
      <c r="F573" s="0" t="inlineStr">
        <is>
          <t>Email</t>
        </is>
      </c>
      <c r="G573" s="0" t="inlineStr">
        <is>
          <t>Basic</t>
        </is>
      </c>
      <c r="H573" s="0" t="n">
        <v>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P573" s="0" t="n">
        <v>78.7</v>
      </c>
    </row>
    <row r="574">
      <c r="A574" s="0" t="inlineStr">
        <is>
          <t>USR-100573</t>
        </is>
      </c>
      <c r="B574" s="23" t="n">
        <v>45808</v>
      </c>
      <c r="C574" s="0" t="inlineStr">
        <is>
          <t>Control</t>
        </is>
      </c>
      <c r="D574" s="0" t="inlineStr">
        <is>
          <t>South</t>
        </is>
      </c>
      <c r="E574" s="0" t="inlineStr">
        <is>
          <t>Desktop</t>
        </is>
      </c>
      <c r="F574" s="0" t="inlineStr">
        <is>
          <t>Organic</t>
        </is>
      </c>
      <c r="G574" s="0" t="inlineStr">
        <is>
          <t>Free</t>
        </is>
      </c>
      <c r="H574" s="0" t="n">
        <v>1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P574" s="0" t="n">
        <v>63.6</v>
      </c>
    </row>
    <row r="575">
      <c r="A575" s="0" t="inlineStr">
        <is>
          <t>USR-100574</t>
        </is>
      </c>
      <c r="B575" s="23" t="n">
        <v>45708</v>
      </c>
      <c r="C575" s="0" t="inlineStr">
        <is>
          <t>Control</t>
        </is>
      </c>
      <c r="D575" s="0" t="inlineStr">
        <is>
          <t>South</t>
        </is>
      </c>
      <c r="E575" s="0" t="inlineStr">
        <is>
          <t>Mobile</t>
        </is>
      </c>
      <c r="F575" s="0" t="inlineStr">
        <is>
          <t>Email</t>
        </is>
      </c>
      <c r="G575" s="0" t="inlineStr">
        <is>
          <t>Free</t>
        </is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2</v>
      </c>
      <c r="N575" s="0" t="n">
        <v>0</v>
      </c>
      <c r="P575" s="0" t="n">
        <v>45.1</v>
      </c>
    </row>
    <row r="576">
      <c r="A576" s="0" t="inlineStr">
        <is>
          <t>USR-100575</t>
        </is>
      </c>
      <c r="B576" s="23" t="n">
        <v>45670</v>
      </c>
      <c r="C576" s="0" t="inlineStr">
        <is>
          <t>Control</t>
        </is>
      </c>
      <c r="D576" s="0" t="inlineStr">
        <is>
          <t>West</t>
        </is>
      </c>
      <c r="E576" s="0" t="inlineStr">
        <is>
          <t>Mobile</t>
        </is>
      </c>
      <c r="F576" s="0" t="inlineStr">
        <is>
          <t>Social</t>
        </is>
      </c>
      <c r="G576" s="0" t="inlineStr">
        <is>
          <t>Free</t>
        </is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P576" s="0" t="n">
        <v>77.5</v>
      </c>
    </row>
    <row r="577">
      <c r="A577" s="0" t="inlineStr">
        <is>
          <t>USR-100576</t>
        </is>
      </c>
      <c r="B577" s="23" t="n">
        <v>45790</v>
      </c>
      <c r="C577" s="0" t="inlineStr">
        <is>
          <t>Control</t>
        </is>
      </c>
      <c r="D577" s="0" t="inlineStr">
        <is>
          <t>East</t>
        </is>
      </c>
      <c r="E577" s="0" t="inlineStr">
        <is>
          <t>Desktop</t>
        </is>
      </c>
      <c r="F577" s="0" t="inlineStr">
        <is>
          <t>Paid Search</t>
        </is>
      </c>
      <c r="G577" s="0" t="inlineStr">
        <is>
          <t>Basic</t>
        </is>
      </c>
      <c r="H577" s="0" t="n">
        <v>1</v>
      </c>
      <c r="I577" s="0" t="n">
        <v>1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P577" s="0" t="n">
        <v>58</v>
      </c>
    </row>
    <row r="578">
      <c r="A578" s="0" t="inlineStr">
        <is>
          <t>USR-100577</t>
        </is>
      </c>
      <c r="B578" s="23" t="n">
        <v>45768</v>
      </c>
      <c r="C578" s="0" t="inlineStr">
        <is>
          <t>Control</t>
        </is>
      </c>
      <c r="D578" s="0" t="inlineStr">
        <is>
          <t>South</t>
        </is>
      </c>
      <c r="E578" s="0" t="inlineStr">
        <is>
          <t>Tablet</t>
        </is>
      </c>
      <c r="F578" s="0" t="inlineStr">
        <is>
          <t>Organic</t>
        </is>
      </c>
      <c r="G578" s="0" t="inlineStr">
        <is>
          <t>Free</t>
        </is>
      </c>
      <c r="H578" s="0" t="n">
        <v>1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P578" s="0" t="n">
        <v>68.09999999999999</v>
      </c>
    </row>
    <row r="579">
      <c r="A579" s="0" t="inlineStr">
        <is>
          <t>USR-100578</t>
        </is>
      </c>
      <c r="B579" s="23" t="n">
        <v>45717</v>
      </c>
      <c r="C579" s="0" t="inlineStr">
        <is>
          <t>Control</t>
        </is>
      </c>
      <c r="D579" s="0" t="inlineStr">
        <is>
          <t>East</t>
        </is>
      </c>
      <c r="E579" s="0" t="inlineStr">
        <is>
          <t>Tablet</t>
        </is>
      </c>
      <c r="F579" s="0" t="inlineStr">
        <is>
          <t>Organic</t>
        </is>
      </c>
      <c r="G579" s="0" t="inlineStr">
        <is>
          <t>Premium</t>
        </is>
      </c>
      <c r="H579" s="0" t="n">
        <v>1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P579" s="0" t="n">
        <v>35.4</v>
      </c>
    </row>
    <row r="580">
      <c r="A580" s="0" t="inlineStr">
        <is>
          <t>USR-100579</t>
        </is>
      </c>
      <c r="B580" s="23" t="n">
        <v>45726</v>
      </c>
      <c r="C580" s="0" t="inlineStr">
        <is>
          <t>Control</t>
        </is>
      </c>
      <c r="D580" s="0" t="inlineStr">
        <is>
          <t>West</t>
        </is>
      </c>
      <c r="E580" s="0" t="inlineStr">
        <is>
          <t>Tablet</t>
        </is>
      </c>
      <c r="F580" s="0" t="inlineStr">
        <is>
          <t>Organic</t>
        </is>
      </c>
      <c r="G580" s="0" t="inlineStr">
        <is>
          <t>Free</t>
        </is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P580" s="0" t="n">
        <v>47</v>
      </c>
    </row>
    <row r="581">
      <c r="A581" s="0" t="inlineStr">
        <is>
          <t>USR-100580</t>
        </is>
      </c>
      <c r="B581" s="23" t="n">
        <v>45724</v>
      </c>
      <c r="C581" s="0" t="inlineStr">
        <is>
          <t>Control</t>
        </is>
      </c>
      <c r="D581" s="0" t="inlineStr">
        <is>
          <t>East</t>
        </is>
      </c>
      <c r="E581" s="0" t="inlineStr">
        <is>
          <t>Desktop</t>
        </is>
      </c>
      <c r="F581" s="0" t="inlineStr">
        <is>
          <t>Paid Search</t>
        </is>
      </c>
      <c r="G581" s="0" t="inlineStr">
        <is>
          <t>Free</t>
        </is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P581" s="0" t="n">
        <v>75</v>
      </c>
    </row>
    <row r="582">
      <c r="A582" s="0" t="inlineStr">
        <is>
          <t>USR-100581</t>
        </is>
      </c>
      <c r="B582" s="23" t="n">
        <v>45803</v>
      </c>
      <c r="C582" s="0" t="inlineStr">
        <is>
          <t>Control</t>
        </is>
      </c>
      <c r="D582" s="0" t="inlineStr">
        <is>
          <t>South</t>
        </is>
      </c>
      <c r="E582" s="0" t="inlineStr">
        <is>
          <t>Desktop</t>
        </is>
      </c>
      <c r="F582" s="0" t="inlineStr">
        <is>
          <t>Paid Search</t>
        </is>
      </c>
      <c r="G582" s="0" t="inlineStr">
        <is>
          <t>Free</t>
        </is>
      </c>
      <c r="H582" s="0" t="n">
        <v>1</v>
      </c>
      <c r="I582" s="0" t="n">
        <v>1</v>
      </c>
      <c r="J582" s="0" t="n">
        <v>1</v>
      </c>
      <c r="K582" s="0" t="n">
        <v>0</v>
      </c>
      <c r="L582" s="0" t="n">
        <v>0</v>
      </c>
      <c r="M582" s="0" t="n">
        <v>3</v>
      </c>
      <c r="N582" s="0" t="n">
        <v>0</v>
      </c>
      <c r="P582" s="0" t="n">
        <v>50.2</v>
      </c>
    </row>
    <row r="583">
      <c r="A583" s="0" t="inlineStr">
        <is>
          <t>USR-100582</t>
        </is>
      </c>
      <c r="B583" s="23" t="n">
        <v>45797</v>
      </c>
      <c r="C583" s="0" t="inlineStr">
        <is>
          <t>Control</t>
        </is>
      </c>
      <c r="D583" s="0" t="inlineStr">
        <is>
          <t>East</t>
        </is>
      </c>
      <c r="E583" s="0" t="inlineStr">
        <is>
          <t>Desktop</t>
        </is>
      </c>
      <c r="F583" s="0" t="inlineStr">
        <is>
          <t>Paid Search</t>
        </is>
      </c>
      <c r="G583" s="0" t="inlineStr">
        <is>
          <t>Free</t>
        </is>
      </c>
      <c r="H583" s="0" t="n">
        <v>1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P583" s="0" t="n">
        <v>40.1</v>
      </c>
    </row>
    <row r="584">
      <c r="A584" s="0" t="inlineStr">
        <is>
          <t>USR-100583</t>
        </is>
      </c>
      <c r="B584" s="23" t="n">
        <v>45738</v>
      </c>
      <c r="C584" s="0" t="inlineStr">
        <is>
          <t>Control</t>
        </is>
      </c>
      <c r="D584" s="0" t="inlineStr">
        <is>
          <t>West</t>
        </is>
      </c>
      <c r="E584" s="0" t="inlineStr">
        <is>
          <t>Desktop</t>
        </is>
      </c>
      <c r="F584" s="0" t="inlineStr">
        <is>
          <t>Paid Search</t>
        </is>
      </c>
      <c r="G584" s="0" t="inlineStr">
        <is>
          <t>Free</t>
        </is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P584" s="0" t="n">
        <v>61.1</v>
      </c>
    </row>
    <row r="585">
      <c r="A585" s="0" t="inlineStr">
        <is>
          <t>USR-100584</t>
        </is>
      </c>
      <c r="B585" s="23" t="n">
        <v>45703</v>
      </c>
      <c r="C585" s="0" t="inlineStr">
        <is>
          <t>Control</t>
        </is>
      </c>
      <c r="D585" s="0" t="inlineStr">
        <is>
          <t>South</t>
        </is>
      </c>
      <c r="E585" s="0" t="inlineStr">
        <is>
          <t>Desktop</t>
        </is>
      </c>
      <c r="F585" s="0" t="inlineStr">
        <is>
          <t>Paid Search</t>
        </is>
      </c>
      <c r="G585" s="0" t="inlineStr">
        <is>
          <t>Free</t>
        </is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P585" s="0" t="n">
        <v>42.4</v>
      </c>
    </row>
    <row r="586">
      <c r="A586" s="0" t="inlineStr">
        <is>
          <t>USR-100585</t>
        </is>
      </c>
      <c r="B586" s="23" t="n">
        <v>45665</v>
      </c>
      <c r="C586" s="0" t="inlineStr">
        <is>
          <t>Control</t>
        </is>
      </c>
      <c r="D586" s="0" t="inlineStr">
        <is>
          <t>North</t>
        </is>
      </c>
      <c r="E586" s="0" t="inlineStr">
        <is>
          <t>Mobile</t>
        </is>
      </c>
      <c r="F586" s="0" t="inlineStr">
        <is>
          <t>Social</t>
        </is>
      </c>
      <c r="G586" s="0" t="inlineStr">
        <is>
          <t>Free</t>
        </is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1</v>
      </c>
      <c r="N586" s="0" t="n">
        <v>0</v>
      </c>
      <c r="P586" s="0" t="n">
        <v>46.6</v>
      </c>
    </row>
    <row r="587">
      <c r="A587" s="0" t="inlineStr">
        <is>
          <t>USR-100586</t>
        </is>
      </c>
      <c r="B587" s="23" t="n">
        <v>45686</v>
      </c>
      <c r="C587" s="0" t="inlineStr">
        <is>
          <t>Control</t>
        </is>
      </c>
      <c r="D587" s="0" t="inlineStr">
        <is>
          <t>South</t>
        </is>
      </c>
      <c r="E587" s="0" t="inlineStr">
        <is>
          <t>Mobile</t>
        </is>
      </c>
      <c r="F587" s="0" t="inlineStr">
        <is>
          <t>Organic</t>
        </is>
      </c>
      <c r="G587" s="0" t="inlineStr">
        <is>
          <t>Premium</t>
        </is>
      </c>
      <c r="H587" s="0" t="n">
        <v>1</v>
      </c>
      <c r="I587" s="0" t="n">
        <v>1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P587" s="0" t="n">
        <v>72.09999999999999</v>
      </c>
    </row>
    <row r="588">
      <c r="A588" s="0" t="inlineStr">
        <is>
          <t>USR-100587</t>
        </is>
      </c>
      <c r="B588" s="23" t="n">
        <v>45784</v>
      </c>
      <c r="C588" s="0" t="inlineStr">
        <is>
          <t>Control</t>
        </is>
      </c>
      <c r="D588" s="0" t="inlineStr">
        <is>
          <t>East</t>
        </is>
      </c>
      <c r="E588" s="0" t="inlineStr">
        <is>
          <t>Tablet</t>
        </is>
      </c>
      <c r="F588" s="0" t="inlineStr">
        <is>
          <t>Organic</t>
        </is>
      </c>
      <c r="G588" s="0" t="inlineStr">
        <is>
          <t>Free</t>
        </is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P588" s="0" t="n">
        <v>21.5</v>
      </c>
    </row>
    <row r="589">
      <c r="A589" s="0" t="inlineStr">
        <is>
          <t>USR-100588</t>
        </is>
      </c>
      <c r="B589" s="23" t="n">
        <v>45717</v>
      </c>
      <c r="C589" s="0" t="inlineStr">
        <is>
          <t>Control</t>
        </is>
      </c>
      <c r="D589" s="0" t="inlineStr">
        <is>
          <t>North</t>
        </is>
      </c>
      <c r="E589" s="0" t="inlineStr">
        <is>
          <t>Mobile</t>
        </is>
      </c>
      <c r="F589" s="0" t="inlineStr">
        <is>
          <t>Social</t>
        </is>
      </c>
      <c r="G589" s="0" t="inlineStr">
        <is>
          <t>Basic</t>
        </is>
      </c>
      <c r="H589" s="0" t="n">
        <v>1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1</v>
      </c>
      <c r="N589" s="0" t="n">
        <v>0</v>
      </c>
      <c r="P589" s="0" t="n">
        <v>65.40000000000001</v>
      </c>
    </row>
    <row r="590">
      <c r="A590" s="0" t="inlineStr">
        <is>
          <t>USR-100589</t>
        </is>
      </c>
      <c r="B590" s="23" t="n">
        <v>45767</v>
      </c>
      <c r="C590" s="0" t="inlineStr">
        <is>
          <t>Control</t>
        </is>
      </c>
      <c r="D590" s="0" t="inlineStr">
        <is>
          <t>East</t>
        </is>
      </c>
      <c r="E590" s="0" t="inlineStr">
        <is>
          <t>Mobile</t>
        </is>
      </c>
      <c r="F590" s="0" t="inlineStr">
        <is>
          <t>Organic</t>
        </is>
      </c>
      <c r="G590" s="0" t="inlineStr">
        <is>
          <t>Free</t>
        </is>
      </c>
      <c r="H590" s="0" t="n">
        <v>1</v>
      </c>
      <c r="I590" s="0" t="n">
        <v>1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P590" s="0" t="n">
        <v>53.3</v>
      </c>
    </row>
    <row r="591">
      <c r="A591" s="0" t="inlineStr">
        <is>
          <t>USR-100590</t>
        </is>
      </c>
      <c r="B591" s="23" t="n">
        <v>45673</v>
      </c>
      <c r="C591" s="0" t="inlineStr">
        <is>
          <t>Control</t>
        </is>
      </c>
      <c r="D591" s="0" t="inlineStr">
        <is>
          <t>East</t>
        </is>
      </c>
      <c r="E591" s="0" t="inlineStr">
        <is>
          <t>Mobile</t>
        </is>
      </c>
      <c r="F591" s="0" t="inlineStr">
        <is>
          <t>Organic</t>
        </is>
      </c>
      <c r="G591" s="0" t="inlineStr">
        <is>
          <t>Premium</t>
        </is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2</v>
      </c>
      <c r="N591" s="0" t="n">
        <v>0</v>
      </c>
      <c r="P591" s="0" t="n">
        <v>52.3</v>
      </c>
    </row>
    <row r="592">
      <c r="A592" s="0" t="inlineStr">
        <is>
          <t>USR-100591</t>
        </is>
      </c>
      <c r="B592" s="23" t="n">
        <v>45751</v>
      </c>
      <c r="C592" s="0" t="inlineStr">
        <is>
          <t>Control</t>
        </is>
      </c>
      <c r="D592" s="0" t="inlineStr">
        <is>
          <t>East</t>
        </is>
      </c>
      <c r="E592" s="0" t="inlineStr">
        <is>
          <t>Mobile</t>
        </is>
      </c>
      <c r="F592" s="0" t="inlineStr">
        <is>
          <t>Paid Search</t>
        </is>
      </c>
      <c r="G592" s="0" t="inlineStr">
        <is>
          <t>Free</t>
        </is>
      </c>
      <c r="H592" s="0" t="n">
        <v>1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P592" s="0" t="n">
        <v>62.5</v>
      </c>
    </row>
    <row r="593">
      <c r="A593" s="0" t="inlineStr">
        <is>
          <t>USR-100592</t>
        </is>
      </c>
      <c r="B593" s="23" t="n">
        <v>45686</v>
      </c>
      <c r="C593" s="0" t="inlineStr">
        <is>
          <t>Control</t>
        </is>
      </c>
      <c r="D593" s="0" t="inlineStr">
        <is>
          <t>North</t>
        </is>
      </c>
      <c r="E593" s="0" t="inlineStr">
        <is>
          <t>Tablet</t>
        </is>
      </c>
      <c r="F593" s="0" t="inlineStr">
        <is>
          <t>Social</t>
        </is>
      </c>
      <c r="G593" s="0" t="inlineStr">
        <is>
          <t>Free</t>
        </is>
      </c>
      <c r="H593" s="0" t="n">
        <v>1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P593" s="0" t="n">
        <v>69.8</v>
      </c>
    </row>
    <row r="594">
      <c r="A594" s="0" t="inlineStr">
        <is>
          <t>USR-100593</t>
        </is>
      </c>
      <c r="B594" s="23" t="n">
        <v>45766</v>
      </c>
      <c r="C594" s="0" t="inlineStr">
        <is>
          <t>Control</t>
        </is>
      </c>
      <c r="D594" s="0" t="inlineStr">
        <is>
          <t>East</t>
        </is>
      </c>
      <c r="E594" s="0" t="inlineStr">
        <is>
          <t>Mobile</t>
        </is>
      </c>
      <c r="F594" s="0" t="inlineStr">
        <is>
          <t>Email</t>
        </is>
      </c>
      <c r="G594" s="0" t="inlineStr">
        <is>
          <t>Free</t>
        </is>
      </c>
      <c r="H594" s="0" t="n">
        <v>1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P594" s="0" t="n">
        <v>68.2</v>
      </c>
    </row>
    <row r="595">
      <c r="A595" s="0" t="inlineStr">
        <is>
          <t>USR-100594</t>
        </is>
      </c>
      <c r="B595" s="23" t="n">
        <v>45726</v>
      </c>
      <c r="C595" s="0" t="inlineStr">
        <is>
          <t>Control</t>
        </is>
      </c>
      <c r="D595" s="0" t="inlineStr">
        <is>
          <t>South</t>
        </is>
      </c>
      <c r="E595" s="0" t="inlineStr">
        <is>
          <t>Mobile</t>
        </is>
      </c>
      <c r="F595" s="0" t="inlineStr">
        <is>
          <t>Social</t>
        </is>
      </c>
      <c r="G595" s="0" t="inlineStr">
        <is>
          <t>Basic</t>
        </is>
      </c>
      <c r="H595" s="0" t="n">
        <v>1</v>
      </c>
      <c r="I595" s="0" t="n">
        <v>1</v>
      </c>
      <c r="J595" s="0" t="n">
        <v>1</v>
      </c>
      <c r="K595" s="0" t="n">
        <v>1</v>
      </c>
      <c r="L595" s="0" t="n">
        <v>751.73</v>
      </c>
      <c r="M595" s="0" t="n">
        <v>0</v>
      </c>
      <c r="N595" s="0" t="n">
        <v>0</v>
      </c>
      <c r="O595" s="0" t="n">
        <v>6</v>
      </c>
      <c r="P595" s="0" t="n">
        <v>35.2</v>
      </c>
    </row>
    <row r="596">
      <c r="A596" s="0" t="inlineStr">
        <is>
          <t>USR-100595</t>
        </is>
      </c>
      <c r="B596" s="23" t="n">
        <v>45787</v>
      </c>
      <c r="C596" s="0" t="inlineStr">
        <is>
          <t>Control</t>
        </is>
      </c>
      <c r="D596" s="0" t="inlineStr">
        <is>
          <t>South</t>
        </is>
      </c>
      <c r="E596" s="0" t="inlineStr">
        <is>
          <t>Mobile</t>
        </is>
      </c>
      <c r="F596" s="0" t="inlineStr">
        <is>
          <t>Social</t>
        </is>
      </c>
      <c r="G596" s="0" t="inlineStr">
        <is>
          <t>Basic</t>
        </is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P596" s="0" t="n">
        <v>59.3</v>
      </c>
    </row>
    <row r="597">
      <c r="A597" s="0" t="inlineStr">
        <is>
          <t>USR-100596</t>
        </is>
      </c>
      <c r="B597" s="23" t="n">
        <v>45690</v>
      </c>
      <c r="C597" s="0" t="inlineStr">
        <is>
          <t>Control</t>
        </is>
      </c>
      <c r="D597" s="0" t="inlineStr">
        <is>
          <t>North</t>
        </is>
      </c>
      <c r="E597" s="0" t="inlineStr">
        <is>
          <t>Mobile</t>
        </is>
      </c>
      <c r="F597" s="0" t="inlineStr">
        <is>
          <t>Social</t>
        </is>
      </c>
      <c r="G597" s="0" t="inlineStr">
        <is>
          <t>Free</t>
        </is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P597" s="0" t="n">
        <v>68.09999999999999</v>
      </c>
    </row>
    <row r="598">
      <c r="A598" s="0" t="inlineStr">
        <is>
          <t>USR-100597</t>
        </is>
      </c>
      <c r="B598" s="23" t="n">
        <v>45783</v>
      </c>
      <c r="C598" s="0" t="inlineStr">
        <is>
          <t>Control</t>
        </is>
      </c>
      <c r="D598" s="0" t="inlineStr">
        <is>
          <t>North</t>
        </is>
      </c>
      <c r="E598" s="0" t="inlineStr">
        <is>
          <t>Desktop</t>
        </is>
      </c>
      <c r="F598" s="0" t="inlineStr">
        <is>
          <t>Organic</t>
        </is>
      </c>
      <c r="G598" s="0" t="inlineStr">
        <is>
          <t>Free</t>
        </is>
      </c>
      <c r="H598" s="0" t="n">
        <v>1</v>
      </c>
      <c r="I598" s="0" t="n">
        <v>1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P598" s="0" t="n">
        <v>74.8</v>
      </c>
    </row>
    <row r="599">
      <c r="A599" s="0" t="inlineStr">
        <is>
          <t>USR-100598</t>
        </is>
      </c>
      <c r="B599" s="23" t="n">
        <v>45676</v>
      </c>
      <c r="C599" s="0" t="inlineStr">
        <is>
          <t>Control</t>
        </is>
      </c>
      <c r="D599" s="0" t="inlineStr">
        <is>
          <t>West</t>
        </is>
      </c>
      <c r="E599" s="0" t="inlineStr">
        <is>
          <t>Desktop</t>
        </is>
      </c>
      <c r="F599" s="0" t="inlineStr">
        <is>
          <t>Organic</t>
        </is>
      </c>
      <c r="G599" s="0" t="inlineStr">
        <is>
          <t>Free</t>
        </is>
      </c>
      <c r="H599" s="0" t="n">
        <v>1</v>
      </c>
      <c r="I599" s="0" t="n">
        <v>1</v>
      </c>
      <c r="J599" s="0" t="n">
        <v>1</v>
      </c>
      <c r="K599" s="0" t="n">
        <v>0</v>
      </c>
      <c r="L599" s="0" t="n">
        <v>0</v>
      </c>
      <c r="M599" s="0" t="n">
        <v>0</v>
      </c>
      <c r="N599" s="0" t="n">
        <v>0</v>
      </c>
      <c r="P599" s="0" t="n">
        <v>61.7</v>
      </c>
    </row>
    <row r="600">
      <c r="A600" s="0" t="inlineStr">
        <is>
          <t>USR-100599</t>
        </is>
      </c>
      <c r="B600" s="23" t="n">
        <v>45659</v>
      </c>
      <c r="C600" s="0" t="inlineStr">
        <is>
          <t>Control</t>
        </is>
      </c>
      <c r="D600" s="0" t="inlineStr">
        <is>
          <t>North</t>
        </is>
      </c>
      <c r="E600" s="0" t="inlineStr">
        <is>
          <t>Mobile</t>
        </is>
      </c>
      <c r="F600" s="0" t="inlineStr">
        <is>
          <t>Organic</t>
        </is>
      </c>
      <c r="G600" s="0" t="inlineStr">
        <is>
          <t>Free</t>
        </is>
      </c>
      <c r="H600" s="0" t="n">
        <v>1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P600" s="0" t="n">
        <v>24.3</v>
      </c>
    </row>
    <row r="601">
      <c r="A601" s="0" t="inlineStr">
        <is>
          <t>USR-100600</t>
        </is>
      </c>
      <c r="B601" s="23" t="n">
        <v>45780</v>
      </c>
      <c r="C601" s="0" t="inlineStr">
        <is>
          <t>Control</t>
        </is>
      </c>
      <c r="D601" s="0" t="inlineStr">
        <is>
          <t>South</t>
        </is>
      </c>
      <c r="E601" s="0" t="inlineStr">
        <is>
          <t>Desktop</t>
        </is>
      </c>
      <c r="F601" s="0" t="inlineStr">
        <is>
          <t>Paid Search</t>
        </is>
      </c>
      <c r="G601" s="0" t="inlineStr">
        <is>
          <t>Free</t>
        </is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1</v>
      </c>
      <c r="N601" s="0" t="n">
        <v>0</v>
      </c>
      <c r="P601" s="0" t="n">
        <v>61.9</v>
      </c>
    </row>
    <row r="602">
      <c r="A602" s="0" t="inlineStr">
        <is>
          <t>USR-100601</t>
        </is>
      </c>
      <c r="B602" s="23" t="n">
        <v>45804</v>
      </c>
      <c r="C602" s="0" t="inlineStr">
        <is>
          <t>Control</t>
        </is>
      </c>
      <c r="D602" s="0" t="inlineStr">
        <is>
          <t>East</t>
        </is>
      </c>
      <c r="E602" s="0" t="inlineStr">
        <is>
          <t>Desktop</t>
        </is>
      </c>
      <c r="F602" s="0" t="inlineStr">
        <is>
          <t>Referral</t>
        </is>
      </c>
      <c r="G602" s="0" t="inlineStr">
        <is>
          <t>Premium</t>
        </is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2</v>
      </c>
      <c r="N602" s="0" t="n">
        <v>0</v>
      </c>
      <c r="P602" s="0" t="n">
        <v>41.7</v>
      </c>
    </row>
    <row r="603">
      <c r="A603" s="0" t="inlineStr">
        <is>
          <t>USR-100602</t>
        </is>
      </c>
      <c r="B603" s="23" t="n">
        <v>45697</v>
      </c>
      <c r="C603" s="0" t="inlineStr">
        <is>
          <t>Control</t>
        </is>
      </c>
      <c r="D603" s="0" t="inlineStr">
        <is>
          <t>South</t>
        </is>
      </c>
      <c r="E603" s="0" t="inlineStr">
        <is>
          <t>Desktop</t>
        </is>
      </c>
      <c r="F603" s="0" t="inlineStr">
        <is>
          <t>Social</t>
        </is>
      </c>
      <c r="G603" s="0" t="inlineStr">
        <is>
          <t>Free</t>
        </is>
      </c>
      <c r="H603" s="0" t="n">
        <v>1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P603" s="0" t="n">
        <v>87.59999999999999</v>
      </c>
    </row>
    <row r="604">
      <c r="A604" s="0" t="inlineStr">
        <is>
          <t>USR-100603</t>
        </is>
      </c>
      <c r="B604" s="23" t="n">
        <v>45795</v>
      </c>
      <c r="C604" s="0" t="inlineStr">
        <is>
          <t>Control</t>
        </is>
      </c>
      <c r="D604" s="0" t="inlineStr">
        <is>
          <t>East</t>
        </is>
      </c>
      <c r="E604" s="0" t="inlineStr">
        <is>
          <t>Mobile</t>
        </is>
      </c>
      <c r="F604" s="0" t="inlineStr">
        <is>
          <t>Paid Search</t>
        </is>
      </c>
      <c r="G604" s="0" t="inlineStr">
        <is>
          <t>Free</t>
        </is>
      </c>
      <c r="H604" s="0" t="n">
        <v>1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P604" s="0" t="n">
        <v>30.8</v>
      </c>
    </row>
    <row r="605">
      <c r="A605" s="0" t="inlineStr">
        <is>
          <t>USR-100604</t>
        </is>
      </c>
      <c r="B605" s="23" t="n">
        <v>45794</v>
      </c>
      <c r="C605" s="0" t="inlineStr">
        <is>
          <t>Control</t>
        </is>
      </c>
      <c r="D605" s="0" t="inlineStr">
        <is>
          <t>North</t>
        </is>
      </c>
      <c r="E605" s="0" t="inlineStr">
        <is>
          <t>Mobile</t>
        </is>
      </c>
      <c r="F605" s="0" t="inlineStr">
        <is>
          <t>Email</t>
        </is>
      </c>
      <c r="G605" s="0" t="inlineStr">
        <is>
          <t>Free</t>
        </is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P605" s="0" t="n">
        <v>54</v>
      </c>
    </row>
    <row r="606">
      <c r="A606" s="0" t="inlineStr">
        <is>
          <t>USR-100605</t>
        </is>
      </c>
      <c r="B606" s="23" t="n">
        <v>45682</v>
      </c>
      <c r="C606" s="0" t="inlineStr">
        <is>
          <t>Control</t>
        </is>
      </c>
      <c r="D606" s="0" t="inlineStr">
        <is>
          <t>East</t>
        </is>
      </c>
      <c r="E606" s="0" t="inlineStr">
        <is>
          <t>Desktop</t>
        </is>
      </c>
      <c r="F606" s="0" t="inlineStr">
        <is>
          <t>Referral</t>
        </is>
      </c>
      <c r="G606" s="0" t="inlineStr">
        <is>
          <t>Basic</t>
        </is>
      </c>
      <c r="H606" s="0" t="n">
        <v>1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1</v>
      </c>
      <c r="N606" s="0" t="n">
        <v>0</v>
      </c>
      <c r="P606" s="0" t="n">
        <v>54.5</v>
      </c>
    </row>
    <row r="607">
      <c r="A607" s="0" t="inlineStr">
        <is>
          <t>USR-100606</t>
        </is>
      </c>
      <c r="B607" s="23" t="n">
        <v>45781</v>
      </c>
      <c r="C607" s="0" t="inlineStr">
        <is>
          <t>Control</t>
        </is>
      </c>
      <c r="D607" s="0" t="inlineStr">
        <is>
          <t>West</t>
        </is>
      </c>
      <c r="E607" s="0" t="inlineStr">
        <is>
          <t>Mobile</t>
        </is>
      </c>
      <c r="F607" s="0" t="inlineStr">
        <is>
          <t>Paid Search</t>
        </is>
      </c>
      <c r="G607" s="0" t="inlineStr">
        <is>
          <t>Premium</t>
        </is>
      </c>
      <c r="H607" s="0" t="n">
        <v>1</v>
      </c>
      <c r="I607" s="0" t="n">
        <v>1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P607" s="0" t="n">
        <v>61.3</v>
      </c>
    </row>
    <row r="608">
      <c r="A608" s="0" t="inlineStr">
        <is>
          <t>USR-100607</t>
        </is>
      </c>
      <c r="B608" s="23" t="n">
        <v>45761</v>
      </c>
      <c r="C608" s="0" t="inlineStr">
        <is>
          <t>Control</t>
        </is>
      </c>
      <c r="D608" s="0" t="inlineStr">
        <is>
          <t>West</t>
        </is>
      </c>
      <c r="E608" s="0" t="inlineStr">
        <is>
          <t>Mobile</t>
        </is>
      </c>
      <c r="F608" s="0" t="inlineStr">
        <is>
          <t>Organic</t>
        </is>
      </c>
      <c r="G608" s="0" t="inlineStr">
        <is>
          <t>Free</t>
        </is>
      </c>
      <c r="H608" s="0" t="n">
        <v>1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P608" s="0" t="n">
        <v>62.7</v>
      </c>
    </row>
    <row r="609">
      <c r="A609" s="0" t="inlineStr">
        <is>
          <t>USR-100608</t>
        </is>
      </c>
      <c r="B609" s="23" t="n">
        <v>45765</v>
      </c>
      <c r="C609" s="0" t="inlineStr">
        <is>
          <t>Control</t>
        </is>
      </c>
      <c r="D609" s="0" t="inlineStr">
        <is>
          <t>South</t>
        </is>
      </c>
      <c r="E609" s="0" t="inlineStr">
        <is>
          <t>Mobile</t>
        </is>
      </c>
      <c r="F609" s="0" t="inlineStr">
        <is>
          <t>Paid Search</t>
        </is>
      </c>
      <c r="G609" s="0" t="inlineStr">
        <is>
          <t>Free</t>
        </is>
      </c>
      <c r="H609" s="0" t="n">
        <v>1</v>
      </c>
      <c r="I609" s="0" t="n">
        <v>1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P609" s="0" t="n">
        <v>43.1</v>
      </c>
    </row>
    <row r="610">
      <c r="A610" s="0" t="inlineStr">
        <is>
          <t>USR-100609</t>
        </is>
      </c>
      <c r="B610" s="23" t="n">
        <v>45712</v>
      </c>
      <c r="C610" s="0" t="inlineStr">
        <is>
          <t>Control</t>
        </is>
      </c>
      <c r="D610" s="0" t="inlineStr">
        <is>
          <t>South</t>
        </is>
      </c>
      <c r="E610" s="0" t="inlineStr">
        <is>
          <t>Desktop</t>
        </is>
      </c>
      <c r="F610" s="0" t="inlineStr">
        <is>
          <t>Email</t>
        </is>
      </c>
      <c r="G610" s="0" t="inlineStr">
        <is>
          <t>Basic</t>
        </is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P610" s="0" t="n">
        <v>59.9</v>
      </c>
    </row>
    <row r="611">
      <c r="A611" s="0" t="inlineStr">
        <is>
          <t>USR-100610</t>
        </is>
      </c>
      <c r="B611" s="23" t="n">
        <v>45766</v>
      </c>
      <c r="C611" s="0" t="inlineStr">
        <is>
          <t>Control</t>
        </is>
      </c>
      <c r="D611" s="0" t="inlineStr">
        <is>
          <t>North</t>
        </is>
      </c>
      <c r="E611" s="0" t="inlineStr">
        <is>
          <t>Tablet</t>
        </is>
      </c>
      <c r="F611" s="0" t="inlineStr">
        <is>
          <t>Paid Search</t>
        </is>
      </c>
      <c r="G611" s="0" t="inlineStr">
        <is>
          <t>Free</t>
        </is>
      </c>
      <c r="H611" s="0" t="n">
        <v>1</v>
      </c>
      <c r="I611" s="0" t="n">
        <v>1</v>
      </c>
      <c r="J611" s="0" t="n">
        <v>1</v>
      </c>
      <c r="K611" s="0" t="n">
        <v>0</v>
      </c>
      <c r="L611" s="0" t="n">
        <v>0</v>
      </c>
      <c r="M611" s="0" t="n">
        <v>0</v>
      </c>
      <c r="N611" s="0" t="n">
        <v>0</v>
      </c>
      <c r="P611" s="0" t="n">
        <v>55.7</v>
      </c>
    </row>
    <row r="612">
      <c r="A612" s="0" t="inlineStr">
        <is>
          <t>USR-100611</t>
        </is>
      </c>
      <c r="B612" s="23" t="n">
        <v>45723</v>
      </c>
      <c r="C612" s="0" t="inlineStr">
        <is>
          <t>Control</t>
        </is>
      </c>
      <c r="D612" s="0" t="inlineStr">
        <is>
          <t>South</t>
        </is>
      </c>
      <c r="E612" s="0" t="inlineStr">
        <is>
          <t>Desktop</t>
        </is>
      </c>
      <c r="F612" s="0" t="inlineStr">
        <is>
          <t>Organic</t>
        </is>
      </c>
      <c r="G612" s="0" t="inlineStr">
        <is>
          <t>Basic</t>
        </is>
      </c>
      <c r="H612" s="0" t="n">
        <v>1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P612" s="0" t="n">
        <v>37.1</v>
      </c>
    </row>
    <row r="613">
      <c r="A613" s="0" t="inlineStr">
        <is>
          <t>USR-100612</t>
        </is>
      </c>
      <c r="B613" s="23" t="n">
        <v>45725</v>
      </c>
      <c r="C613" s="0" t="inlineStr">
        <is>
          <t>Control</t>
        </is>
      </c>
      <c r="D613" s="0" t="inlineStr">
        <is>
          <t>East</t>
        </is>
      </c>
      <c r="E613" s="0" t="inlineStr">
        <is>
          <t>Mobile</t>
        </is>
      </c>
      <c r="F613" s="0" t="inlineStr">
        <is>
          <t>Organic</t>
        </is>
      </c>
      <c r="G613" s="0" t="inlineStr">
        <is>
          <t>Basic</t>
        </is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1</v>
      </c>
      <c r="N613" s="0" t="n">
        <v>0</v>
      </c>
      <c r="P613" s="0" t="n">
        <v>46.7</v>
      </c>
    </row>
    <row r="614">
      <c r="A614" s="0" t="inlineStr">
        <is>
          <t>USR-100613</t>
        </is>
      </c>
      <c r="B614" s="23" t="n">
        <v>45778</v>
      </c>
      <c r="C614" s="0" t="inlineStr">
        <is>
          <t>Control</t>
        </is>
      </c>
      <c r="D614" s="0" t="inlineStr">
        <is>
          <t>South</t>
        </is>
      </c>
      <c r="E614" s="0" t="inlineStr">
        <is>
          <t>Desktop</t>
        </is>
      </c>
      <c r="F614" s="0" t="inlineStr">
        <is>
          <t>Organic</t>
        </is>
      </c>
      <c r="G614" s="0" t="inlineStr">
        <is>
          <t>Basic</t>
        </is>
      </c>
      <c r="H614" s="0" t="n">
        <v>1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P614" s="0" t="n">
        <v>54.1</v>
      </c>
    </row>
    <row r="615">
      <c r="A615" s="0" t="inlineStr">
        <is>
          <t>USR-100614</t>
        </is>
      </c>
      <c r="B615" s="23" t="n">
        <v>45697</v>
      </c>
      <c r="C615" s="0" t="inlineStr">
        <is>
          <t>Control</t>
        </is>
      </c>
      <c r="D615" s="0" t="inlineStr">
        <is>
          <t>West</t>
        </is>
      </c>
      <c r="E615" s="0" t="inlineStr">
        <is>
          <t>Desktop</t>
        </is>
      </c>
      <c r="F615" s="0" t="inlineStr">
        <is>
          <t>Organic</t>
        </is>
      </c>
      <c r="G615" s="0" t="inlineStr">
        <is>
          <t>Premium</t>
        </is>
      </c>
      <c r="H615" s="0" t="n">
        <v>1</v>
      </c>
      <c r="I615" s="0" t="n">
        <v>1</v>
      </c>
      <c r="J615" s="0" t="n">
        <v>1</v>
      </c>
      <c r="K615" s="0" t="n">
        <v>0</v>
      </c>
      <c r="L615" s="0" t="n">
        <v>0</v>
      </c>
      <c r="M615" s="0" t="n">
        <v>0</v>
      </c>
      <c r="N615" s="0" t="n">
        <v>0</v>
      </c>
      <c r="P615" s="0" t="n">
        <v>56.1</v>
      </c>
    </row>
    <row r="616">
      <c r="A616" s="0" t="inlineStr">
        <is>
          <t>USR-100615</t>
        </is>
      </c>
      <c r="B616" s="23" t="n">
        <v>45799</v>
      </c>
      <c r="C616" s="0" t="inlineStr">
        <is>
          <t>Control</t>
        </is>
      </c>
      <c r="D616" s="0" t="inlineStr">
        <is>
          <t>West</t>
        </is>
      </c>
      <c r="E616" s="0" t="inlineStr">
        <is>
          <t>Mobile</t>
        </is>
      </c>
      <c r="F616" s="0" t="inlineStr">
        <is>
          <t>Referral</t>
        </is>
      </c>
      <c r="G616" s="0" t="inlineStr">
        <is>
          <t>Premium</t>
        </is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P616" s="0" t="n">
        <v>23.6</v>
      </c>
    </row>
    <row r="617">
      <c r="A617" s="0" t="inlineStr">
        <is>
          <t>USR-100616</t>
        </is>
      </c>
      <c r="B617" s="23" t="n">
        <v>45699</v>
      </c>
      <c r="C617" s="0" t="inlineStr">
        <is>
          <t>Control</t>
        </is>
      </c>
      <c r="D617" s="0" t="inlineStr">
        <is>
          <t>North</t>
        </is>
      </c>
      <c r="E617" s="0" t="inlineStr">
        <is>
          <t>Mobile</t>
        </is>
      </c>
      <c r="F617" s="0" t="inlineStr">
        <is>
          <t>Organic</t>
        </is>
      </c>
      <c r="G617" s="0" t="inlineStr">
        <is>
          <t>Premium</t>
        </is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P617" s="0" t="n">
        <v>54.7</v>
      </c>
    </row>
    <row r="618">
      <c r="A618" s="0" t="inlineStr">
        <is>
          <t>USR-100617</t>
        </is>
      </c>
      <c r="B618" s="23" t="n">
        <v>45759</v>
      </c>
      <c r="C618" s="0" t="inlineStr">
        <is>
          <t>Control</t>
        </is>
      </c>
      <c r="D618" s="0" t="inlineStr">
        <is>
          <t>North</t>
        </is>
      </c>
      <c r="E618" s="0" t="inlineStr">
        <is>
          <t>Mobile</t>
        </is>
      </c>
      <c r="F618" s="0" t="inlineStr">
        <is>
          <t>Referral</t>
        </is>
      </c>
      <c r="G618" s="0" t="inlineStr">
        <is>
          <t>Basic</t>
        </is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2</v>
      </c>
      <c r="N618" s="0" t="n">
        <v>0</v>
      </c>
      <c r="P618" s="0" t="n">
        <v>50.4</v>
      </c>
    </row>
    <row r="619">
      <c r="A619" s="0" t="inlineStr">
        <is>
          <t>USR-100618</t>
        </is>
      </c>
      <c r="B619" s="23" t="n">
        <v>45717</v>
      </c>
      <c r="C619" s="0" t="inlineStr">
        <is>
          <t>Control</t>
        </is>
      </c>
      <c r="D619" s="0" t="inlineStr">
        <is>
          <t>West</t>
        </is>
      </c>
      <c r="E619" s="0" t="inlineStr">
        <is>
          <t>Mobile</t>
        </is>
      </c>
      <c r="F619" s="0" t="inlineStr">
        <is>
          <t>Social</t>
        </is>
      </c>
      <c r="G619" s="0" t="inlineStr">
        <is>
          <t>Free</t>
        </is>
      </c>
      <c r="H619" s="0" t="n">
        <v>1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P619" s="0" t="n">
        <v>54.5</v>
      </c>
    </row>
    <row r="620">
      <c r="A620" s="0" t="inlineStr">
        <is>
          <t>USR-100619</t>
        </is>
      </c>
      <c r="B620" s="23" t="n">
        <v>45733</v>
      </c>
      <c r="C620" s="0" t="inlineStr">
        <is>
          <t>Control</t>
        </is>
      </c>
      <c r="D620" s="0" t="inlineStr">
        <is>
          <t>West</t>
        </is>
      </c>
      <c r="E620" s="0" t="inlineStr">
        <is>
          <t>Desktop</t>
        </is>
      </c>
      <c r="F620" s="0" t="inlineStr">
        <is>
          <t>Email</t>
        </is>
      </c>
      <c r="G620" s="0" t="inlineStr">
        <is>
          <t>Basic</t>
        </is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P620" s="0" t="n">
        <v>58</v>
      </c>
    </row>
    <row r="621">
      <c r="A621" s="0" t="inlineStr">
        <is>
          <t>USR-100620</t>
        </is>
      </c>
      <c r="B621" s="23" t="n">
        <v>45668</v>
      </c>
      <c r="C621" s="0" t="inlineStr">
        <is>
          <t>Control</t>
        </is>
      </c>
      <c r="D621" s="0" t="inlineStr">
        <is>
          <t>North</t>
        </is>
      </c>
      <c r="E621" s="0" t="inlineStr">
        <is>
          <t>Mobile</t>
        </is>
      </c>
      <c r="F621" s="0" t="inlineStr">
        <is>
          <t>Paid Search</t>
        </is>
      </c>
      <c r="G621" s="0" t="inlineStr">
        <is>
          <t>Free</t>
        </is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P621" s="0" t="n">
        <v>42.9</v>
      </c>
    </row>
    <row r="622">
      <c r="A622" s="0" t="inlineStr">
        <is>
          <t>USR-100621</t>
        </is>
      </c>
      <c r="B622" s="23" t="n">
        <v>45705</v>
      </c>
      <c r="C622" s="0" t="inlineStr">
        <is>
          <t>Control</t>
        </is>
      </c>
      <c r="D622" s="0" t="inlineStr">
        <is>
          <t>South</t>
        </is>
      </c>
      <c r="E622" s="0" t="inlineStr">
        <is>
          <t>Mobile</t>
        </is>
      </c>
      <c r="F622" s="0" t="inlineStr">
        <is>
          <t>Social</t>
        </is>
      </c>
      <c r="G622" s="0" t="inlineStr">
        <is>
          <t>Premium</t>
        </is>
      </c>
      <c r="H622" s="0" t="n">
        <v>1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P622" s="0" t="n">
        <v>51.1</v>
      </c>
    </row>
    <row r="623">
      <c r="A623" s="0" t="inlineStr">
        <is>
          <t>USR-100622</t>
        </is>
      </c>
      <c r="B623" s="23" t="n">
        <v>45741</v>
      </c>
      <c r="C623" s="0" t="inlineStr">
        <is>
          <t>Control</t>
        </is>
      </c>
      <c r="D623" s="0" t="inlineStr">
        <is>
          <t>East</t>
        </is>
      </c>
      <c r="E623" s="0" t="inlineStr">
        <is>
          <t>Mobile</t>
        </is>
      </c>
      <c r="F623" s="0" t="inlineStr">
        <is>
          <t>Paid Search</t>
        </is>
      </c>
      <c r="G623" s="0" t="inlineStr">
        <is>
          <t>Basic</t>
        </is>
      </c>
      <c r="H623" s="0" t="n">
        <v>1</v>
      </c>
      <c r="I623" s="0" t="n">
        <v>1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P623" s="0" t="n">
        <v>51.8</v>
      </c>
    </row>
    <row r="624">
      <c r="A624" s="0" t="inlineStr">
        <is>
          <t>USR-100623</t>
        </is>
      </c>
      <c r="B624" s="23" t="n">
        <v>45778</v>
      </c>
      <c r="C624" s="0" t="inlineStr">
        <is>
          <t>Control</t>
        </is>
      </c>
      <c r="D624" s="0" t="inlineStr">
        <is>
          <t>South</t>
        </is>
      </c>
      <c r="E624" s="0" t="inlineStr">
        <is>
          <t>Mobile</t>
        </is>
      </c>
      <c r="F624" s="0" t="inlineStr">
        <is>
          <t>Paid Search</t>
        </is>
      </c>
      <c r="G624" s="0" t="inlineStr">
        <is>
          <t>Free</t>
        </is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P624" s="0" t="n">
        <v>67.7</v>
      </c>
    </row>
    <row r="625">
      <c r="A625" s="0" t="inlineStr">
        <is>
          <t>USR-100624</t>
        </is>
      </c>
      <c r="B625" s="23" t="n">
        <v>45749</v>
      </c>
      <c r="C625" s="0" t="inlineStr">
        <is>
          <t>Control</t>
        </is>
      </c>
      <c r="D625" s="0" t="inlineStr">
        <is>
          <t>East</t>
        </is>
      </c>
      <c r="E625" s="0" t="inlineStr">
        <is>
          <t>Mobile</t>
        </is>
      </c>
      <c r="F625" s="0" t="inlineStr">
        <is>
          <t>Organic</t>
        </is>
      </c>
      <c r="G625" s="0" t="inlineStr">
        <is>
          <t>Basic</t>
        </is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P625" s="0" t="n">
        <v>75.8</v>
      </c>
    </row>
    <row r="626">
      <c r="A626" s="0" t="inlineStr">
        <is>
          <t>USR-100625</t>
        </is>
      </c>
      <c r="B626" s="23" t="n">
        <v>45752</v>
      </c>
      <c r="C626" s="0" t="inlineStr">
        <is>
          <t>Control</t>
        </is>
      </c>
      <c r="D626" s="0" t="inlineStr">
        <is>
          <t>East</t>
        </is>
      </c>
      <c r="E626" s="0" t="inlineStr">
        <is>
          <t>Mobile</t>
        </is>
      </c>
      <c r="F626" s="0" t="inlineStr">
        <is>
          <t>Email</t>
        </is>
      </c>
      <c r="G626" s="0" t="inlineStr">
        <is>
          <t>Free</t>
        </is>
      </c>
      <c r="H626" s="0" t="n">
        <v>1</v>
      </c>
      <c r="I626" s="0" t="n">
        <v>1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P626" s="0" t="n">
        <v>72.8</v>
      </c>
    </row>
    <row r="627">
      <c r="A627" s="0" t="inlineStr">
        <is>
          <t>USR-100626</t>
        </is>
      </c>
      <c r="B627" s="23" t="n">
        <v>45712</v>
      </c>
      <c r="C627" s="0" t="inlineStr">
        <is>
          <t>Control</t>
        </is>
      </c>
      <c r="D627" s="0" t="inlineStr">
        <is>
          <t>North</t>
        </is>
      </c>
      <c r="E627" s="0" t="inlineStr">
        <is>
          <t>Desktop</t>
        </is>
      </c>
      <c r="F627" s="0" t="inlineStr">
        <is>
          <t>Social</t>
        </is>
      </c>
      <c r="G627" s="0" t="inlineStr">
        <is>
          <t>Free</t>
        </is>
      </c>
      <c r="H627" s="0" t="n">
        <v>1</v>
      </c>
      <c r="I627" s="0" t="n">
        <v>1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P627" s="0" t="n">
        <v>54.4</v>
      </c>
    </row>
    <row r="628">
      <c r="A628" s="0" t="inlineStr">
        <is>
          <t>USR-100627</t>
        </is>
      </c>
      <c r="B628" s="23" t="n">
        <v>45681</v>
      </c>
      <c r="C628" s="0" t="inlineStr">
        <is>
          <t>Control</t>
        </is>
      </c>
      <c r="D628" s="0" t="inlineStr">
        <is>
          <t>West</t>
        </is>
      </c>
      <c r="E628" s="0" t="inlineStr">
        <is>
          <t>Mobile</t>
        </is>
      </c>
      <c r="F628" s="0" t="inlineStr">
        <is>
          <t>Paid Search</t>
        </is>
      </c>
      <c r="G628" s="0" t="inlineStr">
        <is>
          <t>Basic</t>
        </is>
      </c>
      <c r="H628" s="0" t="n">
        <v>1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P628" s="0" t="n">
        <v>51.8</v>
      </c>
    </row>
    <row r="629">
      <c r="A629" s="0" t="inlineStr">
        <is>
          <t>USR-100628</t>
        </is>
      </c>
      <c r="B629" s="23" t="n">
        <v>45757</v>
      </c>
      <c r="C629" s="0" t="inlineStr">
        <is>
          <t>Control</t>
        </is>
      </c>
      <c r="D629" s="0" t="inlineStr">
        <is>
          <t>South</t>
        </is>
      </c>
      <c r="E629" s="0" t="inlineStr">
        <is>
          <t>Mobile</t>
        </is>
      </c>
      <c r="F629" s="0" t="inlineStr">
        <is>
          <t>Paid Search</t>
        </is>
      </c>
      <c r="G629" s="0" t="inlineStr">
        <is>
          <t>Free</t>
        </is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P629" s="0" t="n">
        <v>40.3</v>
      </c>
    </row>
    <row r="630">
      <c r="A630" s="0" t="inlineStr">
        <is>
          <t>USR-100629</t>
        </is>
      </c>
      <c r="B630" s="23" t="n">
        <v>45707</v>
      </c>
      <c r="C630" s="0" t="inlineStr">
        <is>
          <t>Control</t>
        </is>
      </c>
      <c r="D630" s="0" t="inlineStr">
        <is>
          <t>South</t>
        </is>
      </c>
      <c r="E630" s="0" t="inlineStr">
        <is>
          <t>Mobile</t>
        </is>
      </c>
      <c r="F630" s="0" t="inlineStr">
        <is>
          <t>Referral</t>
        </is>
      </c>
      <c r="G630" s="0" t="inlineStr">
        <is>
          <t>Free</t>
        </is>
      </c>
      <c r="H630" s="0" t="n">
        <v>1</v>
      </c>
      <c r="I630" s="0" t="n">
        <v>1</v>
      </c>
      <c r="J630" s="0" t="n">
        <v>1</v>
      </c>
      <c r="K630" s="0" t="n">
        <v>0</v>
      </c>
      <c r="L630" s="0" t="n">
        <v>0</v>
      </c>
      <c r="M630" s="0" t="n">
        <v>0</v>
      </c>
      <c r="N630" s="0" t="n">
        <v>0</v>
      </c>
      <c r="P630" s="0" t="n">
        <v>61.7</v>
      </c>
    </row>
    <row r="631">
      <c r="A631" s="0" t="inlineStr">
        <is>
          <t>USR-100630</t>
        </is>
      </c>
      <c r="B631" s="23" t="n">
        <v>45738</v>
      </c>
      <c r="C631" s="0" t="inlineStr">
        <is>
          <t>Control</t>
        </is>
      </c>
      <c r="D631" s="0" t="inlineStr">
        <is>
          <t>North</t>
        </is>
      </c>
      <c r="E631" s="0" t="inlineStr">
        <is>
          <t>Mobile</t>
        </is>
      </c>
      <c r="F631" s="0" t="inlineStr">
        <is>
          <t>Social</t>
        </is>
      </c>
      <c r="G631" s="0" t="inlineStr">
        <is>
          <t>Free</t>
        </is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P631" s="0" t="n">
        <v>45</v>
      </c>
    </row>
    <row r="632">
      <c r="A632" s="0" t="inlineStr">
        <is>
          <t>USR-100631</t>
        </is>
      </c>
      <c r="B632" s="23" t="n">
        <v>45755</v>
      </c>
      <c r="C632" s="0" t="inlineStr">
        <is>
          <t>Control</t>
        </is>
      </c>
      <c r="D632" s="0" t="inlineStr">
        <is>
          <t>East</t>
        </is>
      </c>
      <c r="E632" s="0" t="inlineStr">
        <is>
          <t>Desktop</t>
        </is>
      </c>
      <c r="F632" s="0" t="inlineStr">
        <is>
          <t>Organic</t>
        </is>
      </c>
      <c r="G632" s="0" t="inlineStr">
        <is>
          <t>Premium</t>
        </is>
      </c>
      <c r="H632" s="0" t="n">
        <v>1</v>
      </c>
      <c r="I632" s="0" t="n">
        <v>1</v>
      </c>
      <c r="J632" s="0" t="n">
        <v>1</v>
      </c>
      <c r="K632" s="0" t="n">
        <v>0</v>
      </c>
      <c r="L632" s="0" t="n">
        <v>0</v>
      </c>
      <c r="M632" s="0" t="n">
        <v>0</v>
      </c>
      <c r="N632" s="0" t="n">
        <v>0</v>
      </c>
      <c r="P632" s="0" t="n">
        <v>60</v>
      </c>
    </row>
    <row r="633">
      <c r="A633" s="0" t="inlineStr">
        <is>
          <t>USR-100632</t>
        </is>
      </c>
      <c r="B633" s="23" t="n">
        <v>45732</v>
      </c>
      <c r="C633" s="0" t="inlineStr">
        <is>
          <t>Control</t>
        </is>
      </c>
      <c r="D633" s="0" t="inlineStr">
        <is>
          <t>North</t>
        </is>
      </c>
      <c r="E633" s="0" t="inlineStr">
        <is>
          <t>Mobile</t>
        </is>
      </c>
      <c r="F633" s="0" t="inlineStr">
        <is>
          <t>Social</t>
        </is>
      </c>
      <c r="G633" s="0" t="inlineStr">
        <is>
          <t>Free</t>
        </is>
      </c>
      <c r="H633" s="0" t="n">
        <v>1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</row>
    <row r="634">
      <c r="A634" s="0" t="inlineStr">
        <is>
          <t>USR-100633</t>
        </is>
      </c>
      <c r="B634" s="23" t="n">
        <v>45723</v>
      </c>
      <c r="C634" s="0" t="inlineStr">
        <is>
          <t>Control</t>
        </is>
      </c>
      <c r="D634" s="0" t="inlineStr">
        <is>
          <t>East</t>
        </is>
      </c>
      <c r="E634" s="0" t="inlineStr">
        <is>
          <t>Mobile</t>
        </is>
      </c>
      <c r="F634" s="0" t="inlineStr">
        <is>
          <t>Paid Search</t>
        </is>
      </c>
      <c r="G634" s="0" t="inlineStr">
        <is>
          <t>Free</t>
        </is>
      </c>
      <c r="H634" s="0" t="n">
        <v>1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P634" s="0" t="n">
        <v>55.5</v>
      </c>
    </row>
    <row r="635">
      <c r="A635" s="0" t="inlineStr">
        <is>
          <t>USR-100634</t>
        </is>
      </c>
      <c r="B635" s="23" t="n">
        <v>45732</v>
      </c>
      <c r="C635" s="0" t="inlineStr">
        <is>
          <t>Control</t>
        </is>
      </c>
      <c r="D635" s="0" t="inlineStr">
        <is>
          <t>South</t>
        </is>
      </c>
      <c r="E635" s="0" t="inlineStr">
        <is>
          <t>Mobile</t>
        </is>
      </c>
      <c r="F635" s="0" t="inlineStr">
        <is>
          <t>Referral</t>
        </is>
      </c>
      <c r="G635" s="0" t="inlineStr">
        <is>
          <t>Basic</t>
        </is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P635" s="0" t="n">
        <v>51.8</v>
      </c>
    </row>
    <row r="636">
      <c r="A636" s="0" t="inlineStr">
        <is>
          <t>USR-100635</t>
        </is>
      </c>
      <c r="B636" s="23" t="n">
        <v>45803</v>
      </c>
      <c r="C636" s="0" t="inlineStr">
        <is>
          <t>Control</t>
        </is>
      </c>
      <c r="D636" s="0" t="inlineStr">
        <is>
          <t>East</t>
        </is>
      </c>
      <c r="E636" s="0" t="inlineStr">
        <is>
          <t>Mobile</t>
        </is>
      </c>
      <c r="F636" s="0" t="inlineStr">
        <is>
          <t>Unknown</t>
        </is>
      </c>
      <c r="G636" s="0" t="inlineStr">
        <is>
          <t>Premium</t>
        </is>
      </c>
      <c r="H636" s="0" t="n">
        <v>1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3</v>
      </c>
      <c r="N636" s="0" t="n">
        <v>0</v>
      </c>
      <c r="P636" s="0" t="n">
        <v>56</v>
      </c>
    </row>
    <row r="637">
      <c r="A637" s="0" t="inlineStr">
        <is>
          <t>USR-100636</t>
        </is>
      </c>
      <c r="B637" s="23" t="n">
        <v>45671</v>
      </c>
      <c r="C637" s="0" t="inlineStr">
        <is>
          <t>Control</t>
        </is>
      </c>
      <c r="D637" s="0" t="inlineStr">
        <is>
          <t>West</t>
        </is>
      </c>
      <c r="E637" s="0" t="inlineStr">
        <is>
          <t>Mobile</t>
        </is>
      </c>
      <c r="F637" s="0" t="inlineStr">
        <is>
          <t>Organic</t>
        </is>
      </c>
      <c r="G637" s="0" t="inlineStr">
        <is>
          <t>Free</t>
        </is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P637" s="0" t="n">
        <v>52.5</v>
      </c>
    </row>
    <row r="638">
      <c r="A638" s="0" t="inlineStr">
        <is>
          <t>USR-100637</t>
        </is>
      </c>
      <c r="B638" s="23" t="n">
        <v>45746</v>
      </c>
      <c r="C638" s="0" t="inlineStr">
        <is>
          <t>Control</t>
        </is>
      </c>
      <c r="D638" s="0" t="inlineStr">
        <is>
          <t>West</t>
        </is>
      </c>
      <c r="E638" s="0" t="inlineStr">
        <is>
          <t>Mobile</t>
        </is>
      </c>
      <c r="F638" s="0" t="inlineStr">
        <is>
          <t>Paid Search</t>
        </is>
      </c>
      <c r="G638" s="0" t="inlineStr">
        <is>
          <t>Premium</t>
        </is>
      </c>
      <c r="H638" s="0" t="n">
        <v>1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P638" s="0" t="n">
        <v>42.5</v>
      </c>
    </row>
    <row r="639">
      <c r="A639" s="0" t="inlineStr">
        <is>
          <t>USR-100638</t>
        </is>
      </c>
      <c r="B639" s="23" t="n">
        <v>45789</v>
      </c>
      <c r="C639" s="0" t="inlineStr">
        <is>
          <t>Control</t>
        </is>
      </c>
      <c r="D639" s="0" t="inlineStr">
        <is>
          <t>East</t>
        </is>
      </c>
      <c r="E639" s="0" t="inlineStr">
        <is>
          <t>Desktop</t>
        </is>
      </c>
      <c r="F639" s="0" t="inlineStr">
        <is>
          <t>Email</t>
        </is>
      </c>
      <c r="G639" s="0" t="inlineStr">
        <is>
          <t>Free</t>
        </is>
      </c>
      <c r="H639" s="0" t="n">
        <v>1</v>
      </c>
      <c r="I639" s="0" t="n">
        <v>1</v>
      </c>
      <c r="J639" s="0" t="n">
        <v>1</v>
      </c>
      <c r="K639" s="0" t="n">
        <v>0</v>
      </c>
      <c r="L639" s="0" t="n">
        <v>0</v>
      </c>
      <c r="M639" s="0" t="n">
        <v>0</v>
      </c>
      <c r="N639" s="0" t="n">
        <v>0</v>
      </c>
      <c r="P639" s="0" t="n">
        <v>65.3</v>
      </c>
    </row>
    <row r="640">
      <c r="A640" s="0" t="inlineStr">
        <is>
          <t>USR-100639</t>
        </is>
      </c>
      <c r="B640" s="23" t="n">
        <v>45787</v>
      </c>
      <c r="C640" s="0" t="inlineStr">
        <is>
          <t>Control</t>
        </is>
      </c>
      <c r="D640" s="0" t="inlineStr">
        <is>
          <t>West</t>
        </is>
      </c>
      <c r="E640" s="0" t="inlineStr">
        <is>
          <t>Mobile</t>
        </is>
      </c>
      <c r="F640" s="0" t="inlineStr">
        <is>
          <t>Paid Search</t>
        </is>
      </c>
      <c r="G640" s="0" t="inlineStr">
        <is>
          <t>Free</t>
        </is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P640" s="0" t="n">
        <v>37.6</v>
      </c>
    </row>
    <row r="641">
      <c r="A641" s="0" t="inlineStr">
        <is>
          <t>USR-100640</t>
        </is>
      </c>
      <c r="B641" s="23" t="n">
        <v>45756</v>
      </c>
      <c r="C641" s="0" t="inlineStr">
        <is>
          <t>Control</t>
        </is>
      </c>
      <c r="D641" s="0" t="inlineStr">
        <is>
          <t>East</t>
        </is>
      </c>
      <c r="E641" s="0" t="inlineStr">
        <is>
          <t>Mobile</t>
        </is>
      </c>
      <c r="F641" s="0" t="inlineStr">
        <is>
          <t>Social</t>
        </is>
      </c>
      <c r="G641" s="0" t="inlineStr">
        <is>
          <t>Basic</t>
        </is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P641" s="0" t="n">
        <v>57.8</v>
      </c>
    </row>
    <row r="642">
      <c r="A642" s="0" t="inlineStr">
        <is>
          <t>USR-100641</t>
        </is>
      </c>
      <c r="B642" s="23" t="n">
        <v>45803</v>
      </c>
      <c r="C642" s="0" t="inlineStr">
        <is>
          <t>Control</t>
        </is>
      </c>
      <c r="D642" s="0" t="inlineStr">
        <is>
          <t>North</t>
        </is>
      </c>
      <c r="E642" s="0" t="inlineStr">
        <is>
          <t>Mobile</t>
        </is>
      </c>
      <c r="F642" s="0" t="inlineStr">
        <is>
          <t>Social</t>
        </is>
      </c>
      <c r="G642" s="0" t="inlineStr">
        <is>
          <t>Free</t>
        </is>
      </c>
      <c r="H642" s="0" t="n">
        <v>1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P642" s="0" t="n">
        <v>52.7</v>
      </c>
    </row>
    <row r="643">
      <c r="A643" s="0" t="inlineStr">
        <is>
          <t>USR-100642</t>
        </is>
      </c>
      <c r="B643" s="23" t="n">
        <v>45700</v>
      </c>
      <c r="C643" s="0" t="inlineStr">
        <is>
          <t>Control</t>
        </is>
      </c>
      <c r="D643" s="0" t="inlineStr">
        <is>
          <t>North</t>
        </is>
      </c>
      <c r="E643" s="0" t="inlineStr">
        <is>
          <t>Mobile</t>
        </is>
      </c>
      <c r="F643" s="0" t="inlineStr">
        <is>
          <t>Organic</t>
        </is>
      </c>
      <c r="G643" s="0" t="inlineStr">
        <is>
          <t>Free</t>
        </is>
      </c>
      <c r="H643" s="0" t="n">
        <v>1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P643" s="0" t="n">
        <v>51.7</v>
      </c>
    </row>
    <row r="644">
      <c r="A644" s="0" t="inlineStr">
        <is>
          <t>USR-100643</t>
        </is>
      </c>
      <c r="B644" s="23" t="n">
        <v>45748</v>
      </c>
      <c r="C644" s="0" t="inlineStr">
        <is>
          <t>Control</t>
        </is>
      </c>
      <c r="D644" s="0" t="inlineStr">
        <is>
          <t>North</t>
        </is>
      </c>
      <c r="E644" s="0" t="inlineStr">
        <is>
          <t>Desktop</t>
        </is>
      </c>
      <c r="F644" s="0" t="inlineStr">
        <is>
          <t>Email</t>
        </is>
      </c>
      <c r="G644" s="0" t="inlineStr">
        <is>
          <t>Basic</t>
        </is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P644" s="0" t="n">
        <v>57</v>
      </c>
    </row>
    <row r="645">
      <c r="A645" s="0" t="inlineStr">
        <is>
          <t>USR-100644</t>
        </is>
      </c>
      <c r="B645" s="23" t="n">
        <v>45675</v>
      </c>
      <c r="C645" s="0" t="inlineStr">
        <is>
          <t>Control</t>
        </is>
      </c>
      <c r="D645" s="0" t="inlineStr">
        <is>
          <t>South</t>
        </is>
      </c>
      <c r="E645" s="0" t="inlineStr">
        <is>
          <t>Desktop</t>
        </is>
      </c>
      <c r="F645" s="0" t="inlineStr">
        <is>
          <t>Organic</t>
        </is>
      </c>
      <c r="G645" s="0" t="inlineStr">
        <is>
          <t>Basic</t>
        </is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P645" s="0" t="n">
        <v>39.5</v>
      </c>
    </row>
    <row r="646">
      <c r="A646" s="0" t="inlineStr">
        <is>
          <t>USR-100645</t>
        </is>
      </c>
      <c r="B646" s="23" t="n">
        <v>45753</v>
      </c>
      <c r="C646" s="0" t="inlineStr">
        <is>
          <t>Control</t>
        </is>
      </c>
      <c r="D646" s="0" t="inlineStr">
        <is>
          <t>East</t>
        </is>
      </c>
      <c r="E646" s="0" t="inlineStr">
        <is>
          <t>Tablet</t>
        </is>
      </c>
      <c r="F646" s="0" t="inlineStr">
        <is>
          <t>Organic</t>
        </is>
      </c>
      <c r="G646" s="0" t="inlineStr">
        <is>
          <t>Free</t>
        </is>
      </c>
      <c r="H646" s="0" t="n">
        <v>1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P646" s="0" t="n">
        <v>76.5</v>
      </c>
    </row>
    <row r="647">
      <c r="A647" s="0" t="inlineStr">
        <is>
          <t>USR-100646</t>
        </is>
      </c>
      <c r="B647" s="23" t="n">
        <v>45764</v>
      </c>
      <c r="C647" s="0" t="inlineStr">
        <is>
          <t>Control</t>
        </is>
      </c>
      <c r="D647" s="0" t="inlineStr">
        <is>
          <t>East</t>
        </is>
      </c>
      <c r="E647" s="0" t="inlineStr">
        <is>
          <t>Mobile</t>
        </is>
      </c>
      <c r="F647" s="0" t="inlineStr">
        <is>
          <t>Organic</t>
        </is>
      </c>
      <c r="G647" s="0" t="inlineStr">
        <is>
          <t>Free</t>
        </is>
      </c>
      <c r="H647" s="0" t="n">
        <v>1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P647" s="0" t="n">
        <v>32.4</v>
      </c>
    </row>
    <row r="648">
      <c r="A648" s="0" t="inlineStr">
        <is>
          <t>USR-100647</t>
        </is>
      </c>
      <c r="B648" s="23" t="n">
        <v>45695</v>
      </c>
      <c r="C648" s="0" t="inlineStr">
        <is>
          <t>Control</t>
        </is>
      </c>
      <c r="D648" s="0" t="inlineStr">
        <is>
          <t>North</t>
        </is>
      </c>
      <c r="E648" s="0" t="inlineStr">
        <is>
          <t>Desktop</t>
        </is>
      </c>
      <c r="F648" s="0" t="inlineStr">
        <is>
          <t>Paid Search</t>
        </is>
      </c>
      <c r="G648" s="0" t="inlineStr">
        <is>
          <t>Free</t>
        </is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P648" s="0" t="n">
        <v>58.6</v>
      </c>
    </row>
    <row r="649">
      <c r="A649" s="0" t="inlineStr">
        <is>
          <t>USR-100648</t>
        </is>
      </c>
      <c r="B649" s="23" t="n">
        <v>45720</v>
      </c>
      <c r="C649" s="0" t="inlineStr">
        <is>
          <t>Control</t>
        </is>
      </c>
      <c r="D649" s="0" t="inlineStr">
        <is>
          <t>East</t>
        </is>
      </c>
      <c r="E649" s="0" t="inlineStr">
        <is>
          <t>Mobile</t>
        </is>
      </c>
      <c r="F649" s="0" t="inlineStr">
        <is>
          <t>Organic</t>
        </is>
      </c>
      <c r="G649" s="0" t="inlineStr">
        <is>
          <t>Basic</t>
        </is>
      </c>
      <c r="H649" s="0" t="n">
        <v>1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P649" s="0" t="n">
        <v>78.59999999999999</v>
      </c>
    </row>
    <row r="650">
      <c r="A650" s="0" t="inlineStr">
        <is>
          <t>USR-100649</t>
        </is>
      </c>
      <c r="B650" s="23" t="n">
        <v>45705</v>
      </c>
      <c r="C650" s="0" t="inlineStr">
        <is>
          <t>Control</t>
        </is>
      </c>
      <c r="D650" s="0" t="inlineStr">
        <is>
          <t>North</t>
        </is>
      </c>
      <c r="E650" s="0" t="inlineStr">
        <is>
          <t>Desktop</t>
        </is>
      </c>
      <c r="F650" s="0" t="inlineStr">
        <is>
          <t>Organic</t>
        </is>
      </c>
      <c r="G650" s="0" t="inlineStr">
        <is>
          <t>Premium</t>
        </is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P650" s="0" t="n">
        <v>54.5</v>
      </c>
    </row>
    <row r="651">
      <c r="A651" s="0" t="inlineStr">
        <is>
          <t>USR-100650</t>
        </is>
      </c>
      <c r="B651" s="23" t="n">
        <v>45783</v>
      </c>
      <c r="C651" s="0" t="inlineStr">
        <is>
          <t>Control</t>
        </is>
      </c>
      <c r="D651" s="0" t="inlineStr">
        <is>
          <t>South</t>
        </is>
      </c>
      <c r="E651" s="0" t="inlineStr">
        <is>
          <t>Mobile</t>
        </is>
      </c>
      <c r="F651" s="0" t="inlineStr">
        <is>
          <t>Referral</t>
        </is>
      </c>
      <c r="G651" s="0" t="inlineStr">
        <is>
          <t>Free</t>
        </is>
      </c>
      <c r="H651" s="0" t="n">
        <v>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P651" s="0" t="n">
        <v>57.6</v>
      </c>
    </row>
    <row r="652">
      <c r="A652" s="0" t="inlineStr">
        <is>
          <t>USR-100651</t>
        </is>
      </c>
      <c r="B652" s="23" t="n">
        <v>45741</v>
      </c>
      <c r="C652" s="0" t="inlineStr">
        <is>
          <t>Control</t>
        </is>
      </c>
      <c r="D652" s="0" t="inlineStr">
        <is>
          <t>South</t>
        </is>
      </c>
      <c r="E652" s="0" t="inlineStr">
        <is>
          <t>Mobile</t>
        </is>
      </c>
      <c r="F652" s="0" t="inlineStr">
        <is>
          <t>Referral</t>
        </is>
      </c>
      <c r="G652" s="0" t="inlineStr">
        <is>
          <t>Premium</t>
        </is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P652" s="0" t="n">
        <v>52.8</v>
      </c>
    </row>
    <row r="653">
      <c r="A653" s="0" t="inlineStr">
        <is>
          <t>USR-100652</t>
        </is>
      </c>
      <c r="B653" s="23" t="n">
        <v>45720</v>
      </c>
      <c r="C653" s="0" t="inlineStr">
        <is>
          <t>Control</t>
        </is>
      </c>
      <c r="D653" s="0" t="inlineStr">
        <is>
          <t>West</t>
        </is>
      </c>
      <c r="E653" s="0" t="inlineStr">
        <is>
          <t>Mobile</t>
        </is>
      </c>
      <c r="F653" s="0" t="inlineStr">
        <is>
          <t>Email</t>
        </is>
      </c>
      <c r="G653" s="0" t="inlineStr">
        <is>
          <t>Premium</t>
        </is>
      </c>
      <c r="H653" s="0" t="n">
        <v>1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P653" s="0" t="n">
        <v>52.9</v>
      </c>
    </row>
    <row r="654">
      <c r="A654" s="0" t="inlineStr">
        <is>
          <t>USR-100653</t>
        </is>
      </c>
      <c r="B654" s="23" t="n">
        <v>45786</v>
      </c>
      <c r="C654" s="0" t="inlineStr">
        <is>
          <t>Control</t>
        </is>
      </c>
      <c r="D654" s="0" t="inlineStr">
        <is>
          <t>West</t>
        </is>
      </c>
      <c r="E654" s="0" t="inlineStr">
        <is>
          <t>Mobile</t>
        </is>
      </c>
      <c r="F654" s="0" t="inlineStr">
        <is>
          <t>Organic</t>
        </is>
      </c>
      <c r="G654" s="0" t="inlineStr">
        <is>
          <t>Free</t>
        </is>
      </c>
      <c r="H654" s="0" t="n">
        <v>1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0</v>
      </c>
      <c r="P654" s="0" t="n">
        <v>55.9</v>
      </c>
    </row>
    <row r="655">
      <c r="A655" s="0" t="inlineStr">
        <is>
          <t>USR-100654</t>
        </is>
      </c>
      <c r="B655" s="23" t="n">
        <v>45794</v>
      </c>
      <c r="C655" s="0" t="inlineStr">
        <is>
          <t>Control</t>
        </is>
      </c>
      <c r="D655" s="0" t="inlineStr">
        <is>
          <t>West</t>
        </is>
      </c>
      <c r="E655" s="0" t="inlineStr">
        <is>
          <t>Mobile</t>
        </is>
      </c>
      <c r="F655" s="0" t="inlineStr">
        <is>
          <t>Referral</t>
        </is>
      </c>
      <c r="G655" s="0" t="inlineStr">
        <is>
          <t>Premium</t>
        </is>
      </c>
      <c r="H655" s="0" t="n">
        <v>1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P655" s="0" t="n">
        <v>74.2</v>
      </c>
    </row>
    <row r="656">
      <c r="A656" s="0" t="inlineStr">
        <is>
          <t>USR-100655</t>
        </is>
      </c>
      <c r="B656" s="23" t="n">
        <v>45669</v>
      </c>
      <c r="C656" s="0" t="inlineStr">
        <is>
          <t>Control</t>
        </is>
      </c>
      <c r="D656" s="0" t="inlineStr">
        <is>
          <t>West</t>
        </is>
      </c>
      <c r="E656" s="0" t="inlineStr">
        <is>
          <t>Mobile</t>
        </is>
      </c>
      <c r="F656" s="0" t="inlineStr">
        <is>
          <t>Organic</t>
        </is>
      </c>
      <c r="G656" s="0" t="inlineStr">
        <is>
          <t>Free</t>
        </is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P656" s="0" t="n">
        <v>46.3</v>
      </c>
    </row>
    <row r="657">
      <c r="A657" s="0" t="inlineStr">
        <is>
          <t>USR-100656</t>
        </is>
      </c>
      <c r="B657" s="23" t="n">
        <v>45728</v>
      </c>
      <c r="C657" s="0" t="inlineStr">
        <is>
          <t>Control</t>
        </is>
      </c>
      <c r="D657" s="0" t="inlineStr">
        <is>
          <t>West</t>
        </is>
      </c>
      <c r="E657" s="0" t="inlineStr">
        <is>
          <t>Mobile</t>
        </is>
      </c>
      <c r="F657" s="0" t="inlineStr">
        <is>
          <t>Organic</t>
        </is>
      </c>
      <c r="G657" s="0" t="inlineStr">
        <is>
          <t>Premium</t>
        </is>
      </c>
      <c r="H657" s="0" t="n">
        <v>1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P657" s="0" t="n">
        <v>62</v>
      </c>
    </row>
    <row r="658">
      <c r="A658" s="0" t="inlineStr">
        <is>
          <t>USR-100657</t>
        </is>
      </c>
      <c r="B658" s="23" t="n">
        <v>45749</v>
      </c>
      <c r="C658" s="0" t="inlineStr">
        <is>
          <t>Control</t>
        </is>
      </c>
      <c r="D658" s="0" t="inlineStr">
        <is>
          <t>South</t>
        </is>
      </c>
      <c r="E658" s="0" t="inlineStr">
        <is>
          <t>Mobile</t>
        </is>
      </c>
      <c r="F658" s="0" t="inlineStr">
        <is>
          <t>Organic</t>
        </is>
      </c>
      <c r="G658" s="0" t="inlineStr">
        <is>
          <t>Basic</t>
        </is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P658" s="0" t="n">
        <v>55.6</v>
      </c>
    </row>
    <row r="659">
      <c r="A659" s="0" t="inlineStr">
        <is>
          <t>USR-100658</t>
        </is>
      </c>
      <c r="B659" s="23" t="n">
        <v>45670</v>
      </c>
      <c r="C659" s="0" t="inlineStr">
        <is>
          <t>Control</t>
        </is>
      </c>
      <c r="D659" s="0" t="inlineStr">
        <is>
          <t>South</t>
        </is>
      </c>
      <c r="E659" s="0" t="inlineStr">
        <is>
          <t>Mobile</t>
        </is>
      </c>
      <c r="F659" s="0" t="inlineStr">
        <is>
          <t>Organic</t>
        </is>
      </c>
      <c r="G659" s="0" t="inlineStr">
        <is>
          <t>Basic</t>
        </is>
      </c>
      <c r="H659" s="0" t="n">
        <v>1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P659" s="0" t="n">
        <v>62.8</v>
      </c>
    </row>
    <row r="660">
      <c r="A660" s="0" t="inlineStr">
        <is>
          <t>USR-100659</t>
        </is>
      </c>
      <c r="B660" s="23" t="n">
        <v>45723</v>
      </c>
      <c r="C660" s="0" t="inlineStr">
        <is>
          <t>Control</t>
        </is>
      </c>
      <c r="D660" s="0" t="inlineStr">
        <is>
          <t>East</t>
        </is>
      </c>
      <c r="E660" s="0" t="inlineStr">
        <is>
          <t>Mobile</t>
        </is>
      </c>
      <c r="F660" s="0" t="inlineStr">
        <is>
          <t>Referral</t>
        </is>
      </c>
      <c r="G660" s="0" t="inlineStr">
        <is>
          <t>Free</t>
        </is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P660" s="0" t="n">
        <v>73.09999999999999</v>
      </c>
    </row>
    <row r="661">
      <c r="A661" s="0" t="inlineStr">
        <is>
          <t>USR-100660</t>
        </is>
      </c>
      <c r="B661" s="23" t="n">
        <v>45767</v>
      </c>
      <c r="C661" s="0" t="inlineStr">
        <is>
          <t>Control</t>
        </is>
      </c>
      <c r="D661" s="0" t="inlineStr">
        <is>
          <t>South</t>
        </is>
      </c>
      <c r="E661" s="0" t="inlineStr">
        <is>
          <t>Desktop</t>
        </is>
      </c>
      <c r="F661" s="0" t="inlineStr">
        <is>
          <t>Social</t>
        </is>
      </c>
      <c r="G661" s="0" t="inlineStr">
        <is>
          <t>Free</t>
        </is>
      </c>
      <c r="H661" s="0" t="n">
        <v>1</v>
      </c>
      <c r="I661" s="0" t="n">
        <v>1</v>
      </c>
      <c r="J661" s="0" t="n">
        <v>1</v>
      </c>
      <c r="K661" s="0" t="n">
        <v>1</v>
      </c>
      <c r="L661" s="0" t="n">
        <v>347.52</v>
      </c>
      <c r="M661" s="0" t="n">
        <v>0</v>
      </c>
      <c r="N661" s="0" t="n">
        <v>0</v>
      </c>
      <c r="O661" s="0" t="n">
        <v>2</v>
      </c>
      <c r="P661" s="0" t="n">
        <v>57.2</v>
      </c>
    </row>
    <row r="662">
      <c r="A662" s="0" t="inlineStr">
        <is>
          <t>USR-100661</t>
        </is>
      </c>
      <c r="B662" s="23" t="n">
        <v>45664</v>
      </c>
      <c r="C662" s="0" t="inlineStr">
        <is>
          <t>Control</t>
        </is>
      </c>
      <c r="D662" s="0" t="inlineStr">
        <is>
          <t>South</t>
        </is>
      </c>
      <c r="E662" s="0" t="inlineStr">
        <is>
          <t>Mobile</t>
        </is>
      </c>
      <c r="F662" s="0" t="inlineStr">
        <is>
          <t>Paid Search</t>
        </is>
      </c>
      <c r="G662" s="0" t="inlineStr">
        <is>
          <t>Free</t>
        </is>
      </c>
      <c r="H662" s="0" t="n">
        <v>1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P662" s="0" t="n">
        <v>67.90000000000001</v>
      </c>
    </row>
    <row r="663">
      <c r="A663" s="0" t="inlineStr">
        <is>
          <t>USR-100662</t>
        </is>
      </c>
      <c r="B663" s="23" t="n">
        <v>45770</v>
      </c>
      <c r="C663" s="0" t="inlineStr">
        <is>
          <t>Control</t>
        </is>
      </c>
      <c r="D663" s="0" t="inlineStr">
        <is>
          <t>South</t>
        </is>
      </c>
      <c r="E663" s="0" t="inlineStr">
        <is>
          <t>Mobile</t>
        </is>
      </c>
      <c r="F663" s="0" t="inlineStr">
        <is>
          <t>Referral</t>
        </is>
      </c>
      <c r="G663" s="0" t="inlineStr">
        <is>
          <t>Free</t>
        </is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P663" s="0" t="n">
        <v>50.1</v>
      </c>
    </row>
    <row r="664">
      <c r="A664" s="0" t="inlineStr">
        <is>
          <t>USR-100663</t>
        </is>
      </c>
      <c r="B664" s="23" t="n">
        <v>45803</v>
      </c>
      <c r="C664" s="0" t="inlineStr">
        <is>
          <t>Control</t>
        </is>
      </c>
      <c r="D664" s="0" t="inlineStr">
        <is>
          <t>North</t>
        </is>
      </c>
      <c r="E664" s="0" t="inlineStr">
        <is>
          <t>Mobile</t>
        </is>
      </c>
      <c r="F664" s="0" t="inlineStr">
        <is>
          <t>Paid Search</t>
        </is>
      </c>
      <c r="G664" s="0" t="inlineStr">
        <is>
          <t>Basic</t>
        </is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P664" s="0" t="n">
        <v>67.8</v>
      </c>
    </row>
    <row r="665">
      <c r="A665" s="0" t="inlineStr">
        <is>
          <t>USR-100664</t>
        </is>
      </c>
      <c r="B665" s="23" t="n">
        <v>45733</v>
      </c>
      <c r="C665" s="0" t="inlineStr">
        <is>
          <t>Control</t>
        </is>
      </c>
      <c r="D665" s="0" t="inlineStr">
        <is>
          <t>North</t>
        </is>
      </c>
      <c r="E665" s="0" t="inlineStr">
        <is>
          <t>Desktop</t>
        </is>
      </c>
      <c r="F665" s="0" t="inlineStr">
        <is>
          <t>Social</t>
        </is>
      </c>
      <c r="G665" s="0" t="inlineStr">
        <is>
          <t>Basic</t>
        </is>
      </c>
      <c r="H665" s="0" t="n">
        <v>1</v>
      </c>
      <c r="I665" s="0" t="n">
        <v>1</v>
      </c>
      <c r="J665" s="0" t="n">
        <v>1</v>
      </c>
      <c r="K665" s="0" t="n">
        <v>0</v>
      </c>
      <c r="L665" s="0" t="n">
        <v>0</v>
      </c>
      <c r="M665" s="0" t="n">
        <v>0</v>
      </c>
      <c r="N665" s="0" t="n">
        <v>0</v>
      </c>
      <c r="P665" s="0" t="n">
        <v>60.8</v>
      </c>
    </row>
    <row r="666">
      <c r="A666" s="0" t="inlineStr">
        <is>
          <t>USR-100665</t>
        </is>
      </c>
      <c r="B666" s="23" t="n">
        <v>45794</v>
      </c>
      <c r="C666" s="0" t="inlineStr">
        <is>
          <t>Control</t>
        </is>
      </c>
      <c r="D666" s="0" t="inlineStr">
        <is>
          <t>North</t>
        </is>
      </c>
      <c r="E666" s="0" t="inlineStr">
        <is>
          <t>Desktop</t>
        </is>
      </c>
      <c r="F666" s="0" t="inlineStr">
        <is>
          <t>Paid Search</t>
        </is>
      </c>
      <c r="G666" s="0" t="inlineStr">
        <is>
          <t>Basic</t>
        </is>
      </c>
      <c r="H666" s="0" t="n">
        <v>1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3</v>
      </c>
      <c r="N666" s="0" t="n">
        <v>0</v>
      </c>
      <c r="P666" s="0" t="n">
        <v>33.7</v>
      </c>
    </row>
    <row r="667">
      <c r="A667" s="0" t="inlineStr">
        <is>
          <t>USR-100666</t>
        </is>
      </c>
      <c r="B667" s="23" t="n">
        <v>45709</v>
      </c>
      <c r="C667" s="0" t="inlineStr">
        <is>
          <t>Control</t>
        </is>
      </c>
      <c r="D667" s="0" t="inlineStr">
        <is>
          <t>North</t>
        </is>
      </c>
      <c r="E667" s="0" t="inlineStr">
        <is>
          <t>Mobile</t>
        </is>
      </c>
      <c r="F667" s="0" t="inlineStr">
        <is>
          <t>Paid Search</t>
        </is>
      </c>
      <c r="G667" s="0" t="inlineStr">
        <is>
          <t>Basic</t>
        </is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P667" s="0" t="n">
        <v>45.2</v>
      </c>
    </row>
    <row r="668">
      <c r="A668" s="0" t="inlineStr">
        <is>
          <t>USR-100667</t>
        </is>
      </c>
      <c r="B668" s="23" t="n">
        <v>45713</v>
      </c>
      <c r="C668" s="0" t="inlineStr">
        <is>
          <t>Control</t>
        </is>
      </c>
      <c r="D668" s="0" t="inlineStr">
        <is>
          <t>East</t>
        </is>
      </c>
      <c r="E668" s="0" t="inlineStr">
        <is>
          <t>Desktop</t>
        </is>
      </c>
      <c r="F668" s="0" t="inlineStr">
        <is>
          <t>Paid Search</t>
        </is>
      </c>
      <c r="G668" s="0" t="inlineStr">
        <is>
          <t>Premium</t>
        </is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P668" s="0" t="n">
        <v>48.2</v>
      </c>
    </row>
    <row r="669">
      <c r="A669" s="0" t="inlineStr">
        <is>
          <t>USR-100668</t>
        </is>
      </c>
      <c r="B669" s="23" t="n">
        <v>45687</v>
      </c>
      <c r="C669" s="0" t="inlineStr">
        <is>
          <t>Control</t>
        </is>
      </c>
      <c r="D669" s="0" t="inlineStr">
        <is>
          <t>South</t>
        </is>
      </c>
      <c r="E669" s="0" t="inlineStr">
        <is>
          <t>Mobile</t>
        </is>
      </c>
      <c r="F669" s="0" t="inlineStr">
        <is>
          <t>Social</t>
        </is>
      </c>
      <c r="G669" s="0" t="inlineStr">
        <is>
          <t>Free</t>
        </is>
      </c>
      <c r="H669" s="0" t="n">
        <v>1</v>
      </c>
      <c r="I669" s="0" t="n">
        <v>1</v>
      </c>
      <c r="J669" s="0" t="n">
        <v>0</v>
      </c>
      <c r="K669" s="0" t="n">
        <v>0</v>
      </c>
      <c r="L669" s="0" t="n">
        <v>0</v>
      </c>
      <c r="M669" s="0" t="n">
        <v>1</v>
      </c>
      <c r="N669" s="0" t="n">
        <v>0</v>
      </c>
      <c r="P669" s="0" t="n">
        <v>44.8</v>
      </c>
    </row>
    <row r="670">
      <c r="A670" s="0" t="inlineStr">
        <is>
          <t>USR-100669</t>
        </is>
      </c>
      <c r="B670" s="23" t="n">
        <v>45705</v>
      </c>
      <c r="C670" s="0" t="inlineStr">
        <is>
          <t>Control</t>
        </is>
      </c>
      <c r="D670" s="0" t="inlineStr">
        <is>
          <t>North</t>
        </is>
      </c>
      <c r="E670" s="0" t="inlineStr">
        <is>
          <t>Tablet</t>
        </is>
      </c>
      <c r="F670" s="0" t="inlineStr">
        <is>
          <t>Social</t>
        </is>
      </c>
      <c r="G670" s="0" t="inlineStr">
        <is>
          <t>Basic</t>
        </is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P670" s="0" t="n">
        <v>52.1</v>
      </c>
    </row>
    <row r="671">
      <c r="A671" s="0" t="inlineStr">
        <is>
          <t>USR-100670</t>
        </is>
      </c>
      <c r="B671" s="23" t="n">
        <v>45794</v>
      </c>
      <c r="C671" s="0" t="inlineStr">
        <is>
          <t>Control</t>
        </is>
      </c>
      <c r="D671" s="0" t="inlineStr">
        <is>
          <t>North</t>
        </is>
      </c>
      <c r="E671" s="0" t="inlineStr">
        <is>
          <t>Desktop</t>
        </is>
      </c>
      <c r="F671" s="0" t="inlineStr">
        <is>
          <t>Paid Search</t>
        </is>
      </c>
      <c r="G671" s="0" t="inlineStr">
        <is>
          <t>Basic</t>
        </is>
      </c>
      <c r="H671" s="0" t="n">
        <v>1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P671" s="0" t="n">
        <v>30.7</v>
      </c>
    </row>
    <row r="672">
      <c r="A672" s="0" t="inlineStr">
        <is>
          <t>USR-100671</t>
        </is>
      </c>
      <c r="B672" s="23" t="n">
        <v>45777</v>
      </c>
      <c r="C672" s="0" t="inlineStr">
        <is>
          <t>Control</t>
        </is>
      </c>
      <c r="D672" s="0" t="inlineStr">
        <is>
          <t>East</t>
        </is>
      </c>
      <c r="E672" s="0" t="inlineStr">
        <is>
          <t>Desktop</t>
        </is>
      </c>
      <c r="F672" s="0" t="inlineStr">
        <is>
          <t>Paid Search</t>
        </is>
      </c>
      <c r="G672" s="0" t="inlineStr">
        <is>
          <t>Free</t>
        </is>
      </c>
      <c r="H672" s="0" t="n">
        <v>1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P672" s="0" t="n">
        <v>58.4</v>
      </c>
    </row>
    <row r="673">
      <c r="A673" s="0" t="inlineStr">
        <is>
          <t>USR-100672</t>
        </is>
      </c>
      <c r="B673" s="23" t="n">
        <v>45738</v>
      </c>
      <c r="C673" s="0" t="inlineStr">
        <is>
          <t>Control</t>
        </is>
      </c>
      <c r="D673" s="0" t="inlineStr">
        <is>
          <t>West</t>
        </is>
      </c>
      <c r="E673" s="0" t="inlineStr">
        <is>
          <t>Mobile</t>
        </is>
      </c>
      <c r="F673" s="0" t="inlineStr">
        <is>
          <t>Referral</t>
        </is>
      </c>
      <c r="G673" s="0" t="inlineStr">
        <is>
          <t>Free</t>
        </is>
      </c>
      <c r="H673" s="0" t="n">
        <v>1</v>
      </c>
      <c r="I673" s="0" t="n">
        <v>1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P673" s="0" t="n">
        <v>52.6</v>
      </c>
    </row>
    <row r="674">
      <c r="A674" s="0" t="inlineStr">
        <is>
          <t>USR-100673</t>
        </is>
      </c>
      <c r="B674" s="23" t="n">
        <v>45667</v>
      </c>
      <c r="C674" s="0" t="inlineStr">
        <is>
          <t>Control</t>
        </is>
      </c>
      <c r="D674" s="0" t="inlineStr">
        <is>
          <t>West</t>
        </is>
      </c>
      <c r="E674" s="0" t="inlineStr">
        <is>
          <t>Unknown</t>
        </is>
      </c>
      <c r="F674" s="0" t="inlineStr">
        <is>
          <t>Paid Search</t>
        </is>
      </c>
      <c r="G674" s="0" t="inlineStr">
        <is>
          <t>Free</t>
        </is>
      </c>
      <c r="H674" s="0" t="n">
        <v>1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1</v>
      </c>
      <c r="N674" s="0" t="n">
        <v>0</v>
      </c>
      <c r="P674" s="0" t="n">
        <v>19.1</v>
      </c>
    </row>
    <row r="675">
      <c r="A675" s="0" t="inlineStr">
        <is>
          <t>USR-100674</t>
        </is>
      </c>
      <c r="B675" s="23" t="n">
        <v>45737</v>
      </c>
      <c r="C675" s="0" t="inlineStr">
        <is>
          <t>Control</t>
        </is>
      </c>
      <c r="D675" s="0" t="inlineStr">
        <is>
          <t>South</t>
        </is>
      </c>
      <c r="E675" s="0" t="inlineStr">
        <is>
          <t>Unknown</t>
        </is>
      </c>
      <c r="F675" s="0" t="inlineStr">
        <is>
          <t>Paid Search</t>
        </is>
      </c>
      <c r="G675" s="0" t="inlineStr">
        <is>
          <t>Free</t>
        </is>
      </c>
      <c r="H675" s="0" t="n">
        <v>1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P675" s="0" t="n">
        <v>36.8</v>
      </c>
    </row>
    <row r="676">
      <c r="A676" s="0" t="inlineStr">
        <is>
          <t>USR-100675</t>
        </is>
      </c>
      <c r="B676" s="23" t="n">
        <v>45789</v>
      </c>
      <c r="C676" s="0" t="inlineStr">
        <is>
          <t>Control</t>
        </is>
      </c>
      <c r="D676" s="0" t="inlineStr">
        <is>
          <t>North</t>
        </is>
      </c>
      <c r="E676" s="0" t="inlineStr">
        <is>
          <t>Desktop</t>
        </is>
      </c>
      <c r="F676" s="0" t="inlineStr">
        <is>
          <t>Paid Search</t>
        </is>
      </c>
      <c r="G676" s="0" t="inlineStr">
        <is>
          <t>Basic</t>
        </is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P676" s="0" t="n">
        <v>68.5</v>
      </c>
    </row>
    <row r="677">
      <c r="A677" s="0" t="inlineStr">
        <is>
          <t>USR-100676</t>
        </is>
      </c>
      <c r="B677" s="23" t="n">
        <v>45801</v>
      </c>
      <c r="C677" s="0" t="inlineStr">
        <is>
          <t>Control</t>
        </is>
      </c>
      <c r="D677" s="0" t="inlineStr">
        <is>
          <t>West</t>
        </is>
      </c>
      <c r="E677" s="0" t="inlineStr">
        <is>
          <t>Mobile</t>
        </is>
      </c>
      <c r="F677" s="0" t="inlineStr">
        <is>
          <t>Paid Search</t>
        </is>
      </c>
      <c r="G677" s="0" t="inlineStr">
        <is>
          <t>Free</t>
        </is>
      </c>
      <c r="H677" s="0" t="n">
        <v>1</v>
      </c>
      <c r="I677" s="0" t="n">
        <v>1</v>
      </c>
      <c r="J677" s="0" t="n">
        <v>1</v>
      </c>
      <c r="K677" s="0" t="n">
        <v>0</v>
      </c>
      <c r="L677" s="0" t="n">
        <v>0</v>
      </c>
      <c r="M677" s="0" t="n">
        <v>0</v>
      </c>
      <c r="N677" s="0" t="n">
        <v>0</v>
      </c>
      <c r="P677" s="0" t="n">
        <v>40.1</v>
      </c>
    </row>
    <row r="678">
      <c r="A678" s="0" t="inlineStr">
        <is>
          <t>USR-100677</t>
        </is>
      </c>
      <c r="B678" s="23" t="n">
        <v>45780</v>
      </c>
      <c r="C678" s="0" t="inlineStr">
        <is>
          <t>Control</t>
        </is>
      </c>
      <c r="D678" s="0" t="inlineStr">
        <is>
          <t>West</t>
        </is>
      </c>
      <c r="E678" s="0" t="inlineStr">
        <is>
          <t>Tablet</t>
        </is>
      </c>
      <c r="F678" s="0" t="inlineStr">
        <is>
          <t>Organic</t>
        </is>
      </c>
      <c r="G678" s="0" t="inlineStr">
        <is>
          <t>Free</t>
        </is>
      </c>
      <c r="H678" s="0" t="n">
        <v>1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P678" s="0" t="n">
        <v>47.5</v>
      </c>
    </row>
    <row r="679">
      <c r="A679" s="0" t="inlineStr">
        <is>
          <t>USR-100678</t>
        </is>
      </c>
      <c r="B679" s="23" t="n">
        <v>45671</v>
      </c>
      <c r="C679" s="0" t="inlineStr">
        <is>
          <t>Control</t>
        </is>
      </c>
      <c r="D679" s="0" t="inlineStr">
        <is>
          <t>South</t>
        </is>
      </c>
      <c r="E679" s="0" t="inlineStr">
        <is>
          <t>Mobile</t>
        </is>
      </c>
      <c r="F679" s="0" t="inlineStr">
        <is>
          <t>Organic</t>
        </is>
      </c>
      <c r="G679" s="0" t="inlineStr">
        <is>
          <t>Basic</t>
        </is>
      </c>
      <c r="H679" s="0" t="n">
        <v>1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P679" s="0" t="n">
        <v>77.09999999999999</v>
      </c>
    </row>
    <row r="680">
      <c r="A680" s="0" t="inlineStr">
        <is>
          <t>USR-100679</t>
        </is>
      </c>
      <c r="B680" s="23" t="n">
        <v>45743</v>
      </c>
      <c r="C680" s="0" t="inlineStr">
        <is>
          <t>Control</t>
        </is>
      </c>
      <c r="D680" s="0" t="inlineStr">
        <is>
          <t>West</t>
        </is>
      </c>
      <c r="E680" s="0" t="inlineStr">
        <is>
          <t>Mobile</t>
        </is>
      </c>
      <c r="F680" s="0" t="inlineStr">
        <is>
          <t>Social</t>
        </is>
      </c>
      <c r="G680" s="0" t="inlineStr">
        <is>
          <t>Basic</t>
        </is>
      </c>
      <c r="H680" s="0" t="n">
        <v>1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P680" s="0" t="n">
        <v>75.90000000000001</v>
      </c>
    </row>
    <row r="681">
      <c r="A681" s="0" t="inlineStr">
        <is>
          <t>USR-100680</t>
        </is>
      </c>
      <c r="B681" s="23" t="n">
        <v>45716</v>
      </c>
      <c r="C681" s="0" t="inlineStr">
        <is>
          <t>Control</t>
        </is>
      </c>
      <c r="D681" s="0" t="inlineStr">
        <is>
          <t>North</t>
        </is>
      </c>
      <c r="E681" s="0" t="inlineStr">
        <is>
          <t>Desktop</t>
        </is>
      </c>
      <c r="F681" s="0" t="inlineStr">
        <is>
          <t>Referral</t>
        </is>
      </c>
      <c r="G681" s="0" t="inlineStr">
        <is>
          <t>Premium</t>
        </is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0</v>
      </c>
      <c r="P681" s="0" t="n">
        <v>52</v>
      </c>
    </row>
    <row r="682">
      <c r="A682" s="0" t="inlineStr">
        <is>
          <t>USR-100681</t>
        </is>
      </c>
      <c r="B682" s="23" t="n">
        <v>45789</v>
      </c>
      <c r="C682" s="0" t="inlineStr">
        <is>
          <t>Control</t>
        </is>
      </c>
      <c r="D682" s="0" t="inlineStr">
        <is>
          <t>West</t>
        </is>
      </c>
      <c r="E682" s="0" t="inlineStr">
        <is>
          <t>Desktop</t>
        </is>
      </c>
      <c r="F682" s="0" t="inlineStr">
        <is>
          <t>Referral</t>
        </is>
      </c>
      <c r="G682" s="0" t="inlineStr">
        <is>
          <t>Premium</t>
        </is>
      </c>
      <c r="H682" s="0" t="n">
        <v>1</v>
      </c>
      <c r="I682" s="0" t="n">
        <v>1</v>
      </c>
      <c r="J682" s="0" t="n">
        <v>1</v>
      </c>
      <c r="K682" s="0" t="n">
        <v>0</v>
      </c>
      <c r="L682" s="0" t="n">
        <v>0</v>
      </c>
      <c r="M682" s="0" t="n">
        <v>0</v>
      </c>
      <c r="N682" s="0" t="n">
        <v>0</v>
      </c>
      <c r="P682" s="0" t="n">
        <v>64.90000000000001</v>
      </c>
    </row>
    <row r="683">
      <c r="A683" s="0" t="inlineStr">
        <is>
          <t>USR-100682</t>
        </is>
      </c>
      <c r="B683" s="23" t="n">
        <v>45730</v>
      </c>
      <c r="C683" s="0" t="inlineStr">
        <is>
          <t>Control</t>
        </is>
      </c>
      <c r="D683" s="0" t="inlineStr">
        <is>
          <t>North</t>
        </is>
      </c>
      <c r="E683" s="0" t="inlineStr">
        <is>
          <t>Mobile</t>
        </is>
      </c>
      <c r="F683" s="0" t="inlineStr">
        <is>
          <t>Organic</t>
        </is>
      </c>
      <c r="G683" s="0" t="inlineStr">
        <is>
          <t>Free</t>
        </is>
      </c>
      <c r="H683" s="0" t="n">
        <v>1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P683" s="0" t="n">
        <v>48.2</v>
      </c>
    </row>
    <row r="684">
      <c r="A684" s="0" t="inlineStr">
        <is>
          <t>USR-100683</t>
        </is>
      </c>
      <c r="B684" s="23" t="n">
        <v>45797</v>
      </c>
      <c r="C684" s="0" t="inlineStr">
        <is>
          <t>Control</t>
        </is>
      </c>
      <c r="D684" s="0" t="inlineStr">
        <is>
          <t>East</t>
        </is>
      </c>
      <c r="E684" s="0" t="inlineStr">
        <is>
          <t>Mobile</t>
        </is>
      </c>
      <c r="F684" s="0" t="inlineStr">
        <is>
          <t>Organic</t>
        </is>
      </c>
      <c r="G684" s="0" t="inlineStr">
        <is>
          <t>Basic</t>
        </is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P684" s="0" t="n">
        <v>42.1</v>
      </c>
    </row>
    <row r="685">
      <c r="A685" s="0" t="inlineStr">
        <is>
          <t>USR-100684</t>
        </is>
      </c>
      <c r="B685" s="23" t="n">
        <v>45712</v>
      </c>
      <c r="C685" s="0" t="inlineStr">
        <is>
          <t>Control</t>
        </is>
      </c>
      <c r="D685" s="0" t="inlineStr">
        <is>
          <t>South</t>
        </is>
      </c>
      <c r="E685" s="0" t="inlineStr">
        <is>
          <t>Desktop</t>
        </is>
      </c>
      <c r="F685" s="0" t="inlineStr">
        <is>
          <t>Referral</t>
        </is>
      </c>
      <c r="G685" s="0" t="inlineStr">
        <is>
          <t>Free</t>
        </is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P685" s="0" t="n">
        <v>27.6</v>
      </c>
    </row>
    <row r="686">
      <c r="A686" s="0" t="inlineStr">
        <is>
          <t>USR-100685</t>
        </is>
      </c>
      <c r="B686" s="23" t="n">
        <v>45701</v>
      </c>
      <c r="C686" s="0" t="inlineStr">
        <is>
          <t>Control</t>
        </is>
      </c>
      <c r="D686" s="0" t="inlineStr">
        <is>
          <t>West</t>
        </is>
      </c>
      <c r="E686" s="0" t="inlineStr">
        <is>
          <t>Mobile</t>
        </is>
      </c>
      <c r="F686" s="0" t="inlineStr">
        <is>
          <t>Organic</t>
        </is>
      </c>
      <c r="G686" s="0" t="inlineStr">
        <is>
          <t>Premium</t>
        </is>
      </c>
      <c r="H686" s="0" t="n">
        <v>1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1</v>
      </c>
      <c r="N686" s="0" t="n">
        <v>0</v>
      </c>
      <c r="P686" s="0" t="n">
        <v>68.5</v>
      </c>
    </row>
    <row r="687">
      <c r="A687" s="0" t="inlineStr">
        <is>
          <t>USR-100686</t>
        </is>
      </c>
      <c r="B687" s="23" t="n">
        <v>45694</v>
      </c>
      <c r="C687" s="0" t="inlineStr">
        <is>
          <t>Control</t>
        </is>
      </c>
      <c r="D687" s="0" t="inlineStr">
        <is>
          <t>South</t>
        </is>
      </c>
      <c r="E687" s="0" t="inlineStr">
        <is>
          <t>Desktop</t>
        </is>
      </c>
      <c r="F687" s="0" t="inlineStr">
        <is>
          <t>Organic</t>
        </is>
      </c>
      <c r="G687" s="0" t="inlineStr">
        <is>
          <t>Free</t>
        </is>
      </c>
      <c r="H687" s="0" t="n">
        <v>1</v>
      </c>
      <c r="I687" s="0" t="n">
        <v>1</v>
      </c>
      <c r="J687" s="0" t="n">
        <v>1</v>
      </c>
      <c r="K687" s="0" t="n">
        <v>0</v>
      </c>
      <c r="L687" s="0" t="n">
        <v>0</v>
      </c>
      <c r="M687" s="0" t="n">
        <v>0</v>
      </c>
      <c r="N687" s="0" t="n">
        <v>0</v>
      </c>
      <c r="P687" s="0" t="n">
        <v>59.2</v>
      </c>
    </row>
    <row r="688">
      <c r="A688" s="0" t="inlineStr">
        <is>
          <t>USR-100687</t>
        </is>
      </c>
      <c r="B688" s="23" t="n">
        <v>45718</v>
      </c>
      <c r="C688" s="0" t="inlineStr">
        <is>
          <t>Control</t>
        </is>
      </c>
      <c r="D688" s="0" t="inlineStr">
        <is>
          <t>North</t>
        </is>
      </c>
      <c r="E688" s="0" t="inlineStr">
        <is>
          <t>Mobile</t>
        </is>
      </c>
      <c r="F688" s="0" t="inlineStr">
        <is>
          <t>Social</t>
        </is>
      </c>
      <c r="G688" s="0" t="inlineStr">
        <is>
          <t>Basic</t>
        </is>
      </c>
      <c r="H688" s="0" t="n">
        <v>1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P688" s="0" t="n">
        <v>63.3</v>
      </c>
    </row>
    <row r="689">
      <c r="A689" s="0" t="inlineStr">
        <is>
          <t>USR-100688</t>
        </is>
      </c>
      <c r="B689" s="23" t="n">
        <v>45775</v>
      </c>
      <c r="C689" s="0" t="inlineStr">
        <is>
          <t>Control</t>
        </is>
      </c>
      <c r="D689" s="0" t="inlineStr">
        <is>
          <t>East</t>
        </is>
      </c>
      <c r="E689" s="0" t="inlineStr">
        <is>
          <t>Desktop</t>
        </is>
      </c>
      <c r="F689" s="0" t="inlineStr">
        <is>
          <t>Paid Search</t>
        </is>
      </c>
      <c r="G689" s="0" t="inlineStr">
        <is>
          <t>Free</t>
        </is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P689" s="0" t="n">
        <v>55</v>
      </c>
    </row>
    <row r="690">
      <c r="A690" s="0" t="inlineStr">
        <is>
          <t>USR-100689</t>
        </is>
      </c>
      <c r="B690" s="23" t="n">
        <v>45804</v>
      </c>
      <c r="C690" s="0" t="inlineStr">
        <is>
          <t>Control</t>
        </is>
      </c>
      <c r="D690" s="0" t="inlineStr">
        <is>
          <t>North</t>
        </is>
      </c>
      <c r="E690" s="0" t="inlineStr">
        <is>
          <t>Desktop</t>
        </is>
      </c>
      <c r="F690" s="0" t="inlineStr">
        <is>
          <t>Unknown</t>
        </is>
      </c>
      <c r="G690" s="0" t="inlineStr">
        <is>
          <t>Premium</t>
        </is>
      </c>
      <c r="H690" s="0" t="n">
        <v>1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P690" s="0" t="n">
        <v>64.8</v>
      </c>
    </row>
    <row r="691">
      <c r="A691" s="0" t="inlineStr">
        <is>
          <t>USR-100690</t>
        </is>
      </c>
      <c r="B691" s="23" t="n">
        <v>45754</v>
      </c>
      <c r="C691" s="0" t="inlineStr">
        <is>
          <t>Control</t>
        </is>
      </c>
      <c r="D691" s="0" t="inlineStr">
        <is>
          <t>South</t>
        </is>
      </c>
      <c r="E691" s="0" t="inlineStr">
        <is>
          <t>Desktop</t>
        </is>
      </c>
      <c r="F691" s="0" t="inlineStr">
        <is>
          <t>Organic</t>
        </is>
      </c>
      <c r="G691" s="0" t="inlineStr">
        <is>
          <t>Basic</t>
        </is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2</v>
      </c>
      <c r="N691" s="0" t="n">
        <v>0</v>
      </c>
      <c r="P691" s="0" t="n">
        <v>41.8</v>
      </c>
    </row>
    <row r="692">
      <c r="A692" s="0" t="inlineStr">
        <is>
          <t>USR-100691</t>
        </is>
      </c>
      <c r="B692" s="23" t="n">
        <v>45761</v>
      </c>
      <c r="C692" s="0" t="inlineStr">
        <is>
          <t>Treatment</t>
        </is>
      </c>
      <c r="D692" s="0" t="inlineStr">
        <is>
          <t>East</t>
        </is>
      </c>
      <c r="E692" s="0" t="inlineStr">
        <is>
          <t>Desktop</t>
        </is>
      </c>
      <c r="F692" s="0" t="inlineStr">
        <is>
          <t>Social</t>
        </is>
      </c>
      <c r="G692" s="0" t="inlineStr">
        <is>
          <t>Basic</t>
        </is>
      </c>
      <c r="H692" s="0" t="n">
        <v>1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P692" s="0" t="n">
        <v>73.2</v>
      </c>
    </row>
    <row r="693">
      <c r="A693" s="0" t="inlineStr">
        <is>
          <t>USR-100692</t>
        </is>
      </c>
      <c r="B693" s="23" t="n">
        <v>45786</v>
      </c>
      <c r="C693" s="0" t="inlineStr">
        <is>
          <t>Treatment</t>
        </is>
      </c>
      <c r="D693" s="0" t="inlineStr">
        <is>
          <t>East</t>
        </is>
      </c>
      <c r="E693" s="0" t="inlineStr">
        <is>
          <t>Desktop</t>
        </is>
      </c>
      <c r="F693" s="0" t="inlineStr">
        <is>
          <t>Organic</t>
        </is>
      </c>
      <c r="G693" s="0" t="inlineStr">
        <is>
          <t>Basic</t>
        </is>
      </c>
      <c r="H693" s="0" t="n">
        <v>1</v>
      </c>
      <c r="I693" s="0" t="n">
        <v>1</v>
      </c>
      <c r="J693" s="0" t="n">
        <v>1</v>
      </c>
      <c r="K693" s="0" t="n">
        <v>0</v>
      </c>
      <c r="L693" s="0" t="n">
        <v>0</v>
      </c>
      <c r="M693" s="0" t="n">
        <v>3</v>
      </c>
      <c r="N693" s="0" t="n">
        <v>0</v>
      </c>
      <c r="P693" s="0" t="n">
        <v>55.7</v>
      </c>
    </row>
    <row r="694">
      <c r="A694" s="0" t="inlineStr">
        <is>
          <t>USR-100693</t>
        </is>
      </c>
      <c r="B694" s="23" t="n">
        <v>45737</v>
      </c>
      <c r="C694" s="0" t="inlineStr">
        <is>
          <t>Treatment</t>
        </is>
      </c>
      <c r="D694" s="0" t="inlineStr">
        <is>
          <t>North</t>
        </is>
      </c>
      <c r="E694" s="0" t="inlineStr">
        <is>
          <t>Mobile</t>
        </is>
      </c>
      <c r="F694" s="0" t="inlineStr">
        <is>
          <t>Organic</t>
        </is>
      </c>
      <c r="G694" s="0" t="inlineStr">
        <is>
          <t>Free</t>
        </is>
      </c>
      <c r="H694" s="0" t="n">
        <v>1</v>
      </c>
      <c r="I694" s="0" t="n">
        <v>1</v>
      </c>
      <c r="J694" s="0" t="n">
        <v>1</v>
      </c>
      <c r="K694" s="0" t="n">
        <v>0</v>
      </c>
      <c r="L694" s="0" t="n">
        <v>0</v>
      </c>
      <c r="M694" s="0" t="n">
        <v>0</v>
      </c>
      <c r="N694" s="0" t="n">
        <v>0</v>
      </c>
      <c r="P694" s="0" t="n">
        <v>82.8</v>
      </c>
    </row>
    <row r="695">
      <c r="A695" s="0" t="inlineStr">
        <is>
          <t>USR-100694</t>
        </is>
      </c>
      <c r="B695" s="23" t="n">
        <v>45743</v>
      </c>
      <c r="C695" s="0" t="inlineStr">
        <is>
          <t>Treatment</t>
        </is>
      </c>
      <c r="D695" s="0" t="inlineStr">
        <is>
          <t>North</t>
        </is>
      </c>
      <c r="E695" s="0" t="inlineStr">
        <is>
          <t>Desktop</t>
        </is>
      </c>
      <c r="F695" s="0" t="inlineStr">
        <is>
          <t>Social</t>
        </is>
      </c>
      <c r="G695" s="0" t="inlineStr">
        <is>
          <t>Free</t>
        </is>
      </c>
      <c r="H695" s="0" t="n">
        <v>1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</row>
    <row r="696">
      <c r="A696" s="0" t="inlineStr">
        <is>
          <t>USR-100695</t>
        </is>
      </c>
      <c r="B696" s="23" t="n">
        <v>45678</v>
      </c>
      <c r="C696" s="0" t="inlineStr">
        <is>
          <t>Treatment</t>
        </is>
      </c>
      <c r="D696" s="0" t="inlineStr">
        <is>
          <t>South</t>
        </is>
      </c>
      <c r="E696" s="0" t="inlineStr">
        <is>
          <t>Mobile</t>
        </is>
      </c>
      <c r="F696" s="0" t="inlineStr">
        <is>
          <t>Paid Search</t>
        </is>
      </c>
      <c r="G696" s="0" t="inlineStr">
        <is>
          <t>Free</t>
        </is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P696" s="0" t="n">
        <v>34.4</v>
      </c>
    </row>
    <row r="697">
      <c r="A697" s="0" t="inlineStr">
        <is>
          <t>USR-100696</t>
        </is>
      </c>
      <c r="B697" s="23" t="n">
        <v>45735</v>
      </c>
      <c r="C697" s="0" t="inlineStr">
        <is>
          <t>Treatment</t>
        </is>
      </c>
      <c r="D697" s="0" t="inlineStr">
        <is>
          <t>East</t>
        </is>
      </c>
      <c r="E697" s="0" t="inlineStr">
        <is>
          <t>Desktop</t>
        </is>
      </c>
      <c r="F697" s="0" t="inlineStr">
        <is>
          <t>Email</t>
        </is>
      </c>
      <c r="G697" s="0" t="inlineStr">
        <is>
          <t>Free</t>
        </is>
      </c>
      <c r="H697" s="0" t="n">
        <v>1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P697" s="0" t="n">
        <v>45.2</v>
      </c>
    </row>
    <row r="698">
      <c r="A698" s="0" t="inlineStr">
        <is>
          <t>USR-100697</t>
        </is>
      </c>
      <c r="B698" s="23" t="n">
        <v>45804</v>
      </c>
      <c r="C698" s="0" t="inlineStr">
        <is>
          <t>Treatment</t>
        </is>
      </c>
      <c r="D698" s="0" t="inlineStr">
        <is>
          <t>North</t>
        </is>
      </c>
      <c r="E698" s="0" t="inlineStr">
        <is>
          <t>Mobile</t>
        </is>
      </c>
      <c r="F698" s="0" t="inlineStr">
        <is>
          <t>Organic</t>
        </is>
      </c>
      <c r="G698" s="0" t="inlineStr">
        <is>
          <t>Basic</t>
        </is>
      </c>
      <c r="H698" s="0" t="n">
        <v>1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P698" s="0" t="n">
        <v>71.59999999999999</v>
      </c>
    </row>
    <row r="699">
      <c r="A699" s="0" t="inlineStr">
        <is>
          <t>USR-100698</t>
        </is>
      </c>
      <c r="B699" s="23" t="n">
        <v>45658</v>
      </c>
      <c r="C699" s="0" t="inlineStr">
        <is>
          <t>Treatment</t>
        </is>
      </c>
      <c r="D699" s="0" t="inlineStr">
        <is>
          <t>North</t>
        </is>
      </c>
      <c r="E699" s="0" t="inlineStr">
        <is>
          <t>Mobile</t>
        </is>
      </c>
      <c r="F699" s="0" t="inlineStr">
        <is>
          <t>Social</t>
        </is>
      </c>
      <c r="G699" s="0" t="inlineStr">
        <is>
          <t>Free</t>
        </is>
      </c>
      <c r="H699" s="0" t="n">
        <v>1</v>
      </c>
      <c r="I699" s="0" t="n">
        <v>1</v>
      </c>
      <c r="J699" s="0" t="n">
        <v>1</v>
      </c>
      <c r="K699" s="0" t="n">
        <v>0</v>
      </c>
      <c r="L699" s="0" t="n">
        <v>0</v>
      </c>
      <c r="M699" s="0" t="n">
        <v>0</v>
      </c>
      <c r="N699" s="0" t="n">
        <v>0</v>
      </c>
      <c r="P699" s="0" t="n">
        <v>69.09999999999999</v>
      </c>
    </row>
    <row r="700">
      <c r="A700" s="0" t="inlineStr">
        <is>
          <t>USR-100699</t>
        </is>
      </c>
      <c r="B700" s="23" t="n">
        <v>45745</v>
      </c>
      <c r="C700" s="0" t="inlineStr">
        <is>
          <t>Treatment</t>
        </is>
      </c>
      <c r="D700" s="0" t="inlineStr">
        <is>
          <t>West</t>
        </is>
      </c>
      <c r="E700" s="0" t="inlineStr">
        <is>
          <t>Desktop</t>
        </is>
      </c>
      <c r="F700" s="0" t="inlineStr">
        <is>
          <t>Paid Search</t>
        </is>
      </c>
      <c r="G700" s="0" t="inlineStr">
        <is>
          <t>Premium</t>
        </is>
      </c>
      <c r="H700" s="0" t="n">
        <v>1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1</v>
      </c>
      <c r="N700" s="0" t="n">
        <v>0</v>
      </c>
      <c r="P700" s="0" t="n">
        <v>37.7</v>
      </c>
    </row>
    <row r="701">
      <c r="A701" s="0" t="inlineStr">
        <is>
          <t>USR-100700</t>
        </is>
      </c>
      <c r="B701" s="23" t="n">
        <v>45733</v>
      </c>
      <c r="C701" s="0" t="inlineStr">
        <is>
          <t>Treatment</t>
        </is>
      </c>
      <c r="D701" s="0" t="inlineStr">
        <is>
          <t>West</t>
        </is>
      </c>
      <c r="E701" s="0" t="inlineStr">
        <is>
          <t>Desktop</t>
        </is>
      </c>
      <c r="F701" s="0" t="inlineStr">
        <is>
          <t>Organic</t>
        </is>
      </c>
      <c r="G701" s="0" t="inlineStr">
        <is>
          <t>Basic</t>
        </is>
      </c>
      <c r="H701" s="0" t="n">
        <v>1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1</v>
      </c>
      <c r="N701" s="0" t="n">
        <v>0</v>
      </c>
      <c r="P701" s="0" t="n">
        <v>60.8</v>
      </c>
    </row>
    <row r="702">
      <c r="A702" s="0" t="inlineStr">
        <is>
          <t>USR-100701</t>
        </is>
      </c>
      <c r="B702" s="23" t="n">
        <v>45782</v>
      </c>
      <c r="C702" s="0" t="inlineStr">
        <is>
          <t>Treatment</t>
        </is>
      </c>
      <c r="D702" s="0" t="inlineStr">
        <is>
          <t>North</t>
        </is>
      </c>
      <c r="E702" s="0" t="inlineStr">
        <is>
          <t>Mobile</t>
        </is>
      </c>
      <c r="F702" s="0" t="inlineStr">
        <is>
          <t>Organic</t>
        </is>
      </c>
      <c r="G702" s="0" t="inlineStr">
        <is>
          <t>Free</t>
        </is>
      </c>
      <c r="H702" s="0" t="n">
        <v>1</v>
      </c>
      <c r="I702" s="0" t="n">
        <v>1</v>
      </c>
      <c r="J702" s="0" t="n">
        <v>1</v>
      </c>
      <c r="K702" s="0" t="n">
        <v>1</v>
      </c>
      <c r="L702" s="0" t="n">
        <v>444.13</v>
      </c>
      <c r="M702" s="0" t="n">
        <v>0</v>
      </c>
      <c r="N702" s="0" t="n">
        <v>0</v>
      </c>
      <c r="O702" s="0" t="n">
        <v>10</v>
      </c>
      <c r="P702" s="0" t="n">
        <v>80.7</v>
      </c>
    </row>
    <row r="703">
      <c r="A703" s="0" t="inlineStr">
        <is>
          <t>USR-100702</t>
        </is>
      </c>
      <c r="B703" s="23" t="n">
        <v>45781</v>
      </c>
      <c r="C703" s="0" t="inlineStr">
        <is>
          <t>Treatment</t>
        </is>
      </c>
      <c r="D703" s="0" t="inlineStr">
        <is>
          <t>South</t>
        </is>
      </c>
      <c r="E703" s="0" t="inlineStr">
        <is>
          <t>Mobile</t>
        </is>
      </c>
      <c r="F703" s="0" t="inlineStr">
        <is>
          <t>Social</t>
        </is>
      </c>
      <c r="G703" s="0" t="inlineStr">
        <is>
          <t>Free</t>
        </is>
      </c>
      <c r="H703" s="0" t="n">
        <v>1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P703" s="0" t="n">
        <v>69.2</v>
      </c>
    </row>
    <row r="704">
      <c r="A704" s="0" t="inlineStr">
        <is>
          <t>USR-100703</t>
        </is>
      </c>
      <c r="B704" s="23" t="n">
        <v>45741</v>
      </c>
      <c r="C704" s="0" t="inlineStr">
        <is>
          <t>Treatment</t>
        </is>
      </c>
      <c r="D704" s="0" t="inlineStr">
        <is>
          <t>North</t>
        </is>
      </c>
      <c r="E704" s="0" t="inlineStr">
        <is>
          <t>Mobile</t>
        </is>
      </c>
      <c r="F704" s="0" t="inlineStr">
        <is>
          <t>Social</t>
        </is>
      </c>
      <c r="G704" s="0" t="inlineStr">
        <is>
          <t>Premium</t>
        </is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3</v>
      </c>
      <c r="N704" s="0" t="n">
        <v>0</v>
      </c>
      <c r="P704" s="0" t="n">
        <v>55</v>
      </c>
    </row>
    <row r="705">
      <c r="A705" s="0" t="inlineStr">
        <is>
          <t>USR-100704</t>
        </is>
      </c>
      <c r="B705" s="23" t="n">
        <v>45764</v>
      </c>
      <c r="C705" s="0" t="inlineStr">
        <is>
          <t>Treatment</t>
        </is>
      </c>
      <c r="D705" s="0" t="inlineStr">
        <is>
          <t>West</t>
        </is>
      </c>
      <c r="E705" s="0" t="inlineStr">
        <is>
          <t>Mobile</t>
        </is>
      </c>
      <c r="F705" s="0" t="inlineStr">
        <is>
          <t>Email</t>
        </is>
      </c>
      <c r="G705" s="0" t="inlineStr">
        <is>
          <t>Free</t>
        </is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0</v>
      </c>
      <c r="P705" s="0" t="n">
        <v>73.59999999999999</v>
      </c>
    </row>
    <row r="706">
      <c r="A706" s="0" t="inlineStr">
        <is>
          <t>USR-100705</t>
        </is>
      </c>
      <c r="B706" s="23" t="n">
        <v>45800</v>
      </c>
      <c r="C706" s="0" t="inlineStr">
        <is>
          <t>Treatment</t>
        </is>
      </c>
      <c r="D706" s="0" t="inlineStr">
        <is>
          <t>South</t>
        </is>
      </c>
      <c r="E706" s="0" t="inlineStr">
        <is>
          <t>Mobile</t>
        </is>
      </c>
      <c r="F706" s="0" t="inlineStr">
        <is>
          <t>Referral</t>
        </is>
      </c>
      <c r="G706" s="0" t="inlineStr">
        <is>
          <t>Basic</t>
        </is>
      </c>
      <c r="H706" s="0" t="n">
        <v>1</v>
      </c>
      <c r="I706" s="0" t="n">
        <v>1</v>
      </c>
      <c r="J706" s="0" t="n">
        <v>1</v>
      </c>
      <c r="K706" s="0" t="n">
        <v>0</v>
      </c>
      <c r="L706" s="0" t="n">
        <v>0</v>
      </c>
      <c r="M706" s="0" t="n">
        <v>1</v>
      </c>
      <c r="N706" s="0" t="n">
        <v>0</v>
      </c>
      <c r="P706" s="0" t="n">
        <v>47.3</v>
      </c>
    </row>
    <row r="707">
      <c r="A707" s="0" t="inlineStr">
        <is>
          <t>USR-100706</t>
        </is>
      </c>
      <c r="B707" s="23" t="n">
        <v>45670</v>
      </c>
      <c r="C707" s="0" t="inlineStr">
        <is>
          <t>Treatment</t>
        </is>
      </c>
      <c r="D707" s="0" t="inlineStr">
        <is>
          <t>North</t>
        </is>
      </c>
      <c r="E707" s="0" t="inlineStr">
        <is>
          <t>Mobile</t>
        </is>
      </c>
      <c r="F707" s="0" t="inlineStr">
        <is>
          <t>Organic</t>
        </is>
      </c>
      <c r="G707" s="0" t="inlineStr">
        <is>
          <t>Basic</t>
        </is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P707" s="0" t="n">
        <v>43.6</v>
      </c>
    </row>
    <row r="708">
      <c r="A708" s="0" t="inlineStr">
        <is>
          <t>USR-100707</t>
        </is>
      </c>
      <c r="B708" s="23" t="n">
        <v>45686</v>
      </c>
      <c r="C708" s="0" t="inlineStr">
        <is>
          <t>Treatment</t>
        </is>
      </c>
      <c r="D708" s="0" t="inlineStr">
        <is>
          <t>North</t>
        </is>
      </c>
      <c r="E708" s="0" t="inlineStr">
        <is>
          <t>Desktop</t>
        </is>
      </c>
      <c r="F708" s="0" t="inlineStr">
        <is>
          <t>Organic</t>
        </is>
      </c>
      <c r="G708" s="0" t="inlineStr">
        <is>
          <t>Basic</t>
        </is>
      </c>
      <c r="H708" s="0" t="n">
        <v>1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</row>
    <row r="709">
      <c r="A709" s="0" t="inlineStr">
        <is>
          <t>USR-100708</t>
        </is>
      </c>
      <c r="B709" s="23" t="n">
        <v>45788</v>
      </c>
      <c r="C709" s="0" t="inlineStr">
        <is>
          <t>Treatment</t>
        </is>
      </c>
      <c r="D709" s="0" t="inlineStr">
        <is>
          <t>South</t>
        </is>
      </c>
      <c r="E709" s="0" t="inlineStr">
        <is>
          <t>Mobile</t>
        </is>
      </c>
      <c r="F709" s="0" t="inlineStr">
        <is>
          <t>Email</t>
        </is>
      </c>
      <c r="G709" s="0" t="inlineStr">
        <is>
          <t>Free</t>
        </is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P709" s="0" t="n">
        <v>55.2</v>
      </c>
    </row>
    <row r="710">
      <c r="A710" s="0" t="inlineStr">
        <is>
          <t>USR-100709</t>
        </is>
      </c>
      <c r="B710" s="23" t="n">
        <v>45769</v>
      </c>
      <c r="C710" s="0" t="inlineStr">
        <is>
          <t>Treatment</t>
        </is>
      </c>
      <c r="D710" s="0" t="inlineStr">
        <is>
          <t>South</t>
        </is>
      </c>
      <c r="E710" s="0" t="inlineStr">
        <is>
          <t>Mobile</t>
        </is>
      </c>
      <c r="F710" s="0" t="inlineStr">
        <is>
          <t>Organic</t>
        </is>
      </c>
      <c r="G710" s="0" t="inlineStr">
        <is>
          <t>Basic</t>
        </is>
      </c>
      <c r="H710" s="0" t="n">
        <v>1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P710" s="0" t="n">
        <v>49.4</v>
      </c>
    </row>
    <row r="711">
      <c r="A711" s="0" t="inlineStr">
        <is>
          <t>USR-100710</t>
        </is>
      </c>
      <c r="B711" s="23" t="n">
        <v>45719</v>
      </c>
      <c r="C711" s="0" t="inlineStr">
        <is>
          <t>Treatment</t>
        </is>
      </c>
      <c r="D711" s="0" t="inlineStr">
        <is>
          <t>South</t>
        </is>
      </c>
      <c r="E711" s="0" t="inlineStr">
        <is>
          <t>Mobile</t>
        </is>
      </c>
      <c r="F711" s="0" t="inlineStr">
        <is>
          <t>Social</t>
        </is>
      </c>
      <c r="G711" s="0" t="inlineStr">
        <is>
          <t>Free</t>
        </is>
      </c>
      <c r="H711" s="0" t="n">
        <v>1</v>
      </c>
      <c r="I711" s="0" t="n">
        <v>1</v>
      </c>
      <c r="J711" s="0" t="n">
        <v>1</v>
      </c>
      <c r="K711" s="0" t="n">
        <v>0</v>
      </c>
      <c r="L711" s="0" t="n">
        <v>0</v>
      </c>
      <c r="M711" s="0" t="n">
        <v>1</v>
      </c>
      <c r="N711" s="0" t="n">
        <v>0</v>
      </c>
      <c r="P711" s="0" t="n">
        <v>60.1</v>
      </c>
    </row>
    <row r="712">
      <c r="A712" s="0" t="inlineStr">
        <is>
          <t>USR-100711</t>
        </is>
      </c>
      <c r="B712" s="23" t="n">
        <v>45734</v>
      </c>
      <c r="C712" s="0" t="inlineStr">
        <is>
          <t>Treatment</t>
        </is>
      </c>
      <c r="D712" s="0" t="inlineStr">
        <is>
          <t>North</t>
        </is>
      </c>
      <c r="E712" s="0" t="inlineStr">
        <is>
          <t>Mobile</t>
        </is>
      </c>
      <c r="F712" s="0" t="inlineStr">
        <is>
          <t>Referral</t>
        </is>
      </c>
      <c r="G712" s="0" t="inlineStr">
        <is>
          <t>Free</t>
        </is>
      </c>
      <c r="H712" s="0" t="n">
        <v>1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P712" s="0" t="n">
        <v>55.9</v>
      </c>
    </row>
    <row r="713">
      <c r="A713" s="0" t="inlineStr">
        <is>
          <t>USR-100712</t>
        </is>
      </c>
      <c r="B713" s="23" t="n">
        <v>45752</v>
      </c>
      <c r="C713" s="0" t="inlineStr">
        <is>
          <t>Treatment</t>
        </is>
      </c>
      <c r="D713" s="0" t="inlineStr">
        <is>
          <t>North</t>
        </is>
      </c>
      <c r="E713" s="0" t="inlineStr">
        <is>
          <t>Mobile</t>
        </is>
      </c>
      <c r="F713" s="0" t="inlineStr">
        <is>
          <t>Organic</t>
        </is>
      </c>
      <c r="G713" s="0" t="inlineStr">
        <is>
          <t>Basic</t>
        </is>
      </c>
      <c r="H713" s="0" t="n">
        <v>1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P713" s="0" t="n">
        <v>51.5</v>
      </c>
    </row>
    <row r="714">
      <c r="A714" s="0" t="inlineStr">
        <is>
          <t>USR-100713</t>
        </is>
      </c>
      <c r="B714" s="23" t="n">
        <v>45763</v>
      </c>
      <c r="C714" s="0" t="inlineStr">
        <is>
          <t>Treatment</t>
        </is>
      </c>
      <c r="D714" s="0" t="inlineStr">
        <is>
          <t>East</t>
        </is>
      </c>
      <c r="E714" s="0" t="inlineStr">
        <is>
          <t>Mobile</t>
        </is>
      </c>
      <c r="F714" s="0" t="inlineStr">
        <is>
          <t>Organic</t>
        </is>
      </c>
      <c r="G714" s="0" t="inlineStr">
        <is>
          <t>Free</t>
        </is>
      </c>
      <c r="H714" s="0" t="n">
        <v>1</v>
      </c>
      <c r="I714" s="0" t="n">
        <v>1</v>
      </c>
      <c r="J714" s="0" t="n">
        <v>1</v>
      </c>
      <c r="K714" s="0" t="n">
        <v>1</v>
      </c>
      <c r="L714" s="0" t="n">
        <v>516.67</v>
      </c>
      <c r="M714" s="0" t="n">
        <v>0</v>
      </c>
      <c r="N714" s="0" t="n">
        <v>0</v>
      </c>
      <c r="O714" s="0" t="n">
        <v>11</v>
      </c>
      <c r="P714" s="0" t="n">
        <v>57.9</v>
      </c>
    </row>
    <row r="715">
      <c r="A715" s="0" t="inlineStr">
        <is>
          <t>USR-100714</t>
        </is>
      </c>
      <c r="B715" s="23" t="n">
        <v>45767</v>
      </c>
      <c r="C715" s="0" t="inlineStr">
        <is>
          <t>Treatment</t>
        </is>
      </c>
      <c r="D715" s="0" t="inlineStr">
        <is>
          <t>South</t>
        </is>
      </c>
      <c r="E715" s="0" t="inlineStr">
        <is>
          <t>Mobile</t>
        </is>
      </c>
      <c r="F715" s="0" t="inlineStr">
        <is>
          <t>Referral</t>
        </is>
      </c>
      <c r="G715" s="0" t="inlineStr">
        <is>
          <t>Free</t>
        </is>
      </c>
      <c r="H715" s="0" t="n">
        <v>1</v>
      </c>
      <c r="I715" s="0" t="n">
        <v>1</v>
      </c>
      <c r="J715" s="0" t="n">
        <v>1</v>
      </c>
      <c r="K715" s="0" t="n">
        <v>1</v>
      </c>
      <c r="L715" s="0" t="n">
        <v>277.18</v>
      </c>
      <c r="M715" s="0" t="n">
        <v>2</v>
      </c>
      <c r="N715" s="0" t="n">
        <v>0</v>
      </c>
      <c r="O715" s="0" t="n">
        <v>8</v>
      </c>
      <c r="P715" s="0" t="n">
        <v>59.2</v>
      </c>
    </row>
    <row r="716">
      <c r="A716" s="0" t="inlineStr">
        <is>
          <t>USR-100715</t>
        </is>
      </c>
      <c r="B716" s="23" t="n">
        <v>45703</v>
      </c>
      <c r="C716" s="0" t="inlineStr">
        <is>
          <t>Treatment</t>
        </is>
      </c>
      <c r="D716" s="0" t="inlineStr">
        <is>
          <t>South</t>
        </is>
      </c>
      <c r="E716" s="0" t="inlineStr">
        <is>
          <t>Mobile</t>
        </is>
      </c>
      <c r="F716" s="0" t="inlineStr">
        <is>
          <t>Organic</t>
        </is>
      </c>
      <c r="G716" s="0" t="inlineStr">
        <is>
          <t>Free</t>
        </is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P716" s="0" t="n">
        <v>64.2</v>
      </c>
    </row>
    <row r="717">
      <c r="A717" s="0" t="inlineStr">
        <is>
          <t>USR-100716</t>
        </is>
      </c>
      <c r="B717" s="23" t="n">
        <v>45678</v>
      </c>
      <c r="C717" s="0" t="inlineStr">
        <is>
          <t>Treatment</t>
        </is>
      </c>
      <c r="D717" s="0" t="inlineStr">
        <is>
          <t>South</t>
        </is>
      </c>
      <c r="E717" s="0" t="inlineStr">
        <is>
          <t>Mobile</t>
        </is>
      </c>
      <c r="F717" s="0" t="inlineStr">
        <is>
          <t>Organic</t>
        </is>
      </c>
      <c r="G717" s="0" t="inlineStr">
        <is>
          <t>Free</t>
        </is>
      </c>
      <c r="H717" s="0" t="n">
        <v>1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P717" s="0" t="n">
        <v>68.8</v>
      </c>
    </row>
    <row r="718">
      <c r="A718" s="0" t="inlineStr">
        <is>
          <t>USR-100717</t>
        </is>
      </c>
      <c r="B718" s="23" t="n">
        <v>45800</v>
      </c>
      <c r="C718" s="0" t="inlineStr">
        <is>
          <t>Treatment</t>
        </is>
      </c>
      <c r="D718" s="0" t="inlineStr">
        <is>
          <t>North</t>
        </is>
      </c>
      <c r="E718" s="0" t="inlineStr">
        <is>
          <t>Mobile</t>
        </is>
      </c>
      <c r="F718" s="0" t="inlineStr">
        <is>
          <t>Paid Search</t>
        </is>
      </c>
      <c r="G718" s="0" t="inlineStr">
        <is>
          <t>Premium</t>
        </is>
      </c>
      <c r="H718" s="0" t="n">
        <v>1</v>
      </c>
      <c r="I718" s="0" t="n">
        <v>1</v>
      </c>
      <c r="J718" s="0" t="n">
        <v>1</v>
      </c>
      <c r="K718" s="0" t="n">
        <v>0</v>
      </c>
      <c r="L718" s="0" t="n">
        <v>0</v>
      </c>
      <c r="M718" s="0" t="n">
        <v>0</v>
      </c>
      <c r="N718" s="0" t="n">
        <v>0</v>
      </c>
      <c r="P718" s="0" t="n">
        <v>77.90000000000001</v>
      </c>
    </row>
    <row r="719">
      <c r="A719" s="0" t="inlineStr">
        <is>
          <t>USR-100718</t>
        </is>
      </c>
      <c r="B719" s="23" t="n">
        <v>45679</v>
      </c>
      <c r="C719" s="0" t="inlineStr">
        <is>
          <t>Treatment</t>
        </is>
      </c>
      <c r="D719" s="0" t="inlineStr">
        <is>
          <t>West</t>
        </is>
      </c>
      <c r="E719" s="0" t="inlineStr">
        <is>
          <t>Mobile</t>
        </is>
      </c>
      <c r="F719" s="0" t="inlineStr">
        <is>
          <t>Paid Search</t>
        </is>
      </c>
      <c r="G719" s="0" t="inlineStr">
        <is>
          <t>Basic</t>
        </is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P719" s="0" t="n">
        <v>92.09999999999999</v>
      </c>
    </row>
    <row r="720">
      <c r="A720" s="0" t="inlineStr">
        <is>
          <t>USR-100719</t>
        </is>
      </c>
      <c r="B720" s="23" t="n">
        <v>45771</v>
      </c>
      <c r="C720" s="0" t="inlineStr">
        <is>
          <t>Treatment</t>
        </is>
      </c>
      <c r="D720" s="0" t="inlineStr">
        <is>
          <t>West</t>
        </is>
      </c>
      <c r="E720" s="0" t="inlineStr">
        <is>
          <t>Mobile</t>
        </is>
      </c>
      <c r="F720" s="0" t="inlineStr">
        <is>
          <t>Paid Search</t>
        </is>
      </c>
      <c r="G720" s="0" t="inlineStr">
        <is>
          <t>Premium</t>
        </is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P720" s="0" t="n">
        <v>63.6</v>
      </c>
    </row>
    <row r="721">
      <c r="A721" s="0" t="inlineStr">
        <is>
          <t>USR-100720</t>
        </is>
      </c>
      <c r="B721" s="23" t="n">
        <v>45674</v>
      </c>
      <c r="C721" s="0" t="inlineStr">
        <is>
          <t>Treatment</t>
        </is>
      </c>
      <c r="D721" s="0" t="inlineStr">
        <is>
          <t>West</t>
        </is>
      </c>
      <c r="E721" s="0" t="inlineStr">
        <is>
          <t>Desktop</t>
        </is>
      </c>
      <c r="F721" s="0" t="inlineStr">
        <is>
          <t>Email</t>
        </is>
      </c>
      <c r="G721" s="0" t="inlineStr">
        <is>
          <t>Free</t>
        </is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2</v>
      </c>
      <c r="N721" s="0" t="n">
        <v>0</v>
      </c>
      <c r="P721" s="0" t="n">
        <v>61.6</v>
      </c>
    </row>
    <row r="722">
      <c r="A722" s="0" t="inlineStr">
        <is>
          <t>USR-100721</t>
        </is>
      </c>
      <c r="B722" s="23" t="n">
        <v>45679</v>
      </c>
      <c r="C722" s="0" t="inlineStr">
        <is>
          <t>Treatment</t>
        </is>
      </c>
      <c r="D722" s="0" t="inlineStr">
        <is>
          <t>East</t>
        </is>
      </c>
      <c r="E722" s="0" t="inlineStr">
        <is>
          <t>Mobile</t>
        </is>
      </c>
      <c r="F722" s="0" t="inlineStr">
        <is>
          <t>Referral</t>
        </is>
      </c>
      <c r="G722" s="0" t="inlineStr">
        <is>
          <t>Basic</t>
        </is>
      </c>
      <c r="H722" s="0" t="n">
        <v>1</v>
      </c>
      <c r="I722" s="0" t="n">
        <v>1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P722" s="0" t="n">
        <v>82.3</v>
      </c>
    </row>
    <row r="723">
      <c r="A723" s="0" t="inlineStr">
        <is>
          <t>USR-100722</t>
        </is>
      </c>
      <c r="B723" s="23" t="n">
        <v>45781</v>
      </c>
      <c r="C723" s="0" t="inlineStr">
        <is>
          <t>Treatment</t>
        </is>
      </c>
      <c r="D723" s="0" t="inlineStr">
        <is>
          <t>East</t>
        </is>
      </c>
      <c r="E723" s="0" t="inlineStr">
        <is>
          <t>Desktop</t>
        </is>
      </c>
      <c r="F723" s="0" t="inlineStr">
        <is>
          <t>Paid Search</t>
        </is>
      </c>
      <c r="G723" s="0" t="inlineStr">
        <is>
          <t>Free</t>
        </is>
      </c>
      <c r="H723" s="0" t="n">
        <v>1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P723" s="0" t="n">
        <v>79.3</v>
      </c>
    </row>
    <row r="724">
      <c r="A724" s="0" t="inlineStr">
        <is>
          <t>USR-100723</t>
        </is>
      </c>
      <c r="B724" s="23" t="n">
        <v>45729</v>
      </c>
      <c r="C724" s="0" t="inlineStr">
        <is>
          <t>Treatment</t>
        </is>
      </c>
      <c r="D724" s="0" t="inlineStr">
        <is>
          <t>South</t>
        </is>
      </c>
      <c r="E724" s="0" t="inlineStr">
        <is>
          <t>Mobile</t>
        </is>
      </c>
      <c r="F724" s="0" t="inlineStr">
        <is>
          <t>Unknown</t>
        </is>
      </c>
      <c r="G724" s="0" t="inlineStr">
        <is>
          <t>Free</t>
        </is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P724" s="0" t="n">
        <v>57.7</v>
      </c>
    </row>
    <row r="725">
      <c r="A725" s="0" t="inlineStr">
        <is>
          <t>USR-100724</t>
        </is>
      </c>
      <c r="B725" s="23" t="n">
        <v>45659</v>
      </c>
      <c r="C725" s="0" t="inlineStr">
        <is>
          <t>Treatment</t>
        </is>
      </c>
      <c r="D725" s="0" t="inlineStr">
        <is>
          <t>North</t>
        </is>
      </c>
      <c r="E725" s="0" t="inlineStr">
        <is>
          <t>Mobile</t>
        </is>
      </c>
      <c r="F725" s="0" t="inlineStr">
        <is>
          <t>Organic</t>
        </is>
      </c>
      <c r="G725" s="0" t="inlineStr">
        <is>
          <t>Basic</t>
        </is>
      </c>
      <c r="H725" s="0" t="n">
        <v>1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P725" s="0" t="n">
        <v>63.1</v>
      </c>
    </row>
    <row r="726">
      <c r="A726" s="0" t="inlineStr">
        <is>
          <t>USR-100725</t>
        </is>
      </c>
      <c r="B726" s="23" t="n">
        <v>45670</v>
      </c>
      <c r="C726" s="0" t="inlineStr">
        <is>
          <t>Treatment</t>
        </is>
      </c>
      <c r="D726" s="0" t="inlineStr">
        <is>
          <t>East</t>
        </is>
      </c>
      <c r="E726" s="0" t="inlineStr">
        <is>
          <t>Mobile</t>
        </is>
      </c>
      <c r="F726" s="0" t="inlineStr">
        <is>
          <t>Paid Search</t>
        </is>
      </c>
      <c r="G726" s="0" t="inlineStr">
        <is>
          <t>Basic</t>
        </is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P726" s="0" t="n">
        <v>72.3</v>
      </c>
    </row>
    <row r="727">
      <c r="A727" s="0" t="inlineStr">
        <is>
          <t>USR-100726</t>
        </is>
      </c>
      <c r="B727" s="23" t="n">
        <v>45697</v>
      </c>
      <c r="C727" s="0" t="inlineStr">
        <is>
          <t>Treatment</t>
        </is>
      </c>
      <c r="D727" s="0" t="inlineStr">
        <is>
          <t>East</t>
        </is>
      </c>
      <c r="E727" s="0" t="inlineStr">
        <is>
          <t>Mobile</t>
        </is>
      </c>
      <c r="F727" s="0" t="inlineStr">
        <is>
          <t>Social</t>
        </is>
      </c>
      <c r="G727" s="0" t="inlineStr">
        <is>
          <t>Free</t>
        </is>
      </c>
      <c r="H727" s="0" t="n">
        <v>1</v>
      </c>
      <c r="I727" s="0" t="n">
        <v>1</v>
      </c>
      <c r="J727" s="0" t="n">
        <v>1</v>
      </c>
      <c r="K727" s="0" t="n">
        <v>0</v>
      </c>
      <c r="L727" s="0" t="n">
        <v>0</v>
      </c>
      <c r="M727" s="0" t="n">
        <v>0</v>
      </c>
      <c r="N727" s="0" t="n">
        <v>0</v>
      </c>
      <c r="P727" s="0" t="n">
        <v>78</v>
      </c>
    </row>
    <row r="728">
      <c r="A728" s="0" t="inlineStr">
        <is>
          <t>USR-100727</t>
        </is>
      </c>
      <c r="B728" s="23" t="n">
        <v>45756</v>
      </c>
      <c r="C728" s="0" t="inlineStr">
        <is>
          <t>Treatment</t>
        </is>
      </c>
      <c r="D728" s="0" t="inlineStr">
        <is>
          <t>East</t>
        </is>
      </c>
      <c r="E728" s="0" t="inlineStr">
        <is>
          <t>Desktop</t>
        </is>
      </c>
      <c r="F728" s="0" t="inlineStr">
        <is>
          <t>Social</t>
        </is>
      </c>
      <c r="G728" s="0" t="inlineStr">
        <is>
          <t>Free</t>
        </is>
      </c>
      <c r="H728" s="0" t="n">
        <v>1</v>
      </c>
      <c r="I728" s="0" t="n">
        <v>1</v>
      </c>
      <c r="J728" s="0" t="n">
        <v>0</v>
      </c>
      <c r="K728" s="0" t="n">
        <v>0</v>
      </c>
      <c r="L728" s="0" t="n">
        <v>0</v>
      </c>
      <c r="M728" s="0" t="n">
        <v>2</v>
      </c>
      <c r="N728" s="0" t="n">
        <v>0</v>
      </c>
      <c r="P728" s="0" t="n">
        <v>59.1</v>
      </c>
    </row>
    <row r="729">
      <c r="A729" s="0" t="inlineStr">
        <is>
          <t>USR-100728</t>
        </is>
      </c>
      <c r="B729" s="23" t="n">
        <v>45659</v>
      </c>
      <c r="C729" s="0" t="inlineStr">
        <is>
          <t>Treatment</t>
        </is>
      </c>
      <c r="D729" s="0" t="inlineStr">
        <is>
          <t>South</t>
        </is>
      </c>
      <c r="E729" s="0" t="inlineStr">
        <is>
          <t>Mobile</t>
        </is>
      </c>
      <c r="F729" s="0" t="inlineStr">
        <is>
          <t>Paid Search</t>
        </is>
      </c>
      <c r="G729" s="0" t="inlineStr">
        <is>
          <t>Free</t>
        </is>
      </c>
      <c r="H729" s="0" t="n">
        <v>1</v>
      </c>
      <c r="I729" s="0" t="n">
        <v>1</v>
      </c>
      <c r="J729" s="0" t="n">
        <v>1</v>
      </c>
      <c r="K729" s="0" t="n">
        <v>1</v>
      </c>
      <c r="L729" s="0" t="n">
        <v>604.09</v>
      </c>
      <c r="M729" s="0" t="n">
        <v>0</v>
      </c>
      <c r="N729" s="0" t="n">
        <v>0</v>
      </c>
      <c r="O729" s="0" t="n">
        <v>7</v>
      </c>
      <c r="P729" s="0" t="n">
        <v>47.1</v>
      </c>
    </row>
    <row r="730">
      <c r="A730" s="0" t="inlineStr">
        <is>
          <t>USR-100729</t>
        </is>
      </c>
      <c r="B730" s="23" t="n">
        <v>45692</v>
      </c>
      <c r="C730" s="0" t="inlineStr">
        <is>
          <t>Treatment</t>
        </is>
      </c>
      <c r="D730" s="0" t="inlineStr">
        <is>
          <t>South</t>
        </is>
      </c>
      <c r="E730" s="0" t="inlineStr">
        <is>
          <t>Mobile</t>
        </is>
      </c>
      <c r="F730" s="0" t="inlineStr">
        <is>
          <t>Unknown</t>
        </is>
      </c>
      <c r="G730" s="0" t="inlineStr">
        <is>
          <t>Premium</t>
        </is>
      </c>
      <c r="H730" s="0" t="n">
        <v>1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P730" s="0" t="n">
        <v>64.90000000000001</v>
      </c>
    </row>
    <row r="731">
      <c r="A731" s="0" t="inlineStr">
        <is>
          <t>USR-100730</t>
        </is>
      </c>
      <c r="B731" s="23" t="n">
        <v>45707</v>
      </c>
      <c r="C731" s="0" t="inlineStr">
        <is>
          <t>Treatment</t>
        </is>
      </c>
      <c r="D731" s="0" t="inlineStr">
        <is>
          <t>South</t>
        </is>
      </c>
      <c r="E731" s="0" t="inlineStr">
        <is>
          <t>Tablet</t>
        </is>
      </c>
      <c r="F731" s="0" t="inlineStr">
        <is>
          <t>Paid Search</t>
        </is>
      </c>
      <c r="G731" s="0" t="inlineStr">
        <is>
          <t>Free</t>
        </is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P731" s="0" t="n">
        <v>67.3</v>
      </c>
    </row>
    <row r="732">
      <c r="A732" s="0" t="inlineStr">
        <is>
          <t>USR-100731</t>
        </is>
      </c>
      <c r="B732" s="23" t="n">
        <v>45748</v>
      </c>
      <c r="C732" s="0" t="inlineStr">
        <is>
          <t>Treatment</t>
        </is>
      </c>
      <c r="D732" s="0" t="inlineStr">
        <is>
          <t>East</t>
        </is>
      </c>
      <c r="E732" s="0" t="inlineStr">
        <is>
          <t>Mobile</t>
        </is>
      </c>
      <c r="F732" s="0" t="inlineStr">
        <is>
          <t>Paid Search</t>
        </is>
      </c>
      <c r="G732" s="0" t="inlineStr">
        <is>
          <t>Basic</t>
        </is>
      </c>
      <c r="H732" s="0" t="n">
        <v>1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2</v>
      </c>
      <c r="N732" s="0" t="n">
        <v>0</v>
      </c>
      <c r="P732" s="0" t="n">
        <v>52.9</v>
      </c>
    </row>
    <row r="733">
      <c r="A733" s="0" t="inlineStr">
        <is>
          <t>USR-100732</t>
        </is>
      </c>
      <c r="B733" s="23" t="n">
        <v>45686</v>
      </c>
      <c r="C733" s="0" t="inlineStr">
        <is>
          <t>Treatment</t>
        </is>
      </c>
      <c r="D733" s="0" t="inlineStr">
        <is>
          <t>North</t>
        </is>
      </c>
      <c r="E733" s="0" t="inlineStr">
        <is>
          <t>Mobile</t>
        </is>
      </c>
      <c r="F733" s="0" t="inlineStr">
        <is>
          <t>Referral</t>
        </is>
      </c>
      <c r="G733" s="0" t="inlineStr">
        <is>
          <t>Free</t>
        </is>
      </c>
      <c r="H733" s="0" t="n">
        <v>1</v>
      </c>
      <c r="I733" s="0" t="n">
        <v>1</v>
      </c>
      <c r="J733" s="0" t="n">
        <v>1</v>
      </c>
      <c r="K733" s="0" t="n">
        <v>1</v>
      </c>
      <c r="L733" s="0" t="n">
        <v>442.37</v>
      </c>
      <c r="M733" s="0" t="n">
        <v>1</v>
      </c>
      <c r="N733" s="0" t="n">
        <v>0</v>
      </c>
      <c r="O733" s="0" t="n">
        <v>4</v>
      </c>
      <c r="P733" s="0" t="n">
        <v>69.90000000000001</v>
      </c>
    </row>
    <row r="734">
      <c r="A734" s="0" t="inlineStr">
        <is>
          <t>USR-100733</t>
        </is>
      </c>
      <c r="B734" s="23" t="n">
        <v>45795</v>
      </c>
      <c r="C734" s="0" t="inlineStr">
        <is>
          <t>Treatment</t>
        </is>
      </c>
      <c r="D734" s="0" t="inlineStr">
        <is>
          <t>North</t>
        </is>
      </c>
      <c r="E734" s="0" t="inlineStr">
        <is>
          <t>Mobile</t>
        </is>
      </c>
      <c r="F734" s="0" t="inlineStr">
        <is>
          <t>Referral</t>
        </is>
      </c>
      <c r="G734" s="0" t="inlineStr">
        <is>
          <t>Basic</t>
        </is>
      </c>
      <c r="H734" s="0" t="n">
        <v>1</v>
      </c>
      <c r="I734" s="0" t="n">
        <v>1</v>
      </c>
      <c r="J734" s="0" t="n">
        <v>1</v>
      </c>
      <c r="K734" s="0" t="n">
        <v>0</v>
      </c>
      <c r="L734" s="0" t="n">
        <v>0</v>
      </c>
      <c r="M734" s="0" t="n">
        <v>0</v>
      </c>
      <c r="N734" s="0" t="n">
        <v>0</v>
      </c>
      <c r="P734" s="0" t="n">
        <v>78.90000000000001</v>
      </c>
    </row>
    <row r="735">
      <c r="A735" s="0" t="inlineStr">
        <is>
          <t>USR-100734</t>
        </is>
      </c>
      <c r="B735" s="23" t="n">
        <v>45762</v>
      </c>
      <c r="C735" s="0" t="inlineStr">
        <is>
          <t>Treatment</t>
        </is>
      </c>
      <c r="D735" s="0" t="inlineStr">
        <is>
          <t>East</t>
        </is>
      </c>
      <c r="E735" s="0" t="inlineStr">
        <is>
          <t>Desktop</t>
        </is>
      </c>
      <c r="F735" s="0" t="inlineStr">
        <is>
          <t>Social</t>
        </is>
      </c>
      <c r="G735" s="0" t="inlineStr">
        <is>
          <t>Premium</t>
        </is>
      </c>
      <c r="H735" s="0" t="n">
        <v>1</v>
      </c>
      <c r="I735" s="0" t="n">
        <v>1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P735" s="0" t="n">
        <v>83.3</v>
      </c>
    </row>
    <row r="736">
      <c r="A736" s="0" t="inlineStr">
        <is>
          <t>USR-100735</t>
        </is>
      </c>
      <c r="B736" s="23" t="n">
        <v>45744</v>
      </c>
      <c r="C736" s="0" t="inlineStr">
        <is>
          <t>Treatment</t>
        </is>
      </c>
      <c r="D736" s="0" t="inlineStr">
        <is>
          <t>East</t>
        </is>
      </c>
      <c r="E736" s="0" t="inlineStr">
        <is>
          <t>Desktop</t>
        </is>
      </c>
      <c r="F736" s="0" t="inlineStr">
        <is>
          <t>Email</t>
        </is>
      </c>
      <c r="G736" s="0" t="inlineStr">
        <is>
          <t>Free</t>
        </is>
      </c>
      <c r="H736" s="0" t="n">
        <v>1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0</v>
      </c>
      <c r="P736" s="0" t="n">
        <v>24.5</v>
      </c>
    </row>
    <row r="737">
      <c r="A737" s="0" t="inlineStr">
        <is>
          <t>USR-100736</t>
        </is>
      </c>
      <c r="B737" s="23" t="n">
        <v>45748</v>
      </c>
      <c r="C737" s="0" t="inlineStr">
        <is>
          <t>Treatment</t>
        </is>
      </c>
      <c r="D737" s="0" t="inlineStr">
        <is>
          <t>West</t>
        </is>
      </c>
      <c r="E737" s="0" t="inlineStr">
        <is>
          <t>Mobile</t>
        </is>
      </c>
      <c r="F737" s="0" t="inlineStr">
        <is>
          <t>Paid Search</t>
        </is>
      </c>
      <c r="G737" s="0" t="inlineStr">
        <is>
          <t>Basic</t>
        </is>
      </c>
      <c r="H737" s="0" t="n">
        <v>1</v>
      </c>
      <c r="I737" s="0" t="n">
        <v>1</v>
      </c>
      <c r="J737" s="0" t="n">
        <v>0</v>
      </c>
      <c r="K737" s="0" t="n">
        <v>0</v>
      </c>
      <c r="L737" s="0" t="n">
        <v>0</v>
      </c>
      <c r="M737" s="0" t="n">
        <v>1</v>
      </c>
      <c r="N737" s="0" t="n">
        <v>0</v>
      </c>
      <c r="P737" s="0" t="n">
        <v>56.9</v>
      </c>
    </row>
    <row r="738">
      <c r="A738" s="0" t="inlineStr">
        <is>
          <t>USR-100737</t>
        </is>
      </c>
      <c r="B738" s="23" t="n">
        <v>45699</v>
      </c>
      <c r="C738" s="0" t="inlineStr">
        <is>
          <t>Treatment</t>
        </is>
      </c>
      <c r="D738" s="0" t="inlineStr">
        <is>
          <t>West</t>
        </is>
      </c>
      <c r="E738" s="0" t="inlineStr">
        <is>
          <t>Mobile</t>
        </is>
      </c>
      <c r="F738" s="0" t="inlineStr">
        <is>
          <t>Social</t>
        </is>
      </c>
      <c r="G738" s="0" t="inlineStr">
        <is>
          <t>Basic</t>
        </is>
      </c>
      <c r="H738" s="0" t="n">
        <v>1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P738" s="0" t="n">
        <v>69.90000000000001</v>
      </c>
    </row>
    <row r="739">
      <c r="A739" s="0" t="inlineStr">
        <is>
          <t>USR-100738</t>
        </is>
      </c>
      <c r="B739" s="23" t="n">
        <v>45720</v>
      </c>
      <c r="C739" s="0" t="inlineStr">
        <is>
          <t>Treatment</t>
        </is>
      </c>
      <c r="D739" s="0" t="inlineStr">
        <is>
          <t>South</t>
        </is>
      </c>
      <c r="E739" s="0" t="inlineStr">
        <is>
          <t>Mobile</t>
        </is>
      </c>
      <c r="F739" s="0" t="inlineStr">
        <is>
          <t>Organic</t>
        </is>
      </c>
      <c r="G739" s="0" t="inlineStr">
        <is>
          <t>Free</t>
        </is>
      </c>
      <c r="H739" s="0" t="n">
        <v>1</v>
      </c>
      <c r="I739" s="0" t="n">
        <v>1</v>
      </c>
      <c r="J739" s="0" t="n">
        <v>1</v>
      </c>
      <c r="K739" s="0" t="n">
        <v>0</v>
      </c>
      <c r="L739" s="0" t="n">
        <v>0</v>
      </c>
      <c r="M739" s="0" t="n">
        <v>0</v>
      </c>
      <c r="N739" s="0" t="n">
        <v>0</v>
      </c>
      <c r="P739" s="0" t="n">
        <v>81.5</v>
      </c>
    </row>
    <row r="740">
      <c r="A740" s="0" t="inlineStr">
        <is>
          <t>USR-100739</t>
        </is>
      </c>
      <c r="B740" s="23" t="n">
        <v>45678</v>
      </c>
      <c r="C740" s="0" t="inlineStr">
        <is>
          <t>Treatment</t>
        </is>
      </c>
      <c r="D740" s="0" t="inlineStr">
        <is>
          <t>North</t>
        </is>
      </c>
      <c r="E740" s="0" t="inlineStr">
        <is>
          <t>Tablet</t>
        </is>
      </c>
      <c r="F740" s="0" t="inlineStr">
        <is>
          <t>Social</t>
        </is>
      </c>
      <c r="G740" s="0" t="inlineStr">
        <is>
          <t>Basic</t>
        </is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2</v>
      </c>
      <c r="N740" s="0" t="n">
        <v>0</v>
      </c>
      <c r="P740" s="0" t="n">
        <v>37.9</v>
      </c>
    </row>
    <row r="741">
      <c r="A741" s="0" t="inlineStr">
        <is>
          <t>USR-100740</t>
        </is>
      </c>
      <c r="B741" s="23" t="n">
        <v>45702</v>
      </c>
      <c r="C741" s="0" t="inlineStr">
        <is>
          <t>Treatment</t>
        </is>
      </c>
      <c r="D741" s="0" t="inlineStr">
        <is>
          <t>North</t>
        </is>
      </c>
      <c r="E741" s="0" t="inlineStr">
        <is>
          <t>Mobile</t>
        </is>
      </c>
      <c r="F741" s="0" t="inlineStr">
        <is>
          <t>Referral</t>
        </is>
      </c>
      <c r="G741" s="0" t="inlineStr">
        <is>
          <t>Free</t>
        </is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1</v>
      </c>
      <c r="N741" s="0" t="n">
        <v>0</v>
      </c>
      <c r="P741" s="0" t="n">
        <v>61.7</v>
      </c>
    </row>
    <row r="742">
      <c r="A742" s="0" t="inlineStr">
        <is>
          <t>USR-100741</t>
        </is>
      </c>
      <c r="B742" s="23" t="n">
        <v>45746</v>
      </c>
      <c r="C742" s="0" t="inlineStr">
        <is>
          <t>Treatment</t>
        </is>
      </c>
      <c r="D742" s="0" t="inlineStr">
        <is>
          <t>North</t>
        </is>
      </c>
      <c r="E742" s="0" t="inlineStr">
        <is>
          <t>Desktop</t>
        </is>
      </c>
      <c r="F742" s="0" t="inlineStr">
        <is>
          <t>Unknown</t>
        </is>
      </c>
      <c r="G742" s="0" t="inlineStr">
        <is>
          <t>Premium</t>
        </is>
      </c>
      <c r="H742" s="0" t="n">
        <v>1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2</v>
      </c>
      <c r="N742" s="0" t="n">
        <v>0</v>
      </c>
      <c r="P742" s="0" t="n">
        <v>53.2</v>
      </c>
    </row>
    <row r="743">
      <c r="A743" s="0" t="inlineStr">
        <is>
          <t>USR-100742</t>
        </is>
      </c>
      <c r="B743" s="23" t="n">
        <v>45665</v>
      </c>
      <c r="C743" s="0" t="inlineStr">
        <is>
          <t>Treatment</t>
        </is>
      </c>
      <c r="D743" s="0" t="inlineStr">
        <is>
          <t>North</t>
        </is>
      </c>
      <c r="E743" s="0" t="inlineStr">
        <is>
          <t>Mobile</t>
        </is>
      </c>
      <c r="F743" s="0" t="inlineStr">
        <is>
          <t>Referral</t>
        </is>
      </c>
      <c r="G743" s="0" t="inlineStr">
        <is>
          <t>Free</t>
        </is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P743" s="0" t="n">
        <v>61.9</v>
      </c>
    </row>
    <row r="744">
      <c r="A744" s="0" t="inlineStr">
        <is>
          <t>USR-100743</t>
        </is>
      </c>
      <c r="B744" s="23" t="n">
        <v>45695</v>
      </c>
      <c r="C744" s="0" t="inlineStr">
        <is>
          <t>Treatment</t>
        </is>
      </c>
      <c r="D744" s="0" t="inlineStr">
        <is>
          <t>North</t>
        </is>
      </c>
      <c r="E744" s="0" t="inlineStr">
        <is>
          <t>Mobile</t>
        </is>
      </c>
      <c r="F744" s="0" t="inlineStr">
        <is>
          <t>Social</t>
        </is>
      </c>
      <c r="G744" s="0" t="inlineStr">
        <is>
          <t>Free</t>
        </is>
      </c>
      <c r="H744" s="0" t="n">
        <v>1</v>
      </c>
      <c r="I744" s="0" t="n">
        <v>1</v>
      </c>
      <c r="J744" s="0" t="n">
        <v>1</v>
      </c>
      <c r="K744" s="0" t="n">
        <v>0</v>
      </c>
      <c r="L744" s="0" t="n">
        <v>0</v>
      </c>
      <c r="M744" s="0" t="n">
        <v>0</v>
      </c>
      <c r="N744" s="0" t="n">
        <v>0</v>
      </c>
      <c r="P744" s="0" t="n">
        <v>68.90000000000001</v>
      </c>
    </row>
    <row r="745">
      <c r="A745" s="0" t="inlineStr">
        <is>
          <t>USR-100744</t>
        </is>
      </c>
      <c r="B745" s="23" t="n">
        <v>45689</v>
      </c>
      <c r="C745" s="0" t="inlineStr">
        <is>
          <t>Treatment</t>
        </is>
      </c>
      <c r="D745" s="0" t="inlineStr">
        <is>
          <t>North</t>
        </is>
      </c>
      <c r="E745" s="0" t="inlineStr">
        <is>
          <t>Tablet</t>
        </is>
      </c>
      <c r="F745" s="0" t="inlineStr">
        <is>
          <t>Paid Search</t>
        </is>
      </c>
      <c r="G745" s="0" t="inlineStr">
        <is>
          <t>Basic</t>
        </is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P745" s="0" t="n">
        <v>66.3</v>
      </c>
    </row>
    <row r="746">
      <c r="A746" s="0" t="inlineStr">
        <is>
          <t>USR-100745</t>
        </is>
      </c>
      <c r="B746" s="23" t="n">
        <v>45661</v>
      </c>
      <c r="C746" s="0" t="inlineStr">
        <is>
          <t>Treatment</t>
        </is>
      </c>
      <c r="D746" s="0" t="inlineStr">
        <is>
          <t>East</t>
        </is>
      </c>
      <c r="E746" s="0" t="inlineStr">
        <is>
          <t>Mobile</t>
        </is>
      </c>
      <c r="F746" s="0" t="inlineStr">
        <is>
          <t>Email</t>
        </is>
      </c>
      <c r="G746" s="0" t="inlineStr">
        <is>
          <t>Free</t>
        </is>
      </c>
      <c r="H746" s="0" t="n">
        <v>1</v>
      </c>
      <c r="I746" s="0" t="n">
        <v>1</v>
      </c>
      <c r="J746" s="0" t="n">
        <v>1</v>
      </c>
      <c r="K746" s="0" t="n">
        <v>0</v>
      </c>
      <c r="L746" s="0" t="n">
        <v>0</v>
      </c>
      <c r="M746" s="0" t="n">
        <v>0</v>
      </c>
      <c r="N746" s="0" t="n">
        <v>0</v>
      </c>
      <c r="P746" s="0" t="n">
        <v>54.6</v>
      </c>
    </row>
    <row r="747">
      <c r="A747" s="0" t="inlineStr">
        <is>
          <t>USR-100746</t>
        </is>
      </c>
      <c r="B747" s="23" t="n">
        <v>45793</v>
      </c>
      <c r="C747" s="0" t="inlineStr">
        <is>
          <t>Treatment</t>
        </is>
      </c>
      <c r="D747" s="0" t="inlineStr">
        <is>
          <t>South</t>
        </is>
      </c>
      <c r="E747" s="0" t="inlineStr">
        <is>
          <t>Desktop</t>
        </is>
      </c>
      <c r="F747" s="0" t="inlineStr">
        <is>
          <t>Referral</t>
        </is>
      </c>
      <c r="G747" s="0" t="inlineStr">
        <is>
          <t>Free</t>
        </is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P747" s="0" t="n">
        <v>53.8</v>
      </c>
    </row>
    <row r="748">
      <c r="A748" s="0" t="inlineStr">
        <is>
          <t>USR-100747</t>
        </is>
      </c>
      <c r="B748" s="23" t="n">
        <v>45716</v>
      </c>
      <c r="C748" s="0" t="inlineStr">
        <is>
          <t>Treatment</t>
        </is>
      </c>
      <c r="D748" s="0" t="inlineStr">
        <is>
          <t>West</t>
        </is>
      </c>
      <c r="E748" s="0" t="inlineStr">
        <is>
          <t>Mobile</t>
        </is>
      </c>
      <c r="F748" s="0" t="inlineStr">
        <is>
          <t>Referral</t>
        </is>
      </c>
      <c r="G748" s="0" t="inlineStr">
        <is>
          <t>Free</t>
        </is>
      </c>
      <c r="H748" s="0" t="n">
        <v>1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P748" s="0" t="n">
        <v>59.5</v>
      </c>
    </row>
    <row r="749">
      <c r="A749" s="0" t="inlineStr">
        <is>
          <t>USR-100748</t>
        </is>
      </c>
      <c r="B749" s="23" t="n">
        <v>45759</v>
      </c>
      <c r="C749" s="0" t="inlineStr">
        <is>
          <t>Treatment</t>
        </is>
      </c>
      <c r="D749" s="0" t="inlineStr">
        <is>
          <t>North</t>
        </is>
      </c>
      <c r="E749" s="0" t="inlineStr">
        <is>
          <t>Mobile</t>
        </is>
      </c>
      <c r="F749" s="0" t="inlineStr">
        <is>
          <t>Referral</t>
        </is>
      </c>
      <c r="G749" s="0" t="inlineStr">
        <is>
          <t>Free</t>
        </is>
      </c>
      <c r="H749" s="0" t="n">
        <v>1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P749" s="0" t="n">
        <v>52.6</v>
      </c>
    </row>
    <row r="750">
      <c r="A750" s="0" t="inlineStr">
        <is>
          <t>USR-100749</t>
        </is>
      </c>
      <c r="B750" s="23" t="n">
        <v>45739</v>
      </c>
      <c r="C750" s="0" t="inlineStr">
        <is>
          <t>Treatment</t>
        </is>
      </c>
      <c r="D750" s="0" t="inlineStr">
        <is>
          <t>South</t>
        </is>
      </c>
      <c r="E750" s="0" t="inlineStr">
        <is>
          <t>Desktop</t>
        </is>
      </c>
      <c r="F750" s="0" t="inlineStr">
        <is>
          <t>Organic</t>
        </is>
      </c>
      <c r="G750" s="0" t="inlineStr">
        <is>
          <t>Free</t>
        </is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P750" s="0" t="n">
        <v>49</v>
      </c>
    </row>
    <row r="751">
      <c r="A751" s="0" t="inlineStr">
        <is>
          <t>USR-100750</t>
        </is>
      </c>
      <c r="B751" s="23" t="n">
        <v>45806</v>
      </c>
      <c r="C751" s="0" t="inlineStr">
        <is>
          <t>Treatment</t>
        </is>
      </c>
      <c r="D751" s="0" t="inlineStr">
        <is>
          <t>North</t>
        </is>
      </c>
      <c r="E751" s="0" t="inlineStr">
        <is>
          <t>Tablet</t>
        </is>
      </c>
      <c r="F751" s="0" t="inlineStr">
        <is>
          <t>Organic</t>
        </is>
      </c>
      <c r="G751" s="0" t="inlineStr">
        <is>
          <t>Free</t>
        </is>
      </c>
      <c r="H751" s="0" t="n">
        <v>1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P751" s="0" t="n">
        <v>59.3</v>
      </c>
    </row>
    <row r="752">
      <c r="A752" s="0" t="inlineStr">
        <is>
          <t>USR-100751</t>
        </is>
      </c>
      <c r="B752" s="23" t="n">
        <v>45798</v>
      </c>
      <c r="C752" s="0" t="inlineStr">
        <is>
          <t>Treatment</t>
        </is>
      </c>
      <c r="D752" s="0" t="inlineStr">
        <is>
          <t>South</t>
        </is>
      </c>
      <c r="E752" s="0" t="inlineStr">
        <is>
          <t>Desktop</t>
        </is>
      </c>
      <c r="F752" s="0" t="inlineStr">
        <is>
          <t>Organic</t>
        </is>
      </c>
      <c r="G752" s="0" t="inlineStr">
        <is>
          <t>Basic</t>
        </is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P752" s="0" t="n">
        <v>67.2</v>
      </c>
    </row>
    <row r="753">
      <c r="A753" s="0" t="inlineStr">
        <is>
          <t>USR-100752</t>
        </is>
      </c>
      <c r="B753" s="23" t="n">
        <v>45662</v>
      </c>
      <c r="C753" s="0" t="inlineStr">
        <is>
          <t>Treatment</t>
        </is>
      </c>
      <c r="D753" s="0" t="inlineStr">
        <is>
          <t>South</t>
        </is>
      </c>
      <c r="E753" s="0" t="inlineStr">
        <is>
          <t>Mobile</t>
        </is>
      </c>
      <c r="F753" s="0" t="inlineStr">
        <is>
          <t>Referral</t>
        </is>
      </c>
      <c r="G753" s="0" t="inlineStr">
        <is>
          <t>Premium</t>
        </is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P753" s="0" t="n">
        <v>73.5</v>
      </c>
    </row>
    <row r="754">
      <c r="A754" s="0" t="inlineStr">
        <is>
          <t>USR-100753</t>
        </is>
      </c>
      <c r="B754" s="23" t="n">
        <v>45735</v>
      </c>
      <c r="C754" s="0" t="inlineStr">
        <is>
          <t>Treatment</t>
        </is>
      </c>
      <c r="D754" s="0" t="inlineStr">
        <is>
          <t>East</t>
        </is>
      </c>
      <c r="E754" s="0" t="inlineStr">
        <is>
          <t>Tablet</t>
        </is>
      </c>
      <c r="F754" s="0" t="inlineStr">
        <is>
          <t>Organic</t>
        </is>
      </c>
      <c r="G754" s="0" t="inlineStr">
        <is>
          <t>Free</t>
        </is>
      </c>
      <c r="H754" s="0" t="n">
        <v>1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P754" s="0" t="n">
        <v>61.2</v>
      </c>
    </row>
    <row r="755">
      <c r="A755" s="0" t="inlineStr">
        <is>
          <t>USR-100754</t>
        </is>
      </c>
      <c r="B755" s="23" t="n">
        <v>45771</v>
      </c>
      <c r="C755" s="0" t="inlineStr">
        <is>
          <t>Treatment</t>
        </is>
      </c>
      <c r="D755" s="0" t="inlineStr">
        <is>
          <t>East</t>
        </is>
      </c>
      <c r="E755" s="0" t="inlineStr">
        <is>
          <t>Mobile</t>
        </is>
      </c>
      <c r="F755" s="0" t="inlineStr">
        <is>
          <t>Organic</t>
        </is>
      </c>
      <c r="G755" s="0" t="inlineStr">
        <is>
          <t>Free</t>
        </is>
      </c>
      <c r="H755" s="0" t="n">
        <v>1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0</v>
      </c>
      <c r="P755" s="0" t="n">
        <v>56.4</v>
      </c>
    </row>
    <row r="756">
      <c r="A756" s="0" t="inlineStr">
        <is>
          <t>USR-100755</t>
        </is>
      </c>
      <c r="B756" s="23" t="n">
        <v>45726</v>
      </c>
      <c r="C756" s="0" t="inlineStr">
        <is>
          <t>Treatment</t>
        </is>
      </c>
      <c r="D756" s="0" t="inlineStr">
        <is>
          <t>North</t>
        </is>
      </c>
      <c r="E756" s="0" t="inlineStr">
        <is>
          <t>Tablet</t>
        </is>
      </c>
      <c r="F756" s="0" t="inlineStr">
        <is>
          <t>Organic</t>
        </is>
      </c>
      <c r="G756" s="0" t="inlineStr">
        <is>
          <t>Free</t>
        </is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3</v>
      </c>
      <c r="N756" s="0" t="n">
        <v>0</v>
      </c>
      <c r="P756" s="0" t="n">
        <v>72.59999999999999</v>
      </c>
    </row>
    <row r="757">
      <c r="A757" s="0" t="inlineStr">
        <is>
          <t>USR-100756</t>
        </is>
      </c>
      <c r="B757" s="23" t="n">
        <v>45710</v>
      </c>
      <c r="C757" s="0" t="inlineStr">
        <is>
          <t>Treatment</t>
        </is>
      </c>
      <c r="D757" s="0" t="inlineStr">
        <is>
          <t>South</t>
        </is>
      </c>
      <c r="E757" s="0" t="inlineStr">
        <is>
          <t>Tablet</t>
        </is>
      </c>
      <c r="F757" s="0" t="inlineStr">
        <is>
          <t>Referral</t>
        </is>
      </c>
      <c r="G757" s="0" t="inlineStr">
        <is>
          <t>Basic</t>
        </is>
      </c>
      <c r="H757" s="0" t="n">
        <v>1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P757" s="0" t="n">
        <v>61.7</v>
      </c>
    </row>
    <row r="758">
      <c r="A758" s="0" t="inlineStr">
        <is>
          <t>USR-100757</t>
        </is>
      </c>
      <c r="B758" s="23" t="n">
        <v>45794</v>
      </c>
      <c r="C758" s="0" t="inlineStr">
        <is>
          <t>Treatment</t>
        </is>
      </c>
      <c r="D758" s="0" t="inlineStr">
        <is>
          <t>East</t>
        </is>
      </c>
      <c r="E758" s="0" t="inlineStr">
        <is>
          <t>Mobile</t>
        </is>
      </c>
      <c r="F758" s="0" t="inlineStr">
        <is>
          <t>Social</t>
        </is>
      </c>
      <c r="G758" s="0" t="inlineStr">
        <is>
          <t>Free</t>
        </is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0</v>
      </c>
      <c r="P758" s="0" t="n">
        <v>66.90000000000001</v>
      </c>
    </row>
    <row r="759">
      <c r="A759" s="0" t="inlineStr">
        <is>
          <t>USR-100758</t>
        </is>
      </c>
      <c r="B759" s="23" t="n">
        <v>45786</v>
      </c>
      <c r="C759" s="0" t="inlineStr">
        <is>
          <t>Treatment</t>
        </is>
      </c>
      <c r="D759" s="0" t="inlineStr">
        <is>
          <t>East</t>
        </is>
      </c>
      <c r="E759" s="0" t="inlineStr">
        <is>
          <t>Tablet</t>
        </is>
      </c>
      <c r="F759" s="0" t="inlineStr">
        <is>
          <t>Referral</t>
        </is>
      </c>
      <c r="G759" s="0" t="inlineStr">
        <is>
          <t>Premium</t>
        </is>
      </c>
      <c r="H759" s="0" t="n">
        <v>1</v>
      </c>
      <c r="I759" s="0" t="n">
        <v>1</v>
      </c>
      <c r="J759" s="0" t="n">
        <v>1</v>
      </c>
      <c r="K759" s="0" t="n">
        <v>1</v>
      </c>
      <c r="L759" s="0" t="n">
        <v>1506.24</v>
      </c>
      <c r="M759" s="0" t="n">
        <v>1</v>
      </c>
      <c r="N759" s="0" t="n">
        <v>0</v>
      </c>
      <c r="O759" s="0" t="n">
        <v>7</v>
      </c>
      <c r="P759" s="0" t="n">
        <v>64.90000000000001</v>
      </c>
    </row>
    <row r="760">
      <c r="A760" s="0" t="inlineStr">
        <is>
          <t>USR-100759</t>
        </is>
      </c>
      <c r="B760" s="23" t="n">
        <v>45773</v>
      </c>
      <c r="C760" s="0" t="inlineStr">
        <is>
          <t>Treatment</t>
        </is>
      </c>
      <c r="D760" s="0" t="inlineStr">
        <is>
          <t>East</t>
        </is>
      </c>
      <c r="E760" s="0" t="inlineStr">
        <is>
          <t>Tablet</t>
        </is>
      </c>
      <c r="F760" s="0" t="inlineStr">
        <is>
          <t>Organic</t>
        </is>
      </c>
      <c r="G760" s="0" t="inlineStr">
        <is>
          <t>Premium</t>
        </is>
      </c>
      <c r="H760" s="0" t="n">
        <v>1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P760" s="0" t="n">
        <v>57.5</v>
      </c>
    </row>
    <row r="761">
      <c r="A761" s="0" t="inlineStr">
        <is>
          <t>USR-100760</t>
        </is>
      </c>
      <c r="B761" s="23" t="n">
        <v>45731</v>
      </c>
      <c r="C761" s="0" t="inlineStr">
        <is>
          <t>Treatment</t>
        </is>
      </c>
      <c r="D761" s="0" t="inlineStr">
        <is>
          <t>West</t>
        </is>
      </c>
      <c r="E761" s="0" t="inlineStr">
        <is>
          <t>Desktop</t>
        </is>
      </c>
      <c r="F761" s="0" t="inlineStr">
        <is>
          <t>Social</t>
        </is>
      </c>
      <c r="G761" s="0" t="inlineStr">
        <is>
          <t>Free</t>
        </is>
      </c>
      <c r="H761" s="0" t="n">
        <v>1</v>
      </c>
      <c r="I761" s="0" t="n">
        <v>1</v>
      </c>
      <c r="J761" s="0" t="n">
        <v>1</v>
      </c>
      <c r="K761" s="0" t="n">
        <v>0</v>
      </c>
      <c r="L761" s="0" t="n">
        <v>0</v>
      </c>
      <c r="M761" s="0" t="n">
        <v>0</v>
      </c>
      <c r="N761" s="0" t="n">
        <v>0</v>
      </c>
      <c r="P761" s="0" t="n">
        <v>76.3</v>
      </c>
    </row>
    <row r="762">
      <c r="A762" s="0" t="inlineStr">
        <is>
          <t>USR-100761</t>
        </is>
      </c>
      <c r="B762" s="23" t="n">
        <v>45750</v>
      </c>
      <c r="C762" s="0" t="inlineStr">
        <is>
          <t>Treatment</t>
        </is>
      </c>
      <c r="D762" s="0" t="inlineStr">
        <is>
          <t>North</t>
        </is>
      </c>
      <c r="E762" s="0" t="inlineStr">
        <is>
          <t>Mobile</t>
        </is>
      </c>
      <c r="F762" s="0" t="inlineStr">
        <is>
          <t>Paid Search</t>
        </is>
      </c>
      <c r="G762" s="0" t="inlineStr">
        <is>
          <t>Free</t>
        </is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P762" s="0" t="n">
        <v>47.5</v>
      </c>
    </row>
    <row r="763">
      <c r="A763" s="0" t="inlineStr">
        <is>
          <t>USR-100762</t>
        </is>
      </c>
      <c r="B763" s="23" t="n">
        <v>45742</v>
      </c>
      <c r="C763" s="0" t="inlineStr">
        <is>
          <t>Treatment</t>
        </is>
      </c>
      <c r="D763" s="0" t="inlineStr">
        <is>
          <t>South</t>
        </is>
      </c>
      <c r="E763" s="0" t="inlineStr">
        <is>
          <t>Mobile</t>
        </is>
      </c>
      <c r="F763" s="0" t="inlineStr">
        <is>
          <t>Paid Search</t>
        </is>
      </c>
      <c r="G763" s="0" t="inlineStr">
        <is>
          <t>Free</t>
        </is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</row>
    <row r="764">
      <c r="A764" s="0" t="inlineStr">
        <is>
          <t>USR-100763</t>
        </is>
      </c>
      <c r="B764" s="23" t="n">
        <v>45693</v>
      </c>
      <c r="C764" s="0" t="inlineStr">
        <is>
          <t>Treatment</t>
        </is>
      </c>
      <c r="D764" s="0" t="inlineStr">
        <is>
          <t>West</t>
        </is>
      </c>
      <c r="E764" s="0" t="inlineStr">
        <is>
          <t>Desktop</t>
        </is>
      </c>
      <c r="F764" s="0" t="inlineStr">
        <is>
          <t>Organic</t>
        </is>
      </c>
      <c r="G764" s="0" t="inlineStr">
        <is>
          <t>Basic</t>
        </is>
      </c>
      <c r="H764" s="0" t="n">
        <v>1</v>
      </c>
      <c r="I764" s="0" t="n">
        <v>1</v>
      </c>
      <c r="J764" s="0" t="n">
        <v>0</v>
      </c>
      <c r="K764" s="0" t="n">
        <v>0</v>
      </c>
      <c r="L764" s="0" t="n">
        <v>0</v>
      </c>
      <c r="M764" s="0" t="n">
        <v>2</v>
      </c>
      <c r="N764" s="0" t="n">
        <v>0</v>
      </c>
      <c r="P764" s="0" t="n">
        <v>71.59999999999999</v>
      </c>
    </row>
    <row r="765">
      <c r="A765" s="0" t="inlineStr">
        <is>
          <t>USR-100764</t>
        </is>
      </c>
      <c r="B765" s="23" t="n">
        <v>45785</v>
      </c>
      <c r="C765" s="0" t="inlineStr">
        <is>
          <t>Treatment</t>
        </is>
      </c>
      <c r="D765" s="0" t="inlineStr">
        <is>
          <t>South</t>
        </is>
      </c>
      <c r="E765" s="0" t="inlineStr">
        <is>
          <t>Mobile</t>
        </is>
      </c>
      <c r="F765" s="0" t="inlineStr">
        <is>
          <t>Social</t>
        </is>
      </c>
      <c r="G765" s="0" t="inlineStr">
        <is>
          <t>Basic</t>
        </is>
      </c>
      <c r="H765" s="0" t="n">
        <v>1</v>
      </c>
      <c r="I765" s="0" t="n">
        <v>1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P765" s="0" t="n">
        <v>55.8</v>
      </c>
    </row>
    <row r="766">
      <c r="A766" s="0" t="inlineStr">
        <is>
          <t>USR-100765</t>
        </is>
      </c>
      <c r="B766" s="23" t="n">
        <v>45741</v>
      </c>
      <c r="C766" s="0" t="inlineStr">
        <is>
          <t>Treatment</t>
        </is>
      </c>
      <c r="D766" s="0" t="inlineStr">
        <is>
          <t>South</t>
        </is>
      </c>
      <c r="E766" s="0" t="inlineStr">
        <is>
          <t>Desktop</t>
        </is>
      </c>
      <c r="F766" s="0" t="inlineStr">
        <is>
          <t>Organic</t>
        </is>
      </c>
      <c r="G766" s="0" t="inlineStr">
        <is>
          <t>Basic</t>
        </is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1</v>
      </c>
      <c r="N766" s="0" t="n">
        <v>0</v>
      </c>
      <c r="P766" s="0" t="n">
        <v>60.1</v>
      </c>
    </row>
    <row r="767">
      <c r="A767" s="0" t="inlineStr">
        <is>
          <t>USR-100766</t>
        </is>
      </c>
      <c r="B767" s="23" t="n">
        <v>45671</v>
      </c>
      <c r="C767" s="0" t="inlineStr">
        <is>
          <t>Treatment</t>
        </is>
      </c>
      <c r="D767" s="0" t="inlineStr">
        <is>
          <t>West</t>
        </is>
      </c>
      <c r="E767" s="0" t="inlineStr">
        <is>
          <t>Unknown</t>
        </is>
      </c>
      <c r="F767" s="0" t="inlineStr">
        <is>
          <t>Email</t>
        </is>
      </c>
      <c r="G767" s="0" t="inlineStr">
        <is>
          <t>Basic</t>
        </is>
      </c>
      <c r="H767" s="0" t="n">
        <v>1</v>
      </c>
      <c r="I767" s="0" t="n">
        <v>1</v>
      </c>
      <c r="J767" s="0" t="n">
        <v>1</v>
      </c>
      <c r="K767" s="0" t="n">
        <v>0</v>
      </c>
      <c r="L767" s="0" t="n">
        <v>0</v>
      </c>
      <c r="M767" s="0" t="n">
        <v>1</v>
      </c>
      <c r="N767" s="0" t="n">
        <v>0</v>
      </c>
      <c r="P767" s="0" t="n">
        <v>59.3</v>
      </c>
    </row>
    <row r="768">
      <c r="A768" s="0" t="inlineStr">
        <is>
          <t>USR-100767</t>
        </is>
      </c>
      <c r="B768" s="23" t="n">
        <v>45742</v>
      </c>
      <c r="C768" s="0" t="inlineStr">
        <is>
          <t>Treatment</t>
        </is>
      </c>
      <c r="D768" s="0" t="inlineStr">
        <is>
          <t>North</t>
        </is>
      </c>
      <c r="E768" s="0" t="inlineStr">
        <is>
          <t>Mobile</t>
        </is>
      </c>
      <c r="F768" s="0" t="inlineStr">
        <is>
          <t>Organic</t>
        </is>
      </c>
      <c r="G768" s="0" t="inlineStr">
        <is>
          <t>Free</t>
        </is>
      </c>
      <c r="H768" s="0" t="n">
        <v>1</v>
      </c>
      <c r="I768" s="0" t="n">
        <v>1</v>
      </c>
      <c r="J768" s="0" t="n">
        <v>0</v>
      </c>
      <c r="K768" s="0" t="n">
        <v>0</v>
      </c>
      <c r="L768" s="0" t="n">
        <v>0</v>
      </c>
      <c r="M768" s="0" t="n">
        <v>2</v>
      </c>
      <c r="N768" s="0" t="n">
        <v>0</v>
      </c>
      <c r="P768" s="0" t="n">
        <v>49.3</v>
      </c>
    </row>
    <row r="769">
      <c r="A769" s="0" t="inlineStr">
        <is>
          <t>USR-100768</t>
        </is>
      </c>
      <c r="B769" s="23" t="n">
        <v>45673</v>
      </c>
      <c r="C769" s="0" t="inlineStr">
        <is>
          <t>Treatment</t>
        </is>
      </c>
      <c r="D769" s="0" t="inlineStr">
        <is>
          <t>East</t>
        </is>
      </c>
      <c r="E769" s="0" t="inlineStr">
        <is>
          <t>Mobile</t>
        </is>
      </c>
      <c r="F769" s="0" t="inlineStr">
        <is>
          <t>Referral</t>
        </is>
      </c>
      <c r="G769" s="0" t="inlineStr">
        <is>
          <t>Free</t>
        </is>
      </c>
      <c r="H769" s="0" t="n">
        <v>1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P769" s="0" t="n">
        <v>75</v>
      </c>
    </row>
    <row r="770">
      <c r="A770" s="0" t="inlineStr">
        <is>
          <t>USR-100769</t>
        </is>
      </c>
      <c r="B770" s="23" t="n">
        <v>45661</v>
      </c>
      <c r="C770" s="0" t="inlineStr">
        <is>
          <t>Treatment</t>
        </is>
      </c>
      <c r="D770" s="0" t="inlineStr">
        <is>
          <t>East</t>
        </is>
      </c>
      <c r="E770" s="0" t="inlineStr">
        <is>
          <t>Mobile</t>
        </is>
      </c>
      <c r="F770" s="0" t="inlineStr">
        <is>
          <t>Social</t>
        </is>
      </c>
      <c r="G770" s="0" t="inlineStr">
        <is>
          <t>Free</t>
        </is>
      </c>
      <c r="H770" s="0" t="n">
        <v>1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P770" s="0" t="n">
        <v>70.2</v>
      </c>
    </row>
    <row r="771">
      <c r="A771" s="0" t="inlineStr">
        <is>
          <t>USR-100770</t>
        </is>
      </c>
      <c r="B771" s="23" t="n">
        <v>45697</v>
      </c>
      <c r="C771" s="0" t="inlineStr">
        <is>
          <t>Treatment</t>
        </is>
      </c>
      <c r="D771" s="0" t="inlineStr">
        <is>
          <t>South</t>
        </is>
      </c>
      <c r="E771" s="0" t="inlineStr">
        <is>
          <t>Desktop</t>
        </is>
      </c>
      <c r="F771" s="0" t="inlineStr">
        <is>
          <t>Organic</t>
        </is>
      </c>
      <c r="G771" s="0" t="inlineStr">
        <is>
          <t>Premium</t>
        </is>
      </c>
      <c r="H771" s="0" t="n">
        <v>1</v>
      </c>
      <c r="I771" s="0" t="n">
        <v>1</v>
      </c>
      <c r="J771" s="0" t="n">
        <v>1</v>
      </c>
      <c r="K771" s="0" t="n">
        <v>0</v>
      </c>
      <c r="L771" s="0" t="n">
        <v>0</v>
      </c>
      <c r="M771" s="0" t="n">
        <v>0</v>
      </c>
      <c r="N771" s="0" t="n">
        <v>0</v>
      </c>
      <c r="P771" s="0" t="n">
        <v>56.6</v>
      </c>
    </row>
    <row r="772">
      <c r="A772" s="0" t="inlineStr">
        <is>
          <t>USR-100771</t>
        </is>
      </c>
      <c r="B772" s="23" t="n">
        <v>45721</v>
      </c>
      <c r="C772" s="0" t="inlineStr">
        <is>
          <t>Treatment</t>
        </is>
      </c>
      <c r="D772" s="0" t="inlineStr">
        <is>
          <t>East</t>
        </is>
      </c>
      <c r="E772" s="0" t="inlineStr">
        <is>
          <t>Desktop</t>
        </is>
      </c>
      <c r="F772" s="0" t="inlineStr">
        <is>
          <t>Organic</t>
        </is>
      </c>
      <c r="G772" s="0" t="inlineStr">
        <is>
          <t>Free</t>
        </is>
      </c>
      <c r="H772" s="0" t="n">
        <v>1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P772" s="0" t="n">
        <v>65.40000000000001</v>
      </c>
    </row>
    <row r="773">
      <c r="A773" s="0" t="inlineStr">
        <is>
          <t>USR-100772</t>
        </is>
      </c>
      <c r="B773" s="23" t="n">
        <v>45726</v>
      </c>
      <c r="C773" s="0" t="inlineStr">
        <is>
          <t>Treatment</t>
        </is>
      </c>
      <c r="D773" s="0" t="inlineStr">
        <is>
          <t>East</t>
        </is>
      </c>
      <c r="E773" s="0" t="inlineStr">
        <is>
          <t>Mobile</t>
        </is>
      </c>
      <c r="F773" s="0" t="inlineStr">
        <is>
          <t>Referral</t>
        </is>
      </c>
      <c r="G773" s="0" t="inlineStr">
        <is>
          <t>Basic</t>
        </is>
      </c>
      <c r="H773" s="0" t="n">
        <v>1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P773" s="0" t="n">
        <v>47.6</v>
      </c>
    </row>
    <row r="774">
      <c r="A774" s="0" t="inlineStr">
        <is>
          <t>USR-100773</t>
        </is>
      </c>
      <c r="B774" s="23" t="n">
        <v>45715</v>
      </c>
      <c r="C774" s="0" t="inlineStr">
        <is>
          <t>Treatment</t>
        </is>
      </c>
      <c r="D774" s="0" t="inlineStr">
        <is>
          <t>East</t>
        </is>
      </c>
      <c r="E774" s="0" t="inlineStr">
        <is>
          <t>Desktop</t>
        </is>
      </c>
      <c r="F774" s="0" t="inlineStr">
        <is>
          <t>Paid Search</t>
        </is>
      </c>
      <c r="G774" s="0" t="inlineStr">
        <is>
          <t>Free</t>
        </is>
      </c>
      <c r="H774" s="0" t="n">
        <v>1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P774" s="0" t="n">
        <v>56.7</v>
      </c>
    </row>
    <row r="775">
      <c r="A775" s="0" t="inlineStr">
        <is>
          <t>USR-100774</t>
        </is>
      </c>
      <c r="B775" s="23" t="n">
        <v>45726</v>
      </c>
      <c r="C775" s="0" t="inlineStr">
        <is>
          <t>Treatment</t>
        </is>
      </c>
      <c r="D775" s="0" t="inlineStr">
        <is>
          <t>North</t>
        </is>
      </c>
      <c r="E775" s="0" t="inlineStr">
        <is>
          <t>Desktop</t>
        </is>
      </c>
      <c r="F775" s="0" t="inlineStr">
        <is>
          <t>Referral</t>
        </is>
      </c>
      <c r="G775" s="0" t="inlineStr">
        <is>
          <t>Basic</t>
        </is>
      </c>
      <c r="H775" s="0" t="n">
        <v>1</v>
      </c>
      <c r="I775" s="0" t="n">
        <v>1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P775" s="0" t="n">
        <v>71.40000000000001</v>
      </c>
    </row>
    <row r="776">
      <c r="A776" s="0" t="inlineStr">
        <is>
          <t>USR-100775</t>
        </is>
      </c>
      <c r="B776" s="23" t="n">
        <v>45770</v>
      </c>
      <c r="C776" s="0" t="inlineStr">
        <is>
          <t>Treatment</t>
        </is>
      </c>
      <c r="D776" s="0" t="inlineStr">
        <is>
          <t>West</t>
        </is>
      </c>
      <c r="E776" s="0" t="inlineStr">
        <is>
          <t>Mobile</t>
        </is>
      </c>
      <c r="F776" s="0" t="inlineStr">
        <is>
          <t>Social</t>
        </is>
      </c>
      <c r="G776" s="0" t="inlineStr">
        <is>
          <t>Free</t>
        </is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2</v>
      </c>
      <c r="N776" s="0" t="n">
        <v>0</v>
      </c>
      <c r="P776" s="0" t="n">
        <v>60.5</v>
      </c>
    </row>
    <row r="777">
      <c r="A777" s="0" t="inlineStr">
        <is>
          <t>USR-100776</t>
        </is>
      </c>
      <c r="B777" s="23" t="n">
        <v>45759</v>
      </c>
      <c r="C777" s="0" t="inlineStr">
        <is>
          <t>Treatment</t>
        </is>
      </c>
      <c r="D777" s="0" t="inlineStr">
        <is>
          <t>North</t>
        </is>
      </c>
      <c r="E777" s="0" t="inlineStr">
        <is>
          <t>Desktop</t>
        </is>
      </c>
      <c r="F777" s="0" t="inlineStr">
        <is>
          <t>Paid Search</t>
        </is>
      </c>
      <c r="G777" s="0" t="inlineStr">
        <is>
          <t>Free</t>
        </is>
      </c>
      <c r="H777" s="0" t="n">
        <v>1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P777" s="0" t="n">
        <v>46.7</v>
      </c>
    </row>
    <row r="778">
      <c r="A778" s="0" t="inlineStr">
        <is>
          <t>USR-100777</t>
        </is>
      </c>
      <c r="B778" s="23" t="n">
        <v>45683</v>
      </c>
      <c r="C778" s="0" t="inlineStr">
        <is>
          <t>Treatment</t>
        </is>
      </c>
      <c r="D778" s="0" t="inlineStr">
        <is>
          <t>East</t>
        </is>
      </c>
      <c r="E778" s="0" t="inlineStr">
        <is>
          <t>Desktop</t>
        </is>
      </c>
      <c r="F778" s="0" t="inlineStr">
        <is>
          <t>Referral</t>
        </is>
      </c>
      <c r="G778" s="0" t="inlineStr">
        <is>
          <t>Free</t>
        </is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P778" s="0" t="n">
        <v>61</v>
      </c>
    </row>
    <row r="779">
      <c r="A779" s="0" t="inlineStr">
        <is>
          <t>USR-100778</t>
        </is>
      </c>
      <c r="B779" s="23" t="n">
        <v>45801</v>
      </c>
      <c r="C779" s="0" t="inlineStr">
        <is>
          <t>Treatment</t>
        </is>
      </c>
      <c r="D779" s="0" t="inlineStr">
        <is>
          <t>West</t>
        </is>
      </c>
      <c r="E779" s="0" t="inlineStr">
        <is>
          <t>Tablet</t>
        </is>
      </c>
      <c r="F779" s="0" t="inlineStr">
        <is>
          <t>Paid Search</t>
        </is>
      </c>
      <c r="G779" s="0" t="inlineStr">
        <is>
          <t>Free</t>
        </is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P779" s="0" t="n">
        <v>60.9</v>
      </c>
    </row>
    <row r="780">
      <c r="A780" s="0" t="inlineStr">
        <is>
          <t>USR-100779</t>
        </is>
      </c>
      <c r="B780" s="23" t="n">
        <v>45665</v>
      </c>
      <c r="C780" s="0" t="inlineStr">
        <is>
          <t>Treatment</t>
        </is>
      </c>
      <c r="D780" s="0" t="inlineStr">
        <is>
          <t>South</t>
        </is>
      </c>
      <c r="E780" s="0" t="inlineStr">
        <is>
          <t>Mobile</t>
        </is>
      </c>
      <c r="F780" s="0" t="inlineStr">
        <is>
          <t>Organic</t>
        </is>
      </c>
      <c r="G780" s="0" t="inlineStr">
        <is>
          <t>Free</t>
        </is>
      </c>
      <c r="H780" s="0" t="n">
        <v>1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P780" s="0" t="n">
        <v>67.09999999999999</v>
      </c>
    </row>
    <row r="781">
      <c r="A781" s="0" t="inlineStr">
        <is>
          <t>USR-100780</t>
        </is>
      </c>
      <c r="B781" s="23" t="n">
        <v>45762</v>
      </c>
      <c r="C781" s="0" t="inlineStr">
        <is>
          <t>Treatment</t>
        </is>
      </c>
      <c r="D781" s="0" t="inlineStr">
        <is>
          <t>North</t>
        </is>
      </c>
      <c r="E781" s="0" t="inlineStr">
        <is>
          <t>Mobile</t>
        </is>
      </c>
      <c r="F781" s="0" t="inlineStr">
        <is>
          <t>Referral</t>
        </is>
      </c>
      <c r="G781" s="0" t="inlineStr">
        <is>
          <t>Free</t>
        </is>
      </c>
      <c r="H781" s="0" t="n">
        <v>1</v>
      </c>
      <c r="I781" s="0" t="n">
        <v>1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P781" s="0" t="n">
        <v>59.6</v>
      </c>
    </row>
    <row r="782">
      <c r="A782" s="0" t="inlineStr">
        <is>
          <t>USR-100781</t>
        </is>
      </c>
      <c r="B782" s="23" t="n">
        <v>45672</v>
      </c>
      <c r="C782" s="0" t="inlineStr">
        <is>
          <t>Treatment</t>
        </is>
      </c>
      <c r="D782" s="0" t="inlineStr">
        <is>
          <t>South</t>
        </is>
      </c>
      <c r="E782" s="0" t="inlineStr">
        <is>
          <t>Desktop</t>
        </is>
      </c>
      <c r="F782" s="0" t="inlineStr">
        <is>
          <t>Paid Search</t>
        </is>
      </c>
      <c r="G782" s="0" t="inlineStr">
        <is>
          <t>Free</t>
        </is>
      </c>
      <c r="H782" s="0" t="n">
        <v>1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P782" s="0" t="n">
        <v>83.8</v>
      </c>
    </row>
    <row r="783">
      <c r="A783" s="0" t="inlineStr">
        <is>
          <t>USR-100782</t>
        </is>
      </c>
      <c r="B783" s="23" t="n">
        <v>45716</v>
      </c>
      <c r="C783" s="0" t="inlineStr">
        <is>
          <t>Treatment</t>
        </is>
      </c>
      <c r="D783" s="0" t="inlineStr">
        <is>
          <t>North</t>
        </is>
      </c>
      <c r="E783" s="0" t="inlineStr">
        <is>
          <t>Mobile</t>
        </is>
      </c>
      <c r="F783" s="0" t="inlineStr">
        <is>
          <t>Organic</t>
        </is>
      </c>
      <c r="G783" s="0" t="inlineStr">
        <is>
          <t>Basic</t>
        </is>
      </c>
      <c r="H783" s="0" t="n">
        <v>1</v>
      </c>
      <c r="I783" s="0" t="n">
        <v>1</v>
      </c>
      <c r="J783" s="0" t="n">
        <v>1</v>
      </c>
      <c r="K783" s="0" t="n">
        <v>0</v>
      </c>
      <c r="L783" s="0" t="n">
        <v>0</v>
      </c>
      <c r="M783" s="0" t="n">
        <v>0</v>
      </c>
      <c r="N783" s="0" t="n">
        <v>0</v>
      </c>
      <c r="P783" s="0" t="n">
        <v>70.8</v>
      </c>
    </row>
    <row r="784">
      <c r="A784" s="0" t="inlineStr">
        <is>
          <t>USR-100783</t>
        </is>
      </c>
      <c r="B784" s="23" t="n">
        <v>45658</v>
      </c>
      <c r="C784" s="0" t="inlineStr">
        <is>
          <t>Treatment</t>
        </is>
      </c>
      <c r="D784" s="0" t="inlineStr">
        <is>
          <t>North</t>
        </is>
      </c>
      <c r="E784" s="0" t="inlineStr">
        <is>
          <t>Tablet</t>
        </is>
      </c>
      <c r="F784" s="0" t="inlineStr">
        <is>
          <t>Organic</t>
        </is>
      </c>
      <c r="G784" s="0" t="inlineStr">
        <is>
          <t>Basic</t>
        </is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P784" s="0" t="n">
        <v>65.90000000000001</v>
      </c>
    </row>
    <row r="785">
      <c r="A785" s="0" t="inlineStr">
        <is>
          <t>USR-100784</t>
        </is>
      </c>
      <c r="B785" s="23" t="n">
        <v>45764</v>
      </c>
      <c r="C785" s="0" t="inlineStr">
        <is>
          <t>Treatment</t>
        </is>
      </c>
      <c r="D785" s="0" t="inlineStr">
        <is>
          <t>West</t>
        </is>
      </c>
      <c r="E785" s="0" t="inlineStr">
        <is>
          <t>Mobile</t>
        </is>
      </c>
      <c r="F785" s="0" t="inlineStr">
        <is>
          <t>Referral</t>
        </is>
      </c>
      <c r="G785" s="0" t="inlineStr">
        <is>
          <t>Free</t>
        </is>
      </c>
      <c r="H785" s="0" t="n">
        <v>1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P785" s="0" t="n">
        <v>58</v>
      </c>
    </row>
    <row r="786">
      <c r="A786" s="0" t="inlineStr">
        <is>
          <t>USR-100785</t>
        </is>
      </c>
      <c r="B786" s="23" t="n">
        <v>45707</v>
      </c>
      <c r="C786" s="0" t="inlineStr">
        <is>
          <t>Treatment</t>
        </is>
      </c>
      <c r="D786" s="0" t="inlineStr">
        <is>
          <t>North</t>
        </is>
      </c>
      <c r="E786" s="0" t="inlineStr">
        <is>
          <t>Mobile</t>
        </is>
      </c>
      <c r="F786" s="0" t="inlineStr">
        <is>
          <t>Email</t>
        </is>
      </c>
      <c r="G786" s="0" t="inlineStr">
        <is>
          <t>Basic</t>
        </is>
      </c>
      <c r="H786" s="0" t="n">
        <v>1</v>
      </c>
      <c r="I786" s="0" t="n">
        <v>1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P786" s="0" t="n">
        <v>80.3</v>
      </c>
    </row>
    <row r="787">
      <c r="A787" s="0" t="inlineStr">
        <is>
          <t>USR-100786</t>
        </is>
      </c>
      <c r="B787" s="23" t="n">
        <v>45730</v>
      </c>
      <c r="C787" s="0" t="inlineStr">
        <is>
          <t>Treatment</t>
        </is>
      </c>
      <c r="D787" s="0" t="inlineStr">
        <is>
          <t>North</t>
        </is>
      </c>
      <c r="E787" s="0" t="inlineStr">
        <is>
          <t>Desktop</t>
        </is>
      </c>
      <c r="F787" s="0" t="inlineStr">
        <is>
          <t>Organic</t>
        </is>
      </c>
      <c r="G787" s="0" t="inlineStr">
        <is>
          <t>Free</t>
        </is>
      </c>
      <c r="H787" s="0" t="n">
        <v>1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P787" s="0" t="n">
        <v>55.7</v>
      </c>
    </row>
    <row r="788">
      <c r="A788" s="0" t="inlineStr">
        <is>
          <t>USR-100787</t>
        </is>
      </c>
      <c r="B788" s="23" t="n">
        <v>45768</v>
      </c>
      <c r="C788" s="0" t="inlineStr">
        <is>
          <t>Treatment</t>
        </is>
      </c>
      <c r="D788" s="0" t="inlineStr">
        <is>
          <t>North</t>
        </is>
      </c>
      <c r="E788" s="0" t="inlineStr">
        <is>
          <t>Mobile</t>
        </is>
      </c>
      <c r="F788" s="0" t="inlineStr">
        <is>
          <t>Organic</t>
        </is>
      </c>
      <c r="G788" s="0" t="inlineStr">
        <is>
          <t>Free</t>
        </is>
      </c>
      <c r="H788" s="0" t="n">
        <v>1</v>
      </c>
      <c r="I788" s="0" t="n">
        <v>1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P788" s="0" t="n">
        <v>84.90000000000001</v>
      </c>
    </row>
    <row r="789">
      <c r="A789" s="0" t="inlineStr">
        <is>
          <t>USR-100788</t>
        </is>
      </c>
      <c r="B789" s="23" t="n">
        <v>45702</v>
      </c>
      <c r="C789" s="0" t="inlineStr">
        <is>
          <t>Treatment</t>
        </is>
      </c>
      <c r="D789" s="0" t="inlineStr">
        <is>
          <t>North</t>
        </is>
      </c>
      <c r="E789" s="0" t="inlineStr">
        <is>
          <t>Mobile</t>
        </is>
      </c>
      <c r="F789" s="0" t="inlineStr">
        <is>
          <t>Organic</t>
        </is>
      </c>
      <c r="G789" s="0" t="inlineStr">
        <is>
          <t>Free</t>
        </is>
      </c>
      <c r="H789" s="0" t="n">
        <v>1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P789" s="0" t="n">
        <v>63.3</v>
      </c>
    </row>
    <row r="790">
      <c r="A790" s="0" t="inlineStr">
        <is>
          <t>USR-100789</t>
        </is>
      </c>
      <c r="B790" s="23" t="n">
        <v>45807</v>
      </c>
      <c r="C790" s="0" t="inlineStr">
        <is>
          <t>Treatment</t>
        </is>
      </c>
      <c r="D790" s="0" t="inlineStr">
        <is>
          <t>West</t>
        </is>
      </c>
      <c r="E790" s="0" t="inlineStr">
        <is>
          <t>Mobile</t>
        </is>
      </c>
      <c r="F790" s="0" t="inlineStr">
        <is>
          <t>Organic</t>
        </is>
      </c>
      <c r="G790" s="0" t="inlineStr">
        <is>
          <t>Free</t>
        </is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P790" s="0" t="n">
        <v>53.1</v>
      </c>
    </row>
    <row r="791">
      <c r="A791" s="0" t="inlineStr">
        <is>
          <t>USR-100790</t>
        </is>
      </c>
      <c r="B791" s="23" t="n">
        <v>45677</v>
      </c>
      <c r="C791" s="0" t="inlineStr">
        <is>
          <t>Treatment</t>
        </is>
      </c>
      <c r="D791" s="0" t="inlineStr">
        <is>
          <t>West</t>
        </is>
      </c>
      <c r="E791" s="0" t="inlineStr">
        <is>
          <t>Mobile</t>
        </is>
      </c>
      <c r="F791" s="0" t="inlineStr">
        <is>
          <t>Organic</t>
        </is>
      </c>
      <c r="G791" s="0" t="inlineStr">
        <is>
          <t>Free</t>
        </is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P791" s="0" t="n">
        <v>66</v>
      </c>
    </row>
    <row r="792">
      <c r="A792" s="0" t="inlineStr">
        <is>
          <t>USR-100791</t>
        </is>
      </c>
      <c r="B792" s="23" t="n">
        <v>45733</v>
      </c>
      <c r="C792" s="0" t="inlineStr">
        <is>
          <t>Treatment</t>
        </is>
      </c>
      <c r="D792" s="0" t="inlineStr">
        <is>
          <t>West</t>
        </is>
      </c>
      <c r="E792" s="0" t="inlineStr">
        <is>
          <t>Mobile</t>
        </is>
      </c>
      <c r="F792" s="0" t="inlineStr">
        <is>
          <t>Social</t>
        </is>
      </c>
      <c r="G792" s="0" t="inlineStr">
        <is>
          <t>Premium</t>
        </is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P792" s="0" t="n">
        <v>54.7</v>
      </c>
    </row>
    <row r="793">
      <c r="A793" s="0" t="inlineStr">
        <is>
          <t>USR-100792</t>
        </is>
      </c>
      <c r="B793" s="23" t="n">
        <v>45720</v>
      </c>
      <c r="C793" s="0" t="inlineStr">
        <is>
          <t>Treatment</t>
        </is>
      </c>
      <c r="D793" s="0" t="inlineStr">
        <is>
          <t>West</t>
        </is>
      </c>
      <c r="E793" s="0" t="inlineStr">
        <is>
          <t>Mobile</t>
        </is>
      </c>
      <c r="F793" s="0" t="inlineStr">
        <is>
          <t>Social</t>
        </is>
      </c>
      <c r="G793" s="0" t="inlineStr">
        <is>
          <t>Free</t>
        </is>
      </c>
      <c r="H793" s="0" t="n">
        <v>1</v>
      </c>
      <c r="I793" s="0" t="n">
        <v>1</v>
      </c>
      <c r="J793" s="0" t="n">
        <v>0</v>
      </c>
      <c r="K793" s="0" t="n">
        <v>0</v>
      </c>
      <c r="L793" s="0" t="n">
        <v>0</v>
      </c>
      <c r="M793" s="0" t="n">
        <v>1</v>
      </c>
      <c r="N793" s="0" t="n">
        <v>0</v>
      </c>
      <c r="P793" s="0" t="n">
        <v>41.2</v>
      </c>
    </row>
    <row r="794">
      <c r="A794" s="0" t="inlineStr">
        <is>
          <t>USR-100793</t>
        </is>
      </c>
      <c r="B794" s="23" t="n">
        <v>45710</v>
      </c>
      <c r="C794" s="0" t="inlineStr">
        <is>
          <t>Treatment</t>
        </is>
      </c>
      <c r="D794" s="0" t="inlineStr">
        <is>
          <t>South</t>
        </is>
      </c>
      <c r="E794" s="0" t="inlineStr">
        <is>
          <t>Mobile</t>
        </is>
      </c>
      <c r="F794" s="0" t="inlineStr">
        <is>
          <t>Organic</t>
        </is>
      </c>
      <c r="G794" s="0" t="inlineStr">
        <is>
          <t>Premium</t>
        </is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P794" s="0" t="n">
        <v>66.7</v>
      </c>
    </row>
    <row r="795">
      <c r="A795" s="0" t="inlineStr">
        <is>
          <t>USR-100794</t>
        </is>
      </c>
      <c r="B795" s="23" t="n">
        <v>45779</v>
      </c>
      <c r="C795" s="0" t="inlineStr">
        <is>
          <t>Treatment</t>
        </is>
      </c>
      <c r="D795" s="0" t="inlineStr">
        <is>
          <t>North</t>
        </is>
      </c>
      <c r="E795" s="0" t="inlineStr">
        <is>
          <t>Mobile</t>
        </is>
      </c>
      <c r="F795" s="0" t="inlineStr">
        <is>
          <t>Paid Search</t>
        </is>
      </c>
      <c r="G795" s="0" t="inlineStr">
        <is>
          <t>Premium</t>
        </is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P795" s="0" t="n">
        <v>39.4</v>
      </c>
    </row>
    <row r="796">
      <c r="A796" s="0" t="inlineStr">
        <is>
          <t>USR-100795</t>
        </is>
      </c>
      <c r="B796" s="23" t="n">
        <v>45729</v>
      </c>
      <c r="C796" s="0" t="inlineStr">
        <is>
          <t>Treatment</t>
        </is>
      </c>
      <c r="D796" s="0" t="inlineStr">
        <is>
          <t>West</t>
        </is>
      </c>
      <c r="E796" s="0" t="inlineStr">
        <is>
          <t>Desktop</t>
        </is>
      </c>
      <c r="F796" s="0" t="inlineStr">
        <is>
          <t>Organic</t>
        </is>
      </c>
      <c r="G796" s="0" t="inlineStr">
        <is>
          <t>Premium</t>
        </is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3</v>
      </c>
      <c r="N796" s="0" t="n">
        <v>0</v>
      </c>
      <c r="P796" s="0" t="n">
        <v>67</v>
      </c>
    </row>
    <row r="797">
      <c r="A797" s="0" t="inlineStr">
        <is>
          <t>USR-100796</t>
        </is>
      </c>
      <c r="B797" s="23" t="n">
        <v>45808</v>
      </c>
      <c r="C797" s="0" t="inlineStr">
        <is>
          <t>Treatment</t>
        </is>
      </c>
      <c r="D797" s="0" t="inlineStr">
        <is>
          <t>South</t>
        </is>
      </c>
      <c r="E797" s="0" t="inlineStr">
        <is>
          <t>Mobile</t>
        </is>
      </c>
      <c r="F797" s="0" t="inlineStr">
        <is>
          <t>Organic</t>
        </is>
      </c>
      <c r="G797" s="0" t="inlineStr">
        <is>
          <t>Basic</t>
        </is>
      </c>
      <c r="H797" s="0" t="n">
        <v>1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P797" s="0" t="n">
        <v>50.4</v>
      </c>
    </row>
    <row r="798">
      <c r="A798" s="0" t="inlineStr">
        <is>
          <t>USR-100797</t>
        </is>
      </c>
      <c r="B798" s="23" t="n">
        <v>45723</v>
      </c>
      <c r="C798" s="0" t="inlineStr">
        <is>
          <t>Treatment</t>
        </is>
      </c>
      <c r="D798" s="0" t="inlineStr">
        <is>
          <t>West</t>
        </is>
      </c>
      <c r="E798" s="0" t="inlineStr">
        <is>
          <t>Desktop</t>
        </is>
      </c>
      <c r="F798" s="0" t="inlineStr">
        <is>
          <t>Social</t>
        </is>
      </c>
      <c r="G798" s="0" t="inlineStr">
        <is>
          <t>Free</t>
        </is>
      </c>
      <c r="H798" s="0" t="n">
        <v>1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P798" s="0" t="n">
        <v>53.8</v>
      </c>
    </row>
    <row r="799">
      <c r="A799" s="0" t="inlineStr">
        <is>
          <t>USR-100798</t>
        </is>
      </c>
      <c r="B799" s="23" t="n">
        <v>45710</v>
      </c>
      <c r="C799" s="0" t="inlineStr">
        <is>
          <t>Treatment</t>
        </is>
      </c>
      <c r="D799" s="0" t="inlineStr">
        <is>
          <t>West</t>
        </is>
      </c>
      <c r="E799" s="0" t="inlineStr">
        <is>
          <t>Mobile</t>
        </is>
      </c>
      <c r="F799" s="0" t="inlineStr">
        <is>
          <t>Paid Search</t>
        </is>
      </c>
      <c r="G799" s="0" t="inlineStr">
        <is>
          <t>Basic</t>
        </is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1</v>
      </c>
      <c r="N799" s="0" t="n">
        <v>0</v>
      </c>
      <c r="P799" s="0" t="n">
        <v>82.7</v>
      </c>
    </row>
    <row r="800">
      <c r="A800" s="0" t="inlineStr">
        <is>
          <t>USR-100799</t>
        </is>
      </c>
      <c r="B800" s="23" t="n">
        <v>45662</v>
      </c>
      <c r="C800" s="0" t="inlineStr">
        <is>
          <t>Treatment</t>
        </is>
      </c>
      <c r="D800" s="0" t="inlineStr">
        <is>
          <t>West</t>
        </is>
      </c>
      <c r="E800" s="0" t="inlineStr">
        <is>
          <t>Desktop</t>
        </is>
      </c>
      <c r="F800" s="0" t="inlineStr">
        <is>
          <t>Paid Search</t>
        </is>
      </c>
      <c r="G800" s="0" t="inlineStr">
        <is>
          <t>Free</t>
        </is>
      </c>
      <c r="H800" s="0" t="n">
        <v>1</v>
      </c>
      <c r="I800" s="0" t="n">
        <v>1</v>
      </c>
      <c r="J800" s="0" t="n">
        <v>1</v>
      </c>
      <c r="K800" s="0" t="n">
        <v>0</v>
      </c>
      <c r="L800" s="0" t="n">
        <v>0</v>
      </c>
      <c r="M800" s="0" t="n">
        <v>0</v>
      </c>
      <c r="N800" s="0" t="n">
        <v>0</v>
      </c>
      <c r="P800" s="0" t="n">
        <v>63.9</v>
      </c>
    </row>
    <row r="801">
      <c r="A801" s="0" t="inlineStr">
        <is>
          <t>USR-100800</t>
        </is>
      </c>
      <c r="B801" s="23" t="n">
        <v>45678</v>
      </c>
      <c r="C801" s="0" t="inlineStr">
        <is>
          <t>Treatment</t>
        </is>
      </c>
      <c r="D801" s="0" t="inlineStr">
        <is>
          <t>West</t>
        </is>
      </c>
      <c r="E801" s="0" t="inlineStr">
        <is>
          <t>Mobile</t>
        </is>
      </c>
      <c r="F801" s="0" t="inlineStr">
        <is>
          <t>Referral</t>
        </is>
      </c>
      <c r="G801" s="0" t="inlineStr">
        <is>
          <t>Free</t>
        </is>
      </c>
      <c r="H801" s="0" t="n">
        <v>1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P801" s="0" t="n">
        <v>61.9</v>
      </c>
    </row>
    <row r="802">
      <c r="A802" s="0" t="inlineStr">
        <is>
          <t>USR-100801</t>
        </is>
      </c>
      <c r="B802" s="23" t="n">
        <v>45682</v>
      </c>
      <c r="C802" s="0" t="inlineStr">
        <is>
          <t>Treatment</t>
        </is>
      </c>
      <c r="D802" s="0" t="inlineStr">
        <is>
          <t>North</t>
        </is>
      </c>
      <c r="E802" s="0" t="inlineStr">
        <is>
          <t>Desktop</t>
        </is>
      </c>
      <c r="F802" s="0" t="inlineStr">
        <is>
          <t>Social</t>
        </is>
      </c>
      <c r="G802" s="0" t="inlineStr">
        <is>
          <t>Free</t>
        </is>
      </c>
      <c r="H802" s="0" t="n">
        <v>1</v>
      </c>
      <c r="I802" s="0" t="n">
        <v>1</v>
      </c>
      <c r="J802" s="0" t="n">
        <v>1</v>
      </c>
      <c r="K802" s="0" t="n">
        <v>0</v>
      </c>
      <c r="L802" s="0" t="n">
        <v>0</v>
      </c>
      <c r="M802" s="0" t="n">
        <v>0</v>
      </c>
      <c r="N802" s="0" t="n">
        <v>0</v>
      </c>
      <c r="P802" s="0" t="n">
        <v>75</v>
      </c>
    </row>
    <row r="803">
      <c r="A803" s="0" t="inlineStr">
        <is>
          <t>USR-100802</t>
        </is>
      </c>
      <c r="B803" s="23" t="n">
        <v>45751</v>
      </c>
      <c r="C803" s="0" t="inlineStr">
        <is>
          <t>Treatment</t>
        </is>
      </c>
      <c r="D803" s="0" t="inlineStr">
        <is>
          <t>West</t>
        </is>
      </c>
      <c r="E803" s="0" t="inlineStr">
        <is>
          <t>Mobile</t>
        </is>
      </c>
      <c r="F803" s="0" t="inlineStr">
        <is>
          <t>Paid Search</t>
        </is>
      </c>
      <c r="G803" s="0" t="inlineStr">
        <is>
          <t>Basic</t>
        </is>
      </c>
      <c r="H803" s="0" t="n">
        <v>1</v>
      </c>
      <c r="I803" s="0" t="n">
        <v>1</v>
      </c>
      <c r="J803" s="0" t="n">
        <v>1</v>
      </c>
      <c r="K803" s="0" t="n">
        <v>0</v>
      </c>
      <c r="L803" s="0" t="n">
        <v>0</v>
      </c>
      <c r="M803" s="0" t="n">
        <v>0</v>
      </c>
      <c r="N803" s="0" t="n">
        <v>0</v>
      </c>
      <c r="P803" s="0" t="n">
        <v>43</v>
      </c>
    </row>
    <row r="804">
      <c r="A804" s="0" t="inlineStr">
        <is>
          <t>USR-100803</t>
        </is>
      </c>
      <c r="B804" s="23" t="n">
        <v>45741</v>
      </c>
      <c r="C804" s="0" t="inlineStr">
        <is>
          <t>Treatment</t>
        </is>
      </c>
      <c r="D804" s="0" t="inlineStr">
        <is>
          <t>North</t>
        </is>
      </c>
      <c r="E804" s="0" t="inlineStr">
        <is>
          <t>Desktop</t>
        </is>
      </c>
      <c r="F804" s="0" t="inlineStr">
        <is>
          <t>Social</t>
        </is>
      </c>
      <c r="G804" s="0" t="inlineStr">
        <is>
          <t>Premium</t>
        </is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P804" s="0" t="n">
        <v>54.3</v>
      </c>
    </row>
    <row r="805">
      <c r="A805" s="0" t="inlineStr">
        <is>
          <t>USR-100804</t>
        </is>
      </c>
      <c r="B805" s="23" t="n">
        <v>45735</v>
      </c>
      <c r="C805" s="0" t="inlineStr">
        <is>
          <t>Treatment</t>
        </is>
      </c>
      <c r="D805" s="0" t="inlineStr">
        <is>
          <t>West</t>
        </is>
      </c>
      <c r="E805" s="0" t="inlineStr">
        <is>
          <t>Mobile</t>
        </is>
      </c>
      <c r="F805" s="0" t="inlineStr">
        <is>
          <t>Social</t>
        </is>
      </c>
      <c r="G805" s="0" t="inlineStr">
        <is>
          <t>Free</t>
        </is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2</v>
      </c>
      <c r="N805" s="0" t="n">
        <v>0</v>
      </c>
      <c r="P805" s="0" t="n">
        <v>44.3</v>
      </c>
    </row>
    <row r="806">
      <c r="A806" s="0" t="inlineStr">
        <is>
          <t>USR-100805</t>
        </is>
      </c>
      <c r="B806" s="23" t="n">
        <v>45771</v>
      </c>
      <c r="C806" s="0" t="inlineStr">
        <is>
          <t>Treatment</t>
        </is>
      </c>
      <c r="D806" s="0" t="inlineStr">
        <is>
          <t>West</t>
        </is>
      </c>
      <c r="E806" s="0" t="inlineStr">
        <is>
          <t>Desktop</t>
        </is>
      </c>
      <c r="F806" s="0" t="inlineStr">
        <is>
          <t>Organic</t>
        </is>
      </c>
      <c r="G806" s="0" t="inlineStr">
        <is>
          <t>Free</t>
        </is>
      </c>
      <c r="H806" s="0" t="n">
        <v>1</v>
      </c>
      <c r="I806" s="0" t="n">
        <v>1</v>
      </c>
      <c r="J806" s="0" t="n">
        <v>1</v>
      </c>
      <c r="K806" s="0" t="n">
        <v>1</v>
      </c>
      <c r="L806" s="0" t="n">
        <v>402.88</v>
      </c>
      <c r="M806" s="0" t="n">
        <v>0</v>
      </c>
      <c r="N806" s="0" t="n">
        <v>0</v>
      </c>
      <c r="O806" s="0" t="n">
        <v>12</v>
      </c>
      <c r="P806" s="0" t="n">
        <v>76</v>
      </c>
    </row>
    <row r="807">
      <c r="A807" s="0" t="inlineStr">
        <is>
          <t>USR-100806</t>
        </is>
      </c>
      <c r="B807" s="23" t="n">
        <v>45751</v>
      </c>
      <c r="C807" s="0" t="inlineStr">
        <is>
          <t>Treatment</t>
        </is>
      </c>
      <c r="D807" s="0" t="inlineStr">
        <is>
          <t>South</t>
        </is>
      </c>
      <c r="E807" s="0" t="inlineStr">
        <is>
          <t>Tablet</t>
        </is>
      </c>
      <c r="F807" s="0" t="inlineStr">
        <is>
          <t>Organic</t>
        </is>
      </c>
      <c r="G807" s="0" t="inlineStr">
        <is>
          <t>Free</t>
        </is>
      </c>
      <c r="H807" s="0" t="n">
        <v>1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2</v>
      </c>
      <c r="N807" s="0" t="n">
        <v>0</v>
      </c>
      <c r="P807" s="0" t="n">
        <v>65.3</v>
      </c>
    </row>
    <row r="808">
      <c r="A808" s="0" t="inlineStr">
        <is>
          <t>USR-100807</t>
        </is>
      </c>
      <c r="B808" s="23" t="n">
        <v>45744</v>
      </c>
      <c r="C808" s="0" t="inlineStr">
        <is>
          <t>Treatment</t>
        </is>
      </c>
      <c r="D808" s="0" t="inlineStr">
        <is>
          <t>South</t>
        </is>
      </c>
      <c r="E808" s="0" t="inlineStr">
        <is>
          <t>Desktop</t>
        </is>
      </c>
      <c r="F808" s="0" t="inlineStr">
        <is>
          <t>Paid Search</t>
        </is>
      </c>
      <c r="G808" s="0" t="inlineStr">
        <is>
          <t>Premium</t>
        </is>
      </c>
      <c r="H808" s="0" t="n">
        <v>1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P808" s="0" t="n">
        <v>71.2</v>
      </c>
    </row>
    <row r="809">
      <c r="A809" s="0" t="inlineStr">
        <is>
          <t>USR-100808</t>
        </is>
      </c>
      <c r="B809" s="23" t="n">
        <v>45792</v>
      </c>
      <c r="C809" s="0" t="inlineStr">
        <is>
          <t>Treatment</t>
        </is>
      </c>
      <c r="D809" s="0" t="inlineStr">
        <is>
          <t>South</t>
        </is>
      </c>
      <c r="E809" s="0" t="inlineStr">
        <is>
          <t>Tablet</t>
        </is>
      </c>
      <c r="F809" s="0" t="inlineStr">
        <is>
          <t>Paid Search</t>
        </is>
      </c>
      <c r="G809" s="0" t="inlineStr">
        <is>
          <t>Free</t>
        </is>
      </c>
      <c r="H809" s="0" t="n">
        <v>1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P809" s="0" t="n">
        <v>77.90000000000001</v>
      </c>
    </row>
    <row r="810">
      <c r="A810" s="0" t="inlineStr">
        <is>
          <t>USR-100809</t>
        </is>
      </c>
      <c r="B810" s="23" t="n">
        <v>45729</v>
      </c>
      <c r="C810" s="0" t="inlineStr">
        <is>
          <t>Treatment</t>
        </is>
      </c>
      <c r="D810" s="0" t="inlineStr">
        <is>
          <t>West</t>
        </is>
      </c>
      <c r="E810" s="0" t="inlineStr">
        <is>
          <t>Mobile</t>
        </is>
      </c>
      <c r="F810" s="0" t="inlineStr">
        <is>
          <t>Paid Search</t>
        </is>
      </c>
      <c r="G810" s="0" t="inlineStr">
        <is>
          <t>Free</t>
        </is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P810" s="0" t="n">
        <v>48.6</v>
      </c>
    </row>
    <row r="811">
      <c r="A811" s="0" t="inlineStr">
        <is>
          <t>USR-100810</t>
        </is>
      </c>
      <c r="B811" s="23" t="n">
        <v>45742</v>
      </c>
      <c r="C811" s="0" t="inlineStr">
        <is>
          <t>Treatment</t>
        </is>
      </c>
      <c r="D811" s="0" t="inlineStr">
        <is>
          <t>North</t>
        </is>
      </c>
      <c r="E811" s="0" t="inlineStr">
        <is>
          <t>Mobile</t>
        </is>
      </c>
      <c r="F811" s="0" t="inlineStr">
        <is>
          <t>Social</t>
        </is>
      </c>
      <c r="G811" s="0" t="inlineStr">
        <is>
          <t>Premium</t>
        </is>
      </c>
      <c r="H811" s="0" t="n">
        <v>1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P811" s="0" t="n">
        <v>61.9</v>
      </c>
    </row>
    <row r="812">
      <c r="A812" s="0" t="inlineStr">
        <is>
          <t>USR-100811</t>
        </is>
      </c>
      <c r="B812" s="23" t="n">
        <v>45666</v>
      </c>
      <c r="C812" s="0" t="inlineStr">
        <is>
          <t>Treatment</t>
        </is>
      </c>
      <c r="D812" s="0" t="inlineStr">
        <is>
          <t>North</t>
        </is>
      </c>
      <c r="E812" s="0" t="inlineStr">
        <is>
          <t>Mobile</t>
        </is>
      </c>
      <c r="F812" s="0" t="inlineStr">
        <is>
          <t>Social</t>
        </is>
      </c>
      <c r="G812" s="0" t="inlineStr">
        <is>
          <t>Basic</t>
        </is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1</v>
      </c>
      <c r="N812" s="0" t="n">
        <v>0</v>
      </c>
      <c r="P812" s="0" t="n">
        <v>58.7</v>
      </c>
    </row>
    <row r="813">
      <c r="A813" s="0" t="inlineStr">
        <is>
          <t>USR-100812</t>
        </is>
      </c>
      <c r="B813" s="23" t="n">
        <v>45783</v>
      </c>
      <c r="C813" s="0" t="inlineStr">
        <is>
          <t>Treatment</t>
        </is>
      </c>
      <c r="D813" s="0" t="inlineStr">
        <is>
          <t>South</t>
        </is>
      </c>
      <c r="E813" s="0" t="inlineStr">
        <is>
          <t>Desktop</t>
        </is>
      </c>
      <c r="F813" s="0" t="inlineStr">
        <is>
          <t>Paid Search</t>
        </is>
      </c>
      <c r="G813" s="0" t="inlineStr">
        <is>
          <t>Free</t>
        </is>
      </c>
      <c r="H813" s="0" t="n">
        <v>1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P813" s="0" t="n">
        <v>69.59999999999999</v>
      </c>
    </row>
    <row r="814">
      <c r="A814" s="0" t="inlineStr">
        <is>
          <t>USR-100813</t>
        </is>
      </c>
      <c r="B814" s="23" t="n">
        <v>45705</v>
      </c>
      <c r="C814" s="0" t="inlineStr">
        <is>
          <t>Treatment</t>
        </is>
      </c>
      <c r="D814" s="0" t="inlineStr">
        <is>
          <t>South</t>
        </is>
      </c>
      <c r="E814" s="0" t="inlineStr">
        <is>
          <t>Mobile</t>
        </is>
      </c>
      <c r="F814" s="0" t="inlineStr">
        <is>
          <t>Organic</t>
        </is>
      </c>
      <c r="G814" s="0" t="inlineStr">
        <is>
          <t>Free</t>
        </is>
      </c>
      <c r="H814" s="0" t="n">
        <v>1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P814" s="0" t="n">
        <v>51.5</v>
      </c>
    </row>
    <row r="815">
      <c r="A815" s="0" t="inlineStr">
        <is>
          <t>USR-100814</t>
        </is>
      </c>
      <c r="B815" s="23" t="n">
        <v>45752</v>
      </c>
      <c r="C815" s="0" t="inlineStr">
        <is>
          <t>Treatment</t>
        </is>
      </c>
      <c r="D815" s="0" t="inlineStr">
        <is>
          <t>East</t>
        </is>
      </c>
      <c r="E815" s="0" t="inlineStr">
        <is>
          <t>Mobile</t>
        </is>
      </c>
      <c r="F815" s="0" t="inlineStr">
        <is>
          <t>Paid Search</t>
        </is>
      </c>
      <c r="G815" s="0" t="inlineStr">
        <is>
          <t>Free</t>
        </is>
      </c>
      <c r="H815" s="0" t="n">
        <v>1</v>
      </c>
      <c r="I815" s="0" t="n">
        <v>1</v>
      </c>
      <c r="J815" s="0" t="n">
        <v>1</v>
      </c>
      <c r="K815" s="0" t="n">
        <v>1</v>
      </c>
      <c r="L815" s="0" t="n">
        <v>277.69</v>
      </c>
      <c r="M815" s="0" t="n">
        <v>3</v>
      </c>
      <c r="N815" s="0" t="n">
        <v>0</v>
      </c>
      <c r="O815" s="0" t="n">
        <v>8</v>
      </c>
      <c r="P815" s="0" t="n">
        <v>46</v>
      </c>
    </row>
    <row r="816">
      <c r="A816" s="0" t="inlineStr">
        <is>
          <t>USR-100815</t>
        </is>
      </c>
      <c r="B816" s="23" t="n">
        <v>45760</v>
      </c>
      <c r="C816" s="0" t="inlineStr">
        <is>
          <t>Treatment</t>
        </is>
      </c>
      <c r="D816" s="0" t="inlineStr">
        <is>
          <t>West</t>
        </is>
      </c>
      <c r="E816" s="0" t="inlineStr">
        <is>
          <t>Tablet</t>
        </is>
      </c>
      <c r="F816" s="0" t="inlineStr">
        <is>
          <t>Organic</t>
        </is>
      </c>
      <c r="G816" s="0" t="inlineStr">
        <is>
          <t>Free</t>
        </is>
      </c>
      <c r="H816" s="0" t="n">
        <v>1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P816" s="0" t="n">
        <v>81.7</v>
      </c>
    </row>
    <row r="817">
      <c r="A817" s="0" t="inlineStr">
        <is>
          <t>USR-100816</t>
        </is>
      </c>
      <c r="B817" s="23" t="n">
        <v>45797</v>
      </c>
      <c r="C817" s="0" t="inlineStr">
        <is>
          <t>Treatment</t>
        </is>
      </c>
      <c r="D817" s="0" t="inlineStr">
        <is>
          <t>East</t>
        </is>
      </c>
      <c r="E817" s="0" t="inlineStr">
        <is>
          <t>Desktop</t>
        </is>
      </c>
      <c r="F817" s="0" t="inlineStr">
        <is>
          <t>Referral</t>
        </is>
      </c>
      <c r="G817" s="0" t="inlineStr">
        <is>
          <t>Free</t>
        </is>
      </c>
      <c r="H817" s="0" t="n">
        <v>1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P817" s="0" t="n">
        <v>48.3</v>
      </c>
    </row>
    <row r="818">
      <c r="A818" s="0" t="inlineStr">
        <is>
          <t>USR-100817</t>
        </is>
      </c>
      <c r="B818" s="23" t="n">
        <v>45747</v>
      </c>
      <c r="C818" s="0" t="inlineStr">
        <is>
          <t>Treatment</t>
        </is>
      </c>
      <c r="D818" s="0" t="inlineStr">
        <is>
          <t>East</t>
        </is>
      </c>
      <c r="E818" s="0" t="inlineStr">
        <is>
          <t>Mobile</t>
        </is>
      </c>
      <c r="F818" s="0" t="inlineStr">
        <is>
          <t>Email</t>
        </is>
      </c>
      <c r="G818" s="0" t="inlineStr">
        <is>
          <t>Free</t>
        </is>
      </c>
      <c r="H818" s="0" t="n">
        <v>1</v>
      </c>
      <c r="I818" s="0" t="n">
        <v>1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P818" s="0" t="n">
        <v>85.59999999999999</v>
      </c>
    </row>
    <row r="819">
      <c r="A819" s="0" t="inlineStr">
        <is>
          <t>USR-100818</t>
        </is>
      </c>
      <c r="B819" s="23" t="n">
        <v>45750</v>
      </c>
      <c r="C819" s="0" t="inlineStr">
        <is>
          <t>Treatment</t>
        </is>
      </c>
      <c r="D819" s="0" t="inlineStr">
        <is>
          <t>West</t>
        </is>
      </c>
      <c r="E819" s="0" t="inlineStr">
        <is>
          <t>Tablet</t>
        </is>
      </c>
      <c r="F819" s="0" t="inlineStr">
        <is>
          <t>Paid Search</t>
        </is>
      </c>
      <c r="G819" s="0" t="inlineStr">
        <is>
          <t>Basic</t>
        </is>
      </c>
      <c r="H819" s="0" t="n">
        <v>1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P819" s="0" t="n">
        <v>53.8</v>
      </c>
    </row>
    <row r="820">
      <c r="A820" s="0" t="inlineStr">
        <is>
          <t>USR-100819</t>
        </is>
      </c>
      <c r="B820" s="23" t="n">
        <v>45692</v>
      </c>
      <c r="C820" s="0" t="inlineStr">
        <is>
          <t>Treatment</t>
        </is>
      </c>
      <c r="D820" s="0" t="inlineStr">
        <is>
          <t>South</t>
        </is>
      </c>
      <c r="E820" s="0" t="inlineStr">
        <is>
          <t>Mobile</t>
        </is>
      </c>
      <c r="F820" s="0" t="inlineStr">
        <is>
          <t>Organic</t>
        </is>
      </c>
      <c r="G820" s="0" t="inlineStr">
        <is>
          <t>Free</t>
        </is>
      </c>
      <c r="H820" s="0" t="n">
        <v>1</v>
      </c>
      <c r="I820" s="0" t="n">
        <v>1</v>
      </c>
      <c r="J820" s="0" t="n">
        <v>1</v>
      </c>
      <c r="K820" s="0" t="n">
        <v>1</v>
      </c>
      <c r="L820" s="0" t="n">
        <v>460.83</v>
      </c>
      <c r="M820" s="0" t="n">
        <v>2</v>
      </c>
      <c r="N820" s="0" t="n">
        <v>0</v>
      </c>
      <c r="O820" s="0" t="n">
        <v>0</v>
      </c>
      <c r="P820" s="0" t="n">
        <v>69.7</v>
      </c>
    </row>
    <row r="821">
      <c r="A821" s="0" t="inlineStr">
        <is>
          <t>USR-100820</t>
        </is>
      </c>
      <c r="B821" s="23" t="n">
        <v>45796</v>
      </c>
      <c r="C821" s="0" t="inlineStr">
        <is>
          <t>Treatment</t>
        </is>
      </c>
      <c r="D821" s="0" t="inlineStr">
        <is>
          <t>East</t>
        </is>
      </c>
      <c r="E821" s="0" t="inlineStr">
        <is>
          <t>Mobile</t>
        </is>
      </c>
      <c r="F821" s="0" t="inlineStr">
        <is>
          <t>Organic</t>
        </is>
      </c>
      <c r="G821" s="0" t="inlineStr">
        <is>
          <t>Free</t>
        </is>
      </c>
      <c r="H821" s="0" t="n">
        <v>1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P821" s="0" t="n">
        <v>74.8</v>
      </c>
    </row>
    <row r="822">
      <c r="A822" s="0" t="inlineStr">
        <is>
          <t>USR-100821</t>
        </is>
      </c>
      <c r="B822" s="23" t="n">
        <v>45724</v>
      </c>
      <c r="C822" s="0" t="inlineStr">
        <is>
          <t>Treatment</t>
        </is>
      </c>
      <c r="D822" s="0" t="inlineStr">
        <is>
          <t>East</t>
        </is>
      </c>
      <c r="E822" s="0" t="inlineStr">
        <is>
          <t>Desktop</t>
        </is>
      </c>
      <c r="F822" s="0" t="inlineStr">
        <is>
          <t>Paid Search</t>
        </is>
      </c>
      <c r="G822" s="0" t="inlineStr">
        <is>
          <t>Basic</t>
        </is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P822" s="0" t="n">
        <v>87.90000000000001</v>
      </c>
    </row>
    <row r="823">
      <c r="A823" s="0" t="inlineStr">
        <is>
          <t>USR-100822</t>
        </is>
      </c>
      <c r="B823" s="23" t="n">
        <v>45787</v>
      </c>
      <c r="C823" s="0" t="inlineStr">
        <is>
          <t>Treatment</t>
        </is>
      </c>
      <c r="D823" s="0" t="inlineStr">
        <is>
          <t>North</t>
        </is>
      </c>
      <c r="E823" s="0" t="inlineStr">
        <is>
          <t>Mobile</t>
        </is>
      </c>
      <c r="F823" s="0" t="inlineStr">
        <is>
          <t>Social</t>
        </is>
      </c>
      <c r="G823" s="0" t="inlineStr">
        <is>
          <t>Basic</t>
        </is>
      </c>
      <c r="H823" s="0" t="n">
        <v>1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1</v>
      </c>
      <c r="N823" s="0" t="n">
        <v>0</v>
      </c>
      <c r="P823" s="0" t="n">
        <v>49.1</v>
      </c>
    </row>
    <row r="824">
      <c r="A824" s="0" t="inlineStr">
        <is>
          <t>USR-100823</t>
        </is>
      </c>
      <c r="B824" s="23" t="n">
        <v>45659</v>
      </c>
      <c r="C824" s="0" t="inlineStr">
        <is>
          <t>Treatment</t>
        </is>
      </c>
      <c r="D824" s="0" t="inlineStr">
        <is>
          <t>East</t>
        </is>
      </c>
      <c r="E824" s="0" t="inlineStr">
        <is>
          <t>Desktop</t>
        </is>
      </c>
      <c r="F824" s="0" t="inlineStr">
        <is>
          <t>Social</t>
        </is>
      </c>
      <c r="G824" s="0" t="inlineStr">
        <is>
          <t>Basic</t>
        </is>
      </c>
      <c r="H824" s="0" t="n">
        <v>1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2</v>
      </c>
      <c r="N824" s="0" t="n">
        <v>0</v>
      </c>
      <c r="P824" s="0" t="n">
        <v>73</v>
      </c>
    </row>
    <row r="825">
      <c r="A825" s="0" t="inlineStr">
        <is>
          <t>USR-100824</t>
        </is>
      </c>
      <c r="B825" s="23" t="n">
        <v>45674</v>
      </c>
      <c r="C825" s="0" t="inlineStr">
        <is>
          <t>Treatment</t>
        </is>
      </c>
      <c r="D825" s="0" t="inlineStr">
        <is>
          <t>West</t>
        </is>
      </c>
      <c r="E825" s="0" t="inlineStr">
        <is>
          <t>Mobile</t>
        </is>
      </c>
      <c r="F825" s="0" t="inlineStr">
        <is>
          <t>Organic</t>
        </is>
      </c>
      <c r="G825" s="0" t="inlineStr">
        <is>
          <t>Basic</t>
        </is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P825" s="0" t="n">
        <v>79.5</v>
      </c>
    </row>
    <row r="826">
      <c r="A826" s="0" t="inlineStr">
        <is>
          <t>USR-100825</t>
        </is>
      </c>
      <c r="B826" s="23" t="n">
        <v>45798</v>
      </c>
      <c r="C826" s="0" t="inlineStr">
        <is>
          <t>Treatment</t>
        </is>
      </c>
      <c r="D826" s="0" t="inlineStr">
        <is>
          <t>West</t>
        </is>
      </c>
      <c r="E826" s="0" t="inlineStr">
        <is>
          <t>Mobile</t>
        </is>
      </c>
      <c r="F826" s="0" t="inlineStr">
        <is>
          <t>Referral</t>
        </is>
      </c>
      <c r="G826" s="0" t="inlineStr">
        <is>
          <t>Basic</t>
        </is>
      </c>
      <c r="H826" s="0" t="n">
        <v>1</v>
      </c>
      <c r="I826" s="0" t="n">
        <v>1</v>
      </c>
      <c r="J826" s="0" t="n">
        <v>1</v>
      </c>
      <c r="K826" s="0" t="n">
        <v>1</v>
      </c>
      <c r="L826" s="0" t="n">
        <v>782.23</v>
      </c>
      <c r="M826" s="0" t="n">
        <v>1</v>
      </c>
      <c r="N826" s="0" t="n">
        <v>0</v>
      </c>
      <c r="O826" s="0" t="n">
        <v>6</v>
      </c>
      <c r="P826" s="0" t="n">
        <v>93.2</v>
      </c>
    </row>
    <row r="827">
      <c r="A827" s="0" t="inlineStr">
        <is>
          <t>USR-100826</t>
        </is>
      </c>
      <c r="B827" s="23" t="n">
        <v>45802</v>
      </c>
      <c r="C827" s="0" t="inlineStr">
        <is>
          <t>Treatment</t>
        </is>
      </c>
      <c r="D827" s="0" t="inlineStr">
        <is>
          <t>East</t>
        </is>
      </c>
      <c r="E827" s="0" t="inlineStr">
        <is>
          <t>Desktop</t>
        </is>
      </c>
      <c r="F827" s="0" t="inlineStr">
        <is>
          <t>Referral</t>
        </is>
      </c>
      <c r="G827" s="0" t="inlineStr">
        <is>
          <t>Free</t>
        </is>
      </c>
      <c r="H827" s="0" t="n">
        <v>1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3</v>
      </c>
      <c r="N827" s="0" t="n">
        <v>0</v>
      </c>
      <c r="P827" s="0" t="n">
        <v>77.5</v>
      </c>
    </row>
    <row r="828">
      <c r="A828" s="0" t="inlineStr">
        <is>
          <t>USR-100827</t>
        </is>
      </c>
      <c r="B828" s="23" t="n">
        <v>45662</v>
      </c>
      <c r="C828" s="0" t="inlineStr">
        <is>
          <t>Treatment</t>
        </is>
      </c>
      <c r="D828" s="0" t="inlineStr">
        <is>
          <t>West</t>
        </is>
      </c>
      <c r="E828" s="0" t="inlineStr">
        <is>
          <t>Mobile</t>
        </is>
      </c>
      <c r="F828" s="0" t="inlineStr">
        <is>
          <t>Email</t>
        </is>
      </c>
      <c r="G828" s="0" t="inlineStr">
        <is>
          <t>Basic</t>
        </is>
      </c>
      <c r="H828" s="0" t="n">
        <v>1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P828" s="0" t="n">
        <v>61</v>
      </c>
    </row>
    <row r="829">
      <c r="A829" s="0" t="inlineStr">
        <is>
          <t>USR-100828</t>
        </is>
      </c>
      <c r="B829" s="23" t="n">
        <v>45712</v>
      </c>
      <c r="C829" s="0" t="inlineStr">
        <is>
          <t>Treatment</t>
        </is>
      </c>
      <c r="D829" s="0" t="inlineStr">
        <is>
          <t>South</t>
        </is>
      </c>
      <c r="E829" s="0" t="inlineStr">
        <is>
          <t>Desktop</t>
        </is>
      </c>
      <c r="F829" s="0" t="inlineStr">
        <is>
          <t>Organic</t>
        </is>
      </c>
      <c r="G829" s="0" t="inlineStr">
        <is>
          <t>Free</t>
        </is>
      </c>
      <c r="H829" s="0" t="n">
        <v>1</v>
      </c>
      <c r="I829" s="0" t="n">
        <v>1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P829" s="0" t="n">
        <v>64.90000000000001</v>
      </c>
    </row>
    <row r="830">
      <c r="A830" s="0" t="inlineStr">
        <is>
          <t>USR-100829</t>
        </is>
      </c>
      <c r="B830" s="23" t="n">
        <v>45678</v>
      </c>
      <c r="C830" s="0" t="inlineStr">
        <is>
          <t>Treatment</t>
        </is>
      </c>
      <c r="D830" s="0" t="inlineStr">
        <is>
          <t>East</t>
        </is>
      </c>
      <c r="E830" s="0" t="inlineStr">
        <is>
          <t>Mobile</t>
        </is>
      </c>
      <c r="F830" s="0" t="inlineStr">
        <is>
          <t>Paid Search</t>
        </is>
      </c>
      <c r="G830" s="0" t="inlineStr">
        <is>
          <t>Basic</t>
        </is>
      </c>
      <c r="H830" s="0" t="n">
        <v>1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P830" s="0" t="n">
        <v>87.5</v>
      </c>
    </row>
    <row r="831">
      <c r="A831" s="0" t="inlineStr">
        <is>
          <t>USR-100830</t>
        </is>
      </c>
      <c r="B831" s="23" t="n">
        <v>45771</v>
      </c>
      <c r="C831" s="0" t="inlineStr">
        <is>
          <t>Treatment</t>
        </is>
      </c>
      <c r="D831" s="0" t="inlineStr">
        <is>
          <t>North</t>
        </is>
      </c>
      <c r="E831" s="0" t="inlineStr">
        <is>
          <t>Mobile</t>
        </is>
      </c>
      <c r="F831" s="0" t="inlineStr">
        <is>
          <t>Organic</t>
        </is>
      </c>
      <c r="G831" s="0" t="inlineStr">
        <is>
          <t>Basic</t>
        </is>
      </c>
      <c r="H831" s="0" t="n">
        <v>1</v>
      </c>
      <c r="I831" s="0" t="n">
        <v>1</v>
      </c>
      <c r="J831" s="0" t="n">
        <v>1</v>
      </c>
      <c r="K831" s="0" t="n">
        <v>1</v>
      </c>
      <c r="L831" s="0" t="n">
        <v>1171.99</v>
      </c>
      <c r="M831" s="0" t="n">
        <v>0</v>
      </c>
      <c r="N831" s="0" t="n">
        <v>0</v>
      </c>
      <c r="O831" s="0" t="n">
        <v>5</v>
      </c>
      <c r="P831" s="0" t="n">
        <v>80.59999999999999</v>
      </c>
    </row>
    <row r="832">
      <c r="A832" s="0" t="inlineStr">
        <is>
          <t>USR-100831</t>
        </is>
      </c>
      <c r="B832" s="23" t="n">
        <v>45664</v>
      </c>
      <c r="C832" s="0" t="inlineStr">
        <is>
          <t>Treatment</t>
        </is>
      </c>
      <c r="D832" s="0" t="inlineStr">
        <is>
          <t>West</t>
        </is>
      </c>
      <c r="E832" s="0" t="inlineStr">
        <is>
          <t>Desktop</t>
        </is>
      </c>
      <c r="F832" s="0" t="inlineStr">
        <is>
          <t>Organic</t>
        </is>
      </c>
      <c r="G832" s="0" t="inlineStr">
        <is>
          <t>Free</t>
        </is>
      </c>
      <c r="H832" s="0" t="n">
        <v>1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P832" s="0" t="n">
        <v>66.90000000000001</v>
      </c>
    </row>
    <row r="833">
      <c r="A833" s="0" t="inlineStr">
        <is>
          <t>USR-100832</t>
        </is>
      </c>
      <c r="B833" s="23" t="n">
        <v>45808</v>
      </c>
      <c r="C833" s="0" t="inlineStr">
        <is>
          <t>Treatment</t>
        </is>
      </c>
      <c r="D833" s="0" t="inlineStr">
        <is>
          <t>South</t>
        </is>
      </c>
      <c r="E833" s="0" t="inlineStr">
        <is>
          <t>Tablet</t>
        </is>
      </c>
      <c r="F833" s="0" t="inlineStr">
        <is>
          <t>Organic</t>
        </is>
      </c>
      <c r="G833" s="0" t="inlineStr">
        <is>
          <t>Basic</t>
        </is>
      </c>
      <c r="H833" s="0" t="n">
        <v>1</v>
      </c>
      <c r="I833" s="0" t="n">
        <v>1</v>
      </c>
      <c r="J833" s="0" t="n">
        <v>1</v>
      </c>
      <c r="K833" s="0" t="n">
        <v>0</v>
      </c>
      <c r="L833" s="0" t="n">
        <v>0</v>
      </c>
      <c r="M833" s="0" t="n">
        <v>0</v>
      </c>
      <c r="N833" s="0" t="n">
        <v>0</v>
      </c>
      <c r="P833" s="0" t="n">
        <v>58.8</v>
      </c>
    </row>
    <row r="834">
      <c r="A834" s="0" t="inlineStr">
        <is>
          <t>USR-100833</t>
        </is>
      </c>
      <c r="B834" s="23" t="n">
        <v>45749</v>
      </c>
      <c r="C834" s="0" t="inlineStr">
        <is>
          <t>Treatment</t>
        </is>
      </c>
      <c r="D834" s="0" t="inlineStr">
        <is>
          <t>North</t>
        </is>
      </c>
      <c r="E834" s="0" t="inlineStr">
        <is>
          <t>Desktop</t>
        </is>
      </c>
      <c r="F834" s="0" t="inlineStr">
        <is>
          <t>Organic</t>
        </is>
      </c>
      <c r="G834" s="0" t="inlineStr">
        <is>
          <t>Basic</t>
        </is>
      </c>
      <c r="H834" s="0" t="n">
        <v>1</v>
      </c>
      <c r="I834" s="0" t="n">
        <v>1</v>
      </c>
      <c r="J834" s="0" t="n">
        <v>1</v>
      </c>
      <c r="K834" s="0" t="n">
        <v>1</v>
      </c>
      <c r="L834" s="0" t="n">
        <v>1010.4</v>
      </c>
      <c r="M834" s="0" t="n">
        <v>0</v>
      </c>
      <c r="N834" s="0" t="n">
        <v>0</v>
      </c>
      <c r="O834" s="0" t="n">
        <v>4</v>
      </c>
      <c r="P834" s="0" t="n">
        <v>42.9</v>
      </c>
    </row>
    <row r="835">
      <c r="A835" s="0" t="inlineStr">
        <is>
          <t>USR-100834</t>
        </is>
      </c>
      <c r="B835" s="23" t="n">
        <v>45768</v>
      </c>
      <c r="C835" s="0" t="inlineStr">
        <is>
          <t>Treatment</t>
        </is>
      </c>
      <c r="D835" s="0" t="inlineStr">
        <is>
          <t>East</t>
        </is>
      </c>
      <c r="E835" s="0" t="inlineStr">
        <is>
          <t>Mobile</t>
        </is>
      </c>
      <c r="F835" s="0" t="inlineStr">
        <is>
          <t>Organic</t>
        </is>
      </c>
      <c r="G835" s="0" t="inlineStr">
        <is>
          <t>Free</t>
        </is>
      </c>
      <c r="H835" s="0" t="n">
        <v>1</v>
      </c>
      <c r="I835" s="0" t="n">
        <v>1</v>
      </c>
      <c r="J835" s="0" t="n">
        <v>1</v>
      </c>
      <c r="K835" s="0" t="n">
        <v>0</v>
      </c>
      <c r="L835" s="0" t="n">
        <v>0</v>
      </c>
      <c r="M835" s="0" t="n">
        <v>1</v>
      </c>
      <c r="N835" s="0" t="n">
        <v>0</v>
      </c>
      <c r="P835" s="0" t="n">
        <v>60.2</v>
      </c>
    </row>
    <row r="836">
      <c r="A836" s="0" t="inlineStr">
        <is>
          <t>USR-100835</t>
        </is>
      </c>
      <c r="B836" s="23" t="n">
        <v>45782</v>
      </c>
      <c r="C836" s="0" t="inlineStr">
        <is>
          <t>Treatment</t>
        </is>
      </c>
      <c r="D836" s="0" t="inlineStr">
        <is>
          <t>East</t>
        </is>
      </c>
      <c r="E836" s="0" t="inlineStr">
        <is>
          <t>Mobile</t>
        </is>
      </c>
      <c r="F836" s="0" t="inlineStr">
        <is>
          <t>Paid Search</t>
        </is>
      </c>
      <c r="G836" s="0" t="inlineStr">
        <is>
          <t>Basic</t>
        </is>
      </c>
      <c r="H836" s="0" t="n">
        <v>1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P836" s="0" t="n">
        <v>42.7</v>
      </c>
    </row>
    <row r="837">
      <c r="A837" s="0" t="inlineStr">
        <is>
          <t>USR-100836</t>
        </is>
      </c>
      <c r="B837" s="23" t="n">
        <v>45663</v>
      </c>
      <c r="C837" s="0" t="inlineStr">
        <is>
          <t>Treatment</t>
        </is>
      </c>
      <c r="D837" s="0" t="inlineStr">
        <is>
          <t>North</t>
        </is>
      </c>
      <c r="E837" s="0" t="inlineStr">
        <is>
          <t>Desktop</t>
        </is>
      </c>
      <c r="F837" s="0" t="inlineStr">
        <is>
          <t>Social</t>
        </is>
      </c>
      <c r="G837" s="0" t="inlineStr">
        <is>
          <t>Free</t>
        </is>
      </c>
      <c r="H837" s="0" t="n">
        <v>1</v>
      </c>
      <c r="I837" s="0" t="n">
        <v>1</v>
      </c>
      <c r="J837" s="0" t="n">
        <v>1</v>
      </c>
      <c r="K837" s="0" t="n">
        <v>1</v>
      </c>
      <c r="L837" s="0" t="n">
        <v>431.27</v>
      </c>
      <c r="M837" s="0" t="n">
        <v>0</v>
      </c>
      <c r="N837" s="0" t="n">
        <v>0</v>
      </c>
      <c r="O837" s="0" t="n">
        <v>7</v>
      </c>
      <c r="P837" s="0" t="n">
        <v>60.8</v>
      </c>
    </row>
    <row r="838">
      <c r="A838" s="0" t="inlineStr">
        <is>
          <t>USR-100837</t>
        </is>
      </c>
      <c r="B838" s="23" t="n">
        <v>45771</v>
      </c>
      <c r="C838" s="0" t="inlineStr">
        <is>
          <t>Treatment</t>
        </is>
      </c>
      <c r="D838" s="0" t="inlineStr">
        <is>
          <t>South</t>
        </is>
      </c>
      <c r="E838" s="0" t="inlineStr">
        <is>
          <t>Mobile</t>
        </is>
      </c>
      <c r="F838" s="0" t="inlineStr">
        <is>
          <t>Referral</t>
        </is>
      </c>
      <c r="G838" s="0" t="inlineStr">
        <is>
          <t>Free</t>
        </is>
      </c>
      <c r="H838" s="0" t="n">
        <v>1</v>
      </c>
      <c r="I838" s="0" t="n">
        <v>1</v>
      </c>
      <c r="J838" s="0" t="n">
        <v>1</v>
      </c>
      <c r="K838" s="0" t="n">
        <v>1</v>
      </c>
      <c r="L838" s="0" t="n">
        <v>428.8</v>
      </c>
      <c r="M838" s="0" t="n">
        <v>0</v>
      </c>
      <c r="N838" s="0" t="n">
        <v>0</v>
      </c>
      <c r="O838" s="0" t="n">
        <v>9</v>
      </c>
      <c r="P838" s="0" t="n">
        <v>79.3</v>
      </c>
    </row>
    <row r="839">
      <c r="A839" s="0" t="inlineStr">
        <is>
          <t>USR-100838</t>
        </is>
      </c>
      <c r="B839" s="23" t="n">
        <v>45768</v>
      </c>
      <c r="C839" s="0" t="inlineStr">
        <is>
          <t>Treatment</t>
        </is>
      </c>
      <c r="D839" s="0" t="inlineStr">
        <is>
          <t>South</t>
        </is>
      </c>
      <c r="E839" s="0" t="inlineStr">
        <is>
          <t>Mobile</t>
        </is>
      </c>
      <c r="F839" s="0" t="inlineStr">
        <is>
          <t>Organic</t>
        </is>
      </c>
      <c r="G839" s="0" t="inlineStr">
        <is>
          <t>Basic</t>
        </is>
      </c>
      <c r="H839" s="0" t="n">
        <v>1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0</v>
      </c>
      <c r="P839" s="0" t="n">
        <v>88.59999999999999</v>
      </c>
    </row>
    <row r="840">
      <c r="A840" s="0" t="inlineStr">
        <is>
          <t>USR-100839</t>
        </is>
      </c>
      <c r="B840" s="23" t="n">
        <v>45697</v>
      </c>
      <c r="C840" s="0" t="inlineStr">
        <is>
          <t>Treatment</t>
        </is>
      </c>
      <c r="D840" s="0" t="inlineStr">
        <is>
          <t>West</t>
        </is>
      </c>
      <c r="E840" s="0" t="inlineStr">
        <is>
          <t>Mobile</t>
        </is>
      </c>
      <c r="F840" s="0" t="inlineStr">
        <is>
          <t>Organic</t>
        </is>
      </c>
      <c r="G840" s="0" t="inlineStr">
        <is>
          <t>Basic</t>
        </is>
      </c>
      <c r="H840" s="0" t="n">
        <v>1</v>
      </c>
      <c r="I840" s="0" t="n">
        <v>1</v>
      </c>
      <c r="J840" s="0" t="n">
        <v>1</v>
      </c>
      <c r="K840" s="0" t="n">
        <v>0</v>
      </c>
      <c r="L840" s="0" t="n">
        <v>0</v>
      </c>
      <c r="M840" s="0" t="n">
        <v>0</v>
      </c>
      <c r="N840" s="0" t="n">
        <v>0</v>
      </c>
      <c r="P840" s="0" t="n">
        <v>63.1</v>
      </c>
    </row>
    <row r="841">
      <c r="A841" s="0" t="inlineStr">
        <is>
          <t>USR-100840</t>
        </is>
      </c>
      <c r="B841" s="23" t="n">
        <v>45666</v>
      </c>
      <c r="C841" s="0" t="inlineStr">
        <is>
          <t>Treatment</t>
        </is>
      </c>
      <c r="D841" s="0" t="inlineStr">
        <is>
          <t>East</t>
        </is>
      </c>
      <c r="E841" s="0" t="inlineStr">
        <is>
          <t>Mobile</t>
        </is>
      </c>
      <c r="F841" s="0" t="inlineStr">
        <is>
          <t>Organic</t>
        </is>
      </c>
      <c r="G841" s="0" t="inlineStr">
        <is>
          <t>Premium</t>
        </is>
      </c>
      <c r="H841" s="0" t="n">
        <v>1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P841" s="0" t="n">
        <v>39.7</v>
      </c>
    </row>
    <row r="842">
      <c r="A842" s="0" t="inlineStr">
        <is>
          <t>USR-100841</t>
        </is>
      </c>
      <c r="B842" s="23" t="n">
        <v>45704</v>
      </c>
      <c r="C842" s="0" t="inlineStr">
        <is>
          <t>Treatment</t>
        </is>
      </c>
      <c r="D842" s="0" t="inlineStr">
        <is>
          <t>North</t>
        </is>
      </c>
      <c r="E842" s="0" t="inlineStr">
        <is>
          <t>Mobile</t>
        </is>
      </c>
      <c r="F842" s="0" t="inlineStr">
        <is>
          <t>Paid Search</t>
        </is>
      </c>
      <c r="G842" s="0" t="inlineStr">
        <is>
          <t>Basic</t>
        </is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P842" s="0" t="n">
        <v>67.2</v>
      </c>
    </row>
    <row r="843">
      <c r="A843" s="0" t="inlineStr">
        <is>
          <t>USR-100842</t>
        </is>
      </c>
      <c r="B843" s="23" t="n">
        <v>45709</v>
      </c>
      <c r="C843" s="0" t="inlineStr">
        <is>
          <t>Treatment</t>
        </is>
      </c>
      <c r="D843" s="0" t="inlineStr">
        <is>
          <t>South</t>
        </is>
      </c>
      <c r="E843" s="0" t="inlineStr">
        <is>
          <t>Mobile</t>
        </is>
      </c>
      <c r="F843" s="0" t="inlineStr">
        <is>
          <t>Organic</t>
        </is>
      </c>
      <c r="G843" s="0" t="inlineStr">
        <is>
          <t>Free</t>
        </is>
      </c>
      <c r="H843" s="0" t="n">
        <v>1</v>
      </c>
      <c r="I843" s="0" t="n">
        <v>1</v>
      </c>
      <c r="J843" s="0" t="n">
        <v>1</v>
      </c>
      <c r="K843" s="0" t="n">
        <v>0</v>
      </c>
      <c r="L843" s="0" t="n">
        <v>0</v>
      </c>
      <c r="M843" s="0" t="n">
        <v>0</v>
      </c>
      <c r="N843" s="0" t="n">
        <v>0</v>
      </c>
      <c r="P843" s="0" t="n">
        <v>62.3</v>
      </c>
    </row>
    <row r="844">
      <c r="A844" s="0" t="inlineStr">
        <is>
          <t>USR-100843</t>
        </is>
      </c>
      <c r="B844" s="23" t="n">
        <v>45696</v>
      </c>
      <c r="C844" s="0" t="inlineStr">
        <is>
          <t>Treatment</t>
        </is>
      </c>
      <c r="D844" s="0" t="inlineStr">
        <is>
          <t>South</t>
        </is>
      </c>
      <c r="E844" s="0" t="inlineStr">
        <is>
          <t>Mobile</t>
        </is>
      </c>
      <c r="F844" s="0" t="inlineStr">
        <is>
          <t>Organic</t>
        </is>
      </c>
      <c r="G844" s="0" t="inlineStr">
        <is>
          <t>Premium</t>
        </is>
      </c>
      <c r="H844" s="0" t="n">
        <v>1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</row>
    <row r="845">
      <c r="A845" s="0" t="inlineStr">
        <is>
          <t>USR-100844</t>
        </is>
      </c>
      <c r="B845" s="23" t="n">
        <v>45679</v>
      </c>
      <c r="C845" s="0" t="inlineStr">
        <is>
          <t>Treatment</t>
        </is>
      </c>
      <c r="D845" s="0" t="inlineStr">
        <is>
          <t>South</t>
        </is>
      </c>
      <c r="E845" s="0" t="inlineStr">
        <is>
          <t>Mobile</t>
        </is>
      </c>
      <c r="F845" s="0" t="inlineStr">
        <is>
          <t>Paid Search</t>
        </is>
      </c>
      <c r="G845" s="0" t="inlineStr">
        <is>
          <t>Premium</t>
        </is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P845" s="0" t="n">
        <v>60.7</v>
      </c>
    </row>
    <row r="846">
      <c r="A846" s="0" t="inlineStr">
        <is>
          <t>USR-100845</t>
        </is>
      </c>
      <c r="B846" s="23" t="n">
        <v>45748</v>
      </c>
      <c r="C846" s="0" t="inlineStr">
        <is>
          <t>Treatment</t>
        </is>
      </c>
      <c r="D846" s="0" t="inlineStr">
        <is>
          <t>West</t>
        </is>
      </c>
      <c r="E846" s="0" t="inlineStr">
        <is>
          <t>Mobile</t>
        </is>
      </c>
      <c r="F846" s="0" t="inlineStr">
        <is>
          <t>Organic</t>
        </is>
      </c>
      <c r="G846" s="0" t="inlineStr">
        <is>
          <t>Basic</t>
        </is>
      </c>
      <c r="H846" s="0" t="n">
        <v>1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P846" s="0" t="n">
        <v>61.5</v>
      </c>
    </row>
    <row r="847">
      <c r="A847" s="0" t="inlineStr">
        <is>
          <t>USR-100846</t>
        </is>
      </c>
      <c r="B847" s="23" t="n">
        <v>45678</v>
      </c>
      <c r="C847" s="0" t="inlineStr">
        <is>
          <t>Treatment</t>
        </is>
      </c>
      <c r="D847" s="0" t="inlineStr">
        <is>
          <t>North</t>
        </is>
      </c>
      <c r="E847" s="0" t="inlineStr">
        <is>
          <t>Mobile</t>
        </is>
      </c>
      <c r="F847" s="0" t="inlineStr">
        <is>
          <t>Paid Search</t>
        </is>
      </c>
      <c r="G847" s="0" t="inlineStr">
        <is>
          <t>Basic</t>
        </is>
      </c>
      <c r="H847" s="0" t="n">
        <v>1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P847" s="0" t="n">
        <v>75</v>
      </c>
    </row>
    <row r="848">
      <c r="A848" s="0" t="inlineStr">
        <is>
          <t>USR-100847</t>
        </is>
      </c>
      <c r="B848" s="23" t="n">
        <v>45659</v>
      </c>
      <c r="C848" s="0" t="inlineStr">
        <is>
          <t>Treatment</t>
        </is>
      </c>
      <c r="D848" s="0" t="inlineStr">
        <is>
          <t>East</t>
        </is>
      </c>
      <c r="E848" s="0" t="inlineStr">
        <is>
          <t>Desktop</t>
        </is>
      </c>
      <c r="F848" s="0" t="inlineStr">
        <is>
          <t>Organic</t>
        </is>
      </c>
      <c r="G848" s="0" t="inlineStr">
        <is>
          <t>Free</t>
        </is>
      </c>
      <c r="H848" s="0" t="n">
        <v>1</v>
      </c>
      <c r="I848" s="0" t="n">
        <v>1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P848" s="0" t="n">
        <v>51.9</v>
      </c>
    </row>
    <row r="849">
      <c r="A849" s="0" t="inlineStr">
        <is>
          <t>USR-100848</t>
        </is>
      </c>
      <c r="B849" s="23" t="n">
        <v>45789</v>
      </c>
      <c r="C849" s="0" t="inlineStr">
        <is>
          <t>Treatment</t>
        </is>
      </c>
      <c r="D849" s="0" t="inlineStr">
        <is>
          <t>South</t>
        </is>
      </c>
      <c r="E849" s="0" t="inlineStr">
        <is>
          <t>Desktop</t>
        </is>
      </c>
      <c r="F849" s="0" t="inlineStr">
        <is>
          <t>Paid Search</t>
        </is>
      </c>
      <c r="G849" s="0" t="inlineStr">
        <is>
          <t>Free</t>
        </is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P849" s="0" t="n">
        <v>34.5</v>
      </c>
    </row>
    <row r="850">
      <c r="A850" s="0" t="inlineStr">
        <is>
          <t>USR-100849</t>
        </is>
      </c>
      <c r="B850" s="23" t="n">
        <v>45721</v>
      </c>
      <c r="C850" s="0" t="inlineStr">
        <is>
          <t>Treatment</t>
        </is>
      </c>
      <c r="D850" s="0" t="inlineStr">
        <is>
          <t>South</t>
        </is>
      </c>
      <c r="E850" s="0" t="inlineStr">
        <is>
          <t>Mobile</t>
        </is>
      </c>
      <c r="F850" s="0" t="inlineStr">
        <is>
          <t>Social</t>
        </is>
      </c>
      <c r="G850" s="0" t="inlineStr">
        <is>
          <t>Basic</t>
        </is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P850" s="0" t="n">
        <v>54.5</v>
      </c>
    </row>
    <row r="851">
      <c r="A851" s="0" t="inlineStr">
        <is>
          <t>USR-100850</t>
        </is>
      </c>
      <c r="B851" s="23" t="n">
        <v>45681</v>
      </c>
      <c r="C851" s="0" t="inlineStr">
        <is>
          <t>Treatment</t>
        </is>
      </c>
      <c r="D851" s="0" t="inlineStr">
        <is>
          <t>East</t>
        </is>
      </c>
      <c r="E851" s="0" t="inlineStr">
        <is>
          <t>Mobile</t>
        </is>
      </c>
      <c r="F851" s="0" t="inlineStr">
        <is>
          <t>Organic</t>
        </is>
      </c>
      <c r="G851" s="0" t="inlineStr">
        <is>
          <t>Free</t>
        </is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P851" s="0" t="n">
        <v>46</v>
      </c>
    </row>
    <row r="852">
      <c r="A852" s="0" t="inlineStr">
        <is>
          <t>USR-100851</t>
        </is>
      </c>
      <c r="B852" s="23" t="n">
        <v>45688</v>
      </c>
      <c r="C852" s="0" t="inlineStr">
        <is>
          <t>Treatment</t>
        </is>
      </c>
      <c r="D852" s="0" t="inlineStr">
        <is>
          <t>East</t>
        </is>
      </c>
      <c r="E852" s="0" t="inlineStr">
        <is>
          <t>Desktop</t>
        </is>
      </c>
      <c r="F852" s="0" t="inlineStr">
        <is>
          <t>Email</t>
        </is>
      </c>
      <c r="G852" s="0" t="inlineStr">
        <is>
          <t>Free</t>
        </is>
      </c>
      <c r="H852" s="0" t="n">
        <v>1</v>
      </c>
      <c r="I852" s="0" t="n">
        <v>1</v>
      </c>
      <c r="J852" s="0" t="n">
        <v>1</v>
      </c>
      <c r="K852" s="0" t="n">
        <v>0</v>
      </c>
      <c r="L852" s="0" t="n">
        <v>0</v>
      </c>
      <c r="M852" s="0" t="n">
        <v>0</v>
      </c>
      <c r="N852" s="0" t="n">
        <v>0</v>
      </c>
      <c r="P852" s="0" t="n">
        <v>88.40000000000001</v>
      </c>
    </row>
    <row r="853">
      <c r="A853" s="0" t="inlineStr">
        <is>
          <t>USR-100852</t>
        </is>
      </c>
      <c r="B853" s="23" t="n">
        <v>45681</v>
      </c>
      <c r="C853" s="0" t="inlineStr">
        <is>
          <t>Treatment</t>
        </is>
      </c>
      <c r="D853" s="0" t="inlineStr">
        <is>
          <t>North</t>
        </is>
      </c>
      <c r="E853" s="0" t="inlineStr">
        <is>
          <t>Tablet</t>
        </is>
      </c>
      <c r="F853" s="0" t="inlineStr">
        <is>
          <t>Organic</t>
        </is>
      </c>
      <c r="G853" s="0" t="inlineStr">
        <is>
          <t>Basic</t>
        </is>
      </c>
      <c r="H853" s="0" t="n">
        <v>1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P853" s="0" t="n">
        <v>69.5</v>
      </c>
    </row>
    <row r="854">
      <c r="A854" s="0" t="inlineStr">
        <is>
          <t>USR-100853</t>
        </is>
      </c>
      <c r="B854" s="23" t="n">
        <v>45702</v>
      </c>
      <c r="C854" s="0" t="inlineStr">
        <is>
          <t>Treatment</t>
        </is>
      </c>
      <c r="D854" s="0" t="inlineStr">
        <is>
          <t>North</t>
        </is>
      </c>
      <c r="E854" s="0" t="inlineStr">
        <is>
          <t>Desktop</t>
        </is>
      </c>
      <c r="F854" s="0" t="inlineStr">
        <is>
          <t>Referral</t>
        </is>
      </c>
      <c r="G854" s="0" t="inlineStr">
        <is>
          <t>Basic</t>
        </is>
      </c>
      <c r="H854" s="0" t="n">
        <v>1</v>
      </c>
      <c r="I854" s="0" t="n">
        <v>1</v>
      </c>
      <c r="J854" s="0" t="n">
        <v>1</v>
      </c>
      <c r="K854" s="0" t="n">
        <v>0</v>
      </c>
      <c r="L854" s="0" t="n">
        <v>0</v>
      </c>
      <c r="M854" s="0" t="n">
        <v>0</v>
      </c>
      <c r="N854" s="0" t="n">
        <v>0</v>
      </c>
      <c r="P854" s="0" t="n">
        <v>74.2</v>
      </c>
    </row>
    <row r="855">
      <c r="A855" s="0" t="inlineStr">
        <is>
          <t>USR-100854</t>
        </is>
      </c>
      <c r="B855" s="23" t="n">
        <v>45804</v>
      </c>
      <c r="C855" s="0" t="inlineStr">
        <is>
          <t>Treatment</t>
        </is>
      </c>
      <c r="D855" s="0" t="inlineStr">
        <is>
          <t>North</t>
        </is>
      </c>
      <c r="E855" s="0" t="inlineStr">
        <is>
          <t>Mobile</t>
        </is>
      </c>
      <c r="F855" s="0" t="inlineStr">
        <is>
          <t>Organic</t>
        </is>
      </c>
      <c r="G855" s="0" t="inlineStr">
        <is>
          <t>Free</t>
        </is>
      </c>
      <c r="H855" s="0" t="n">
        <v>1</v>
      </c>
      <c r="I855" s="0" t="n">
        <v>1</v>
      </c>
      <c r="J855" s="0" t="n">
        <v>1</v>
      </c>
      <c r="K855" s="0" t="n">
        <v>0</v>
      </c>
      <c r="L855" s="0" t="n">
        <v>0</v>
      </c>
      <c r="M855" s="0" t="n">
        <v>0</v>
      </c>
      <c r="N855" s="0" t="n">
        <v>0</v>
      </c>
      <c r="P855" s="0" t="n">
        <v>72.09999999999999</v>
      </c>
    </row>
    <row r="856">
      <c r="A856" s="0" t="inlineStr">
        <is>
          <t>USR-100855</t>
        </is>
      </c>
      <c r="B856" s="23" t="n">
        <v>45716</v>
      </c>
      <c r="C856" s="0" t="inlineStr">
        <is>
          <t>Treatment</t>
        </is>
      </c>
      <c r="D856" s="0" t="inlineStr">
        <is>
          <t>North</t>
        </is>
      </c>
      <c r="E856" s="0" t="inlineStr">
        <is>
          <t>Mobile</t>
        </is>
      </c>
      <c r="F856" s="0" t="inlineStr">
        <is>
          <t>Paid Search</t>
        </is>
      </c>
      <c r="G856" s="0" t="inlineStr">
        <is>
          <t>Free</t>
        </is>
      </c>
      <c r="H856" s="0" t="n">
        <v>1</v>
      </c>
      <c r="I856" s="0" t="n">
        <v>1</v>
      </c>
      <c r="J856" s="0" t="n">
        <v>1</v>
      </c>
      <c r="K856" s="0" t="n">
        <v>1</v>
      </c>
      <c r="L856" s="0" t="n">
        <v>398.33</v>
      </c>
      <c r="M856" s="0" t="n">
        <v>0</v>
      </c>
      <c r="N856" s="0" t="n">
        <v>0</v>
      </c>
      <c r="O856" s="0" t="n">
        <v>5</v>
      </c>
      <c r="P856" s="0" t="n">
        <v>85.09999999999999</v>
      </c>
    </row>
    <row r="857">
      <c r="A857" s="0" t="inlineStr">
        <is>
          <t>USR-100856</t>
        </is>
      </c>
      <c r="B857" s="23" t="n">
        <v>45804</v>
      </c>
      <c r="C857" s="0" t="inlineStr">
        <is>
          <t>Treatment</t>
        </is>
      </c>
      <c r="D857" s="0" t="inlineStr">
        <is>
          <t>North</t>
        </is>
      </c>
      <c r="E857" s="0" t="inlineStr">
        <is>
          <t>Mobile</t>
        </is>
      </c>
      <c r="F857" s="0" t="inlineStr">
        <is>
          <t>Organic</t>
        </is>
      </c>
      <c r="G857" s="0" t="inlineStr">
        <is>
          <t>Basic</t>
        </is>
      </c>
      <c r="H857" s="0" t="n">
        <v>1</v>
      </c>
      <c r="I857" s="0" t="n">
        <v>1</v>
      </c>
      <c r="J857" s="0" t="n">
        <v>1</v>
      </c>
      <c r="K857" s="0" t="n">
        <v>0</v>
      </c>
      <c r="L857" s="0" t="n">
        <v>0</v>
      </c>
      <c r="M857" s="0" t="n">
        <v>0</v>
      </c>
      <c r="N857" s="0" t="n">
        <v>0</v>
      </c>
      <c r="P857" s="0" t="n">
        <v>49.5</v>
      </c>
    </row>
    <row r="858">
      <c r="A858" s="0" t="inlineStr">
        <is>
          <t>USR-100857</t>
        </is>
      </c>
      <c r="B858" s="23" t="n">
        <v>45794</v>
      </c>
      <c r="C858" s="0" t="inlineStr">
        <is>
          <t>Treatment</t>
        </is>
      </c>
      <c r="D858" s="0" t="inlineStr">
        <is>
          <t>South</t>
        </is>
      </c>
      <c r="E858" s="0" t="inlineStr">
        <is>
          <t>Mobile</t>
        </is>
      </c>
      <c r="F858" s="0" t="inlineStr">
        <is>
          <t>Paid Search</t>
        </is>
      </c>
      <c r="G858" s="0" t="inlineStr">
        <is>
          <t>Premium</t>
        </is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1</v>
      </c>
      <c r="N858" s="0" t="n">
        <v>0</v>
      </c>
      <c r="P858" s="0" t="n">
        <v>79</v>
      </c>
    </row>
    <row r="859">
      <c r="A859" s="0" t="inlineStr">
        <is>
          <t>USR-100858</t>
        </is>
      </c>
      <c r="B859" s="23" t="n">
        <v>45667</v>
      </c>
      <c r="C859" s="0" t="inlineStr">
        <is>
          <t>Treatment</t>
        </is>
      </c>
      <c r="D859" s="0" t="inlineStr">
        <is>
          <t>West</t>
        </is>
      </c>
      <c r="E859" s="0" t="inlineStr">
        <is>
          <t>Desktop</t>
        </is>
      </c>
      <c r="F859" s="0" t="inlineStr">
        <is>
          <t>Social</t>
        </is>
      </c>
      <c r="G859" s="0" t="inlineStr">
        <is>
          <t>Free</t>
        </is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P859" s="0" t="n">
        <v>71.8</v>
      </c>
    </row>
    <row r="860">
      <c r="A860" s="0" t="inlineStr">
        <is>
          <t>USR-100859</t>
        </is>
      </c>
      <c r="B860" s="23" t="n">
        <v>45769</v>
      </c>
      <c r="C860" s="0" t="inlineStr">
        <is>
          <t>Treatment</t>
        </is>
      </c>
      <c r="D860" s="0" t="inlineStr">
        <is>
          <t>North</t>
        </is>
      </c>
      <c r="E860" s="0" t="inlineStr">
        <is>
          <t>Mobile</t>
        </is>
      </c>
      <c r="F860" s="0" t="inlineStr">
        <is>
          <t>Email</t>
        </is>
      </c>
      <c r="G860" s="0" t="inlineStr">
        <is>
          <t>Basic</t>
        </is>
      </c>
      <c r="H860" s="0" t="n">
        <v>1</v>
      </c>
      <c r="I860" s="0" t="n">
        <v>1</v>
      </c>
      <c r="J860" s="0" t="n">
        <v>1</v>
      </c>
      <c r="K860" s="0" t="n">
        <v>1</v>
      </c>
      <c r="L860" s="0" t="n">
        <v>1117.54</v>
      </c>
      <c r="M860" s="0" t="n">
        <v>0</v>
      </c>
      <c r="N860" s="0" t="n">
        <v>0</v>
      </c>
      <c r="O860" s="0" t="n">
        <v>6</v>
      </c>
      <c r="P860" s="0" t="n">
        <v>60.4</v>
      </c>
    </row>
    <row r="861">
      <c r="A861" s="0" t="inlineStr">
        <is>
          <t>USR-100860</t>
        </is>
      </c>
      <c r="B861" s="23" t="n">
        <v>45718</v>
      </c>
      <c r="C861" s="0" t="inlineStr">
        <is>
          <t>Treatment</t>
        </is>
      </c>
      <c r="D861" s="0" t="inlineStr">
        <is>
          <t>South</t>
        </is>
      </c>
      <c r="E861" s="0" t="inlineStr">
        <is>
          <t>Desktop</t>
        </is>
      </c>
      <c r="F861" s="0" t="inlineStr">
        <is>
          <t>Organic</t>
        </is>
      </c>
      <c r="G861" s="0" t="inlineStr">
        <is>
          <t>Basic</t>
        </is>
      </c>
      <c r="H861" s="0" t="n">
        <v>1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2</v>
      </c>
      <c r="N861" s="0" t="n">
        <v>0</v>
      </c>
      <c r="P861" s="0" t="n">
        <v>38.3</v>
      </c>
    </row>
    <row r="862">
      <c r="A862" s="0" t="inlineStr">
        <is>
          <t>USR-100861</t>
        </is>
      </c>
      <c r="B862" s="23" t="n">
        <v>45739</v>
      </c>
      <c r="C862" s="0" t="inlineStr">
        <is>
          <t>Treatment</t>
        </is>
      </c>
      <c r="D862" s="0" t="inlineStr">
        <is>
          <t>East</t>
        </is>
      </c>
      <c r="E862" s="0" t="inlineStr">
        <is>
          <t>Mobile</t>
        </is>
      </c>
      <c r="F862" s="0" t="inlineStr">
        <is>
          <t>Paid Search</t>
        </is>
      </c>
      <c r="G862" s="0" t="inlineStr">
        <is>
          <t>Free</t>
        </is>
      </c>
      <c r="H862" s="0" t="n">
        <v>1</v>
      </c>
      <c r="I862" s="0" t="n">
        <v>1</v>
      </c>
      <c r="J862" s="0" t="n">
        <v>1</v>
      </c>
      <c r="K862" s="0" t="n">
        <v>0</v>
      </c>
      <c r="L862" s="0" t="n">
        <v>0</v>
      </c>
      <c r="M862" s="0" t="n">
        <v>0</v>
      </c>
      <c r="N862" s="0" t="n">
        <v>0</v>
      </c>
      <c r="P862" s="0" t="n">
        <v>79.59999999999999</v>
      </c>
    </row>
    <row r="863">
      <c r="A863" s="0" t="inlineStr">
        <is>
          <t>USR-100862</t>
        </is>
      </c>
      <c r="B863" s="23" t="n">
        <v>45700</v>
      </c>
      <c r="C863" s="0" t="inlineStr">
        <is>
          <t>Treatment</t>
        </is>
      </c>
      <c r="D863" s="0" t="inlineStr">
        <is>
          <t>East</t>
        </is>
      </c>
      <c r="E863" s="0" t="inlineStr">
        <is>
          <t>Mobile</t>
        </is>
      </c>
      <c r="F863" s="0" t="inlineStr">
        <is>
          <t>Email</t>
        </is>
      </c>
      <c r="G863" s="0" t="inlineStr">
        <is>
          <t>Free</t>
        </is>
      </c>
      <c r="H863" s="0" t="n">
        <v>1</v>
      </c>
      <c r="I863" s="0" t="n">
        <v>1</v>
      </c>
      <c r="J863" s="0" t="n">
        <v>1</v>
      </c>
      <c r="K863" s="0" t="n">
        <v>0</v>
      </c>
      <c r="L863" s="0" t="n">
        <v>0</v>
      </c>
      <c r="M863" s="0" t="n">
        <v>0</v>
      </c>
      <c r="N863" s="0" t="n">
        <v>0</v>
      </c>
      <c r="P863" s="0" t="n">
        <v>71.90000000000001</v>
      </c>
    </row>
    <row r="864">
      <c r="A864" s="0" t="inlineStr">
        <is>
          <t>USR-100863</t>
        </is>
      </c>
      <c r="B864" s="23" t="n">
        <v>45780</v>
      </c>
      <c r="C864" s="0" t="inlineStr">
        <is>
          <t>Treatment</t>
        </is>
      </c>
      <c r="D864" s="0" t="inlineStr">
        <is>
          <t>South</t>
        </is>
      </c>
      <c r="E864" s="0" t="inlineStr">
        <is>
          <t>Mobile</t>
        </is>
      </c>
      <c r="F864" s="0" t="inlineStr">
        <is>
          <t>Referral</t>
        </is>
      </c>
      <c r="G864" s="0" t="inlineStr">
        <is>
          <t>Basic</t>
        </is>
      </c>
      <c r="H864" s="0" t="n">
        <v>1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P864" s="0" t="n">
        <v>54.6</v>
      </c>
    </row>
    <row r="865">
      <c r="A865" s="0" t="inlineStr">
        <is>
          <t>USR-100864</t>
        </is>
      </c>
      <c r="B865" s="23" t="n">
        <v>45744</v>
      </c>
      <c r="C865" s="0" t="inlineStr">
        <is>
          <t>Treatment</t>
        </is>
      </c>
      <c r="D865" s="0" t="inlineStr">
        <is>
          <t>North</t>
        </is>
      </c>
      <c r="E865" s="0" t="inlineStr">
        <is>
          <t>Desktop</t>
        </is>
      </c>
      <c r="F865" s="0" t="inlineStr">
        <is>
          <t>Social</t>
        </is>
      </c>
      <c r="G865" s="0" t="inlineStr">
        <is>
          <t>Free</t>
        </is>
      </c>
      <c r="H865" s="0" t="n">
        <v>1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3</v>
      </c>
      <c r="N865" s="0" t="n">
        <v>0</v>
      </c>
      <c r="P865" s="0" t="n">
        <v>49.3</v>
      </c>
    </row>
    <row r="866">
      <c r="A866" s="0" t="inlineStr">
        <is>
          <t>USR-100865</t>
        </is>
      </c>
      <c r="B866" s="23" t="n">
        <v>45728</v>
      </c>
      <c r="C866" s="0" t="inlineStr">
        <is>
          <t>Treatment</t>
        </is>
      </c>
      <c r="D866" s="0" t="inlineStr">
        <is>
          <t>North</t>
        </is>
      </c>
      <c r="E866" s="0" t="inlineStr">
        <is>
          <t>Mobile</t>
        </is>
      </c>
      <c r="F866" s="0" t="inlineStr">
        <is>
          <t>Social</t>
        </is>
      </c>
      <c r="G866" s="0" t="inlineStr">
        <is>
          <t>Basic</t>
        </is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0</v>
      </c>
      <c r="P866" s="0" t="n">
        <v>66.90000000000001</v>
      </c>
    </row>
    <row r="867">
      <c r="A867" s="0" t="inlineStr">
        <is>
          <t>USR-100866</t>
        </is>
      </c>
      <c r="B867" s="23" t="n">
        <v>45774</v>
      </c>
      <c r="C867" s="0" t="inlineStr">
        <is>
          <t>Treatment</t>
        </is>
      </c>
      <c r="D867" s="0" t="inlineStr">
        <is>
          <t>East</t>
        </is>
      </c>
      <c r="E867" s="0" t="inlineStr">
        <is>
          <t>Mobile</t>
        </is>
      </c>
      <c r="F867" s="0" t="inlineStr">
        <is>
          <t>Paid Search</t>
        </is>
      </c>
      <c r="G867" s="0" t="inlineStr">
        <is>
          <t>Free</t>
        </is>
      </c>
      <c r="H867" s="0" t="n">
        <v>1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1</v>
      </c>
      <c r="N867" s="0" t="n">
        <v>0</v>
      </c>
      <c r="P867" s="0" t="n">
        <v>77.8</v>
      </c>
    </row>
    <row r="868">
      <c r="A868" s="0" t="inlineStr">
        <is>
          <t>USR-100867</t>
        </is>
      </c>
      <c r="B868" s="23" t="n">
        <v>45749</v>
      </c>
      <c r="C868" s="0" t="inlineStr">
        <is>
          <t>Treatment</t>
        </is>
      </c>
      <c r="D868" s="0" t="inlineStr">
        <is>
          <t>South</t>
        </is>
      </c>
      <c r="E868" s="0" t="inlineStr">
        <is>
          <t>Mobile</t>
        </is>
      </c>
      <c r="F868" s="0" t="inlineStr">
        <is>
          <t>Referral</t>
        </is>
      </c>
      <c r="G868" s="0" t="inlineStr">
        <is>
          <t>Basic</t>
        </is>
      </c>
      <c r="H868" s="0" t="n">
        <v>1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P868" s="0" t="n">
        <v>63</v>
      </c>
    </row>
    <row r="869">
      <c r="A869" s="0" t="inlineStr">
        <is>
          <t>USR-100868</t>
        </is>
      </c>
      <c r="B869" s="23" t="n">
        <v>45768</v>
      </c>
      <c r="C869" s="0" t="inlineStr">
        <is>
          <t>Treatment</t>
        </is>
      </c>
      <c r="D869" s="0" t="inlineStr">
        <is>
          <t>North</t>
        </is>
      </c>
      <c r="E869" s="0" t="inlineStr">
        <is>
          <t>Mobile</t>
        </is>
      </c>
      <c r="F869" s="0" t="inlineStr">
        <is>
          <t>Social</t>
        </is>
      </c>
      <c r="G869" s="0" t="inlineStr">
        <is>
          <t>Free</t>
        </is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P869" s="0" t="n">
        <v>79.8</v>
      </c>
    </row>
    <row r="870">
      <c r="A870" s="0" t="inlineStr">
        <is>
          <t>USR-100869</t>
        </is>
      </c>
      <c r="B870" s="23" t="n">
        <v>45683</v>
      </c>
      <c r="C870" s="0" t="inlineStr">
        <is>
          <t>Treatment</t>
        </is>
      </c>
      <c r="D870" s="0" t="inlineStr">
        <is>
          <t>West</t>
        </is>
      </c>
      <c r="E870" s="0" t="inlineStr">
        <is>
          <t>Desktop</t>
        </is>
      </c>
      <c r="F870" s="0" t="inlineStr">
        <is>
          <t>Organic</t>
        </is>
      </c>
      <c r="G870" s="0" t="inlineStr">
        <is>
          <t>Basic</t>
        </is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P870" s="0" t="n">
        <v>69.90000000000001</v>
      </c>
    </row>
    <row r="871">
      <c r="A871" s="0" t="inlineStr">
        <is>
          <t>USR-100870</t>
        </is>
      </c>
      <c r="B871" s="23" t="n">
        <v>45663</v>
      </c>
      <c r="C871" s="0" t="inlineStr">
        <is>
          <t>Treatment</t>
        </is>
      </c>
      <c r="D871" s="0" t="inlineStr">
        <is>
          <t>West</t>
        </is>
      </c>
      <c r="E871" s="0" t="inlineStr">
        <is>
          <t>Mobile</t>
        </is>
      </c>
      <c r="F871" s="0" t="inlineStr">
        <is>
          <t>Organic</t>
        </is>
      </c>
      <c r="G871" s="0" t="inlineStr">
        <is>
          <t>Free</t>
        </is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1</v>
      </c>
      <c r="N871" s="0" t="n">
        <v>0</v>
      </c>
      <c r="P871" s="0" t="n">
        <v>66.40000000000001</v>
      </c>
    </row>
    <row r="872">
      <c r="A872" s="0" t="inlineStr">
        <is>
          <t>USR-100871</t>
        </is>
      </c>
      <c r="B872" s="23" t="n">
        <v>45695</v>
      </c>
      <c r="C872" s="0" t="inlineStr">
        <is>
          <t>Treatment</t>
        </is>
      </c>
      <c r="D872" s="0" t="inlineStr">
        <is>
          <t>East</t>
        </is>
      </c>
      <c r="E872" s="0" t="inlineStr">
        <is>
          <t>Mobile</t>
        </is>
      </c>
      <c r="F872" s="0" t="inlineStr">
        <is>
          <t>Organic</t>
        </is>
      </c>
      <c r="G872" s="0" t="inlineStr">
        <is>
          <t>Free</t>
        </is>
      </c>
      <c r="H872" s="0" t="n">
        <v>1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P872" s="0" t="n">
        <v>27.6</v>
      </c>
    </row>
    <row r="873">
      <c r="A873" s="0" t="inlineStr">
        <is>
          <t>USR-100872</t>
        </is>
      </c>
      <c r="B873" s="23" t="n">
        <v>45784</v>
      </c>
      <c r="C873" s="0" t="inlineStr">
        <is>
          <t>Treatment</t>
        </is>
      </c>
      <c r="D873" s="0" t="inlineStr">
        <is>
          <t>West</t>
        </is>
      </c>
      <c r="E873" s="0" t="inlineStr">
        <is>
          <t>Mobile</t>
        </is>
      </c>
      <c r="F873" s="0" t="inlineStr">
        <is>
          <t>Organic</t>
        </is>
      </c>
      <c r="G873" s="0" t="inlineStr">
        <is>
          <t>Premium</t>
        </is>
      </c>
      <c r="H873" s="0" t="n">
        <v>1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0</v>
      </c>
      <c r="P873" s="0" t="n">
        <v>56.5</v>
      </c>
    </row>
    <row r="874">
      <c r="A874" s="0" t="inlineStr">
        <is>
          <t>USR-100873</t>
        </is>
      </c>
      <c r="B874" s="23" t="n">
        <v>45769</v>
      </c>
      <c r="C874" s="0" t="inlineStr">
        <is>
          <t>Treatment</t>
        </is>
      </c>
      <c r="D874" s="0" t="inlineStr">
        <is>
          <t>West</t>
        </is>
      </c>
      <c r="E874" s="0" t="inlineStr">
        <is>
          <t>Unknown</t>
        </is>
      </c>
      <c r="F874" s="0" t="inlineStr">
        <is>
          <t>Social</t>
        </is>
      </c>
      <c r="G874" s="0" t="inlineStr">
        <is>
          <t>Free</t>
        </is>
      </c>
      <c r="H874" s="0" t="n">
        <v>1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P874" s="0" t="n">
        <v>67.8</v>
      </c>
    </row>
    <row r="875">
      <c r="A875" s="0" t="inlineStr">
        <is>
          <t>USR-100874</t>
        </is>
      </c>
      <c r="B875" s="23" t="n">
        <v>45781</v>
      </c>
      <c r="C875" s="0" t="inlineStr">
        <is>
          <t>Treatment</t>
        </is>
      </c>
      <c r="D875" s="0" t="inlineStr">
        <is>
          <t>West</t>
        </is>
      </c>
      <c r="E875" s="0" t="inlineStr">
        <is>
          <t>Desktop</t>
        </is>
      </c>
      <c r="F875" s="0" t="inlineStr">
        <is>
          <t>Social</t>
        </is>
      </c>
      <c r="G875" s="0" t="inlineStr">
        <is>
          <t>Free</t>
        </is>
      </c>
      <c r="H875" s="0" t="n">
        <v>1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P875" s="0" t="n">
        <v>80</v>
      </c>
    </row>
    <row r="876">
      <c r="A876" s="0" t="inlineStr">
        <is>
          <t>USR-100875</t>
        </is>
      </c>
      <c r="B876" s="23" t="n">
        <v>45793</v>
      </c>
      <c r="C876" s="0" t="inlineStr">
        <is>
          <t>Treatment</t>
        </is>
      </c>
      <c r="D876" s="0" t="inlineStr">
        <is>
          <t>South</t>
        </is>
      </c>
      <c r="E876" s="0" t="inlineStr">
        <is>
          <t>Mobile</t>
        </is>
      </c>
      <c r="F876" s="0" t="inlineStr">
        <is>
          <t>Social</t>
        </is>
      </c>
      <c r="G876" s="0" t="inlineStr">
        <is>
          <t>Basic</t>
        </is>
      </c>
      <c r="H876" s="0" t="n">
        <v>1</v>
      </c>
      <c r="I876" s="0" t="n">
        <v>1</v>
      </c>
      <c r="J876" s="0" t="n">
        <v>1</v>
      </c>
      <c r="K876" s="0" t="n">
        <v>0</v>
      </c>
      <c r="L876" s="0" t="n">
        <v>0</v>
      </c>
      <c r="M876" s="0" t="n">
        <v>1</v>
      </c>
      <c r="N876" s="0" t="n">
        <v>0</v>
      </c>
      <c r="P876" s="0" t="n">
        <v>80.90000000000001</v>
      </c>
    </row>
    <row r="877">
      <c r="A877" s="0" t="inlineStr">
        <is>
          <t>USR-100876</t>
        </is>
      </c>
      <c r="B877" s="23" t="n">
        <v>45699</v>
      </c>
      <c r="C877" s="0" t="inlineStr">
        <is>
          <t>Treatment</t>
        </is>
      </c>
      <c r="D877" s="0" t="inlineStr">
        <is>
          <t>West</t>
        </is>
      </c>
      <c r="E877" s="0" t="inlineStr">
        <is>
          <t>Mobile</t>
        </is>
      </c>
      <c r="F877" s="0" t="inlineStr">
        <is>
          <t>Paid Search</t>
        </is>
      </c>
      <c r="G877" s="0" t="inlineStr">
        <is>
          <t>Free</t>
        </is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P877" s="0" t="n">
        <v>34.5</v>
      </c>
    </row>
    <row r="878">
      <c r="A878" s="0" t="inlineStr">
        <is>
          <t>USR-100877</t>
        </is>
      </c>
      <c r="B878" s="23" t="n">
        <v>45786</v>
      </c>
      <c r="C878" s="0" t="inlineStr">
        <is>
          <t>Treatment</t>
        </is>
      </c>
      <c r="D878" s="0" t="inlineStr">
        <is>
          <t>East</t>
        </is>
      </c>
      <c r="E878" s="0" t="inlineStr">
        <is>
          <t>Desktop</t>
        </is>
      </c>
      <c r="F878" s="0" t="inlineStr">
        <is>
          <t>Organic</t>
        </is>
      </c>
      <c r="G878" s="0" t="inlineStr">
        <is>
          <t>Premium</t>
        </is>
      </c>
      <c r="H878" s="0" t="n">
        <v>1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P878" s="0" t="n">
        <v>73.5</v>
      </c>
    </row>
    <row r="879">
      <c r="A879" s="0" t="inlineStr">
        <is>
          <t>USR-100878</t>
        </is>
      </c>
      <c r="B879" s="23" t="n">
        <v>45697</v>
      </c>
      <c r="C879" s="0" t="inlineStr">
        <is>
          <t>Treatment</t>
        </is>
      </c>
      <c r="D879" s="0" t="inlineStr">
        <is>
          <t>South</t>
        </is>
      </c>
      <c r="E879" s="0" t="inlineStr">
        <is>
          <t>Desktop</t>
        </is>
      </c>
      <c r="F879" s="0" t="inlineStr">
        <is>
          <t>Paid Search</t>
        </is>
      </c>
      <c r="G879" s="0" t="inlineStr">
        <is>
          <t>Free</t>
        </is>
      </c>
      <c r="H879" s="0" t="n">
        <v>1</v>
      </c>
      <c r="I879" s="0" t="n">
        <v>1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P879" s="0" t="n">
        <v>70</v>
      </c>
    </row>
    <row r="880">
      <c r="A880" s="0" t="inlineStr">
        <is>
          <t>USR-100879</t>
        </is>
      </c>
      <c r="B880" s="23" t="n">
        <v>45799</v>
      </c>
      <c r="C880" s="0" t="inlineStr">
        <is>
          <t>Treatment</t>
        </is>
      </c>
      <c r="D880" s="0" t="inlineStr">
        <is>
          <t>West</t>
        </is>
      </c>
      <c r="E880" s="0" t="inlineStr">
        <is>
          <t>Mobile</t>
        </is>
      </c>
      <c r="F880" s="0" t="inlineStr">
        <is>
          <t>Social</t>
        </is>
      </c>
      <c r="G880" s="0" t="inlineStr">
        <is>
          <t>Basic</t>
        </is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P880" s="0" t="n">
        <v>86.90000000000001</v>
      </c>
    </row>
    <row r="881">
      <c r="A881" s="0" t="inlineStr">
        <is>
          <t>USR-100880</t>
        </is>
      </c>
      <c r="B881" s="23" t="n">
        <v>45801</v>
      </c>
      <c r="C881" s="0" t="inlineStr">
        <is>
          <t>Treatment</t>
        </is>
      </c>
      <c r="D881" s="0" t="inlineStr">
        <is>
          <t>East</t>
        </is>
      </c>
      <c r="E881" s="0" t="inlineStr">
        <is>
          <t>Mobile</t>
        </is>
      </c>
      <c r="F881" s="0" t="inlineStr">
        <is>
          <t>Social</t>
        </is>
      </c>
      <c r="G881" s="0" t="inlineStr">
        <is>
          <t>Basic</t>
        </is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P881" s="0" t="n">
        <v>66.90000000000001</v>
      </c>
    </row>
    <row r="882">
      <c r="A882" s="0" t="inlineStr">
        <is>
          <t>USR-100881</t>
        </is>
      </c>
      <c r="B882" s="23" t="n">
        <v>45774</v>
      </c>
      <c r="C882" s="0" t="inlineStr">
        <is>
          <t>Treatment</t>
        </is>
      </c>
      <c r="D882" s="0" t="inlineStr">
        <is>
          <t>South</t>
        </is>
      </c>
      <c r="E882" s="0" t="inlineStr">
        <is>
          <t>Desktop</t>
        </is>
      </c>
      <c r="F882" s="0" t="inlineStr">
        <is>
          <t>Social</t>
        </is>
      </c>
      <c r="G882" s="0" t="inlineStr">
        <is>
          <t>Basic</t>
        </is>
      </c>
      <c r="H882" s="0" t="n">
        <v>1</v>
      </c>
      <c r="I882" s="0" t="n">
        <v>1</v>
      </c>
      <c r="J882" s="0" t="n">
        <v>1</v>
      </c>
      <c r="K882" s="0" t="n">
        <v>0</v>
      </c>
      <c r="L882" s="0" t="n">
        <v>0</v>
      </c>
      <c r="M882" s="0" t="n">
        <v>0</v>
      </c>
      <c r="N882" s="0" t="n">
        <v>0</v>
      </c>
      <c r="P882" s="0" t="n">
        <v>58.3</v>
      </c>
    </row>
    <row r="883">
      <c r="A883" s="0" t="inlineStr">
        <is>
          <t>USR-100882</t>
        </is>
      </c>
      <c r="B883" s="23" t="n">
        <v>45735</v>
      </c>
      <c r="C883" s="0" t="inlineStr">
        <is>
          <t>Treatment</t>
        </is>
      </c>
      <c r="D883" s="0" t="inlineStr">
        <is>
          <t>East</t>
        </is>
      </c>
      <c r="E883" s="0" t="inlineStr">
        <is>
          <t>Mobile</t>
        </is>
      </c>
      <c r="F883" s="0" t="inlineStr">
        <is>
          <t>Paid Search</t>
        </is>
      </c>
      <c r="G883" s="0" t="inlineStr">
        <is>
          <t>Free</t>
        </is>
      </c>
      <c r="H883" s="0" t="n">
        <v>1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P883" s="0" t="n">
        <v>45</v>
      </c>
    </row>
    <row r="884">
      <c r="A884" s="0" t="inlineStr">
        <is>
          <t>USR-100883</t>
        </is>
      </c>
      <c r="B884" s="23" t="n">
        <v>45797</v>
      </c>
      <c r="C884" s="0" t="inlineStr">
        <is>
          <t>Treatment</t>
        </is>
      </c>
      <c r="D884" s="0" t="inlineStr">
        <is>
          <t>South</t>
        </is>
      </c>
      <c r="E884" s="0" t="inlineStr">
        <is>
          <t>Mobile</t>
        </is>
      </c>
      <c r="F884" s="0" t="inlineStr">
        <is>
          <t>Organic</t>
        </is>
      </c>
      <c r="G884" s="0" t="inlineStr">
        <is>
          <t>Premium</t>
        </is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P884" s="0" t="n">
        <v>60.8</v>
      </c>
    </row>
    <row r="885">
      <c r="A885" s="0" t="inlineStr">
        <is>
          <t>USR-100884</t>
        </is>
      </c>
      <c r="B885" s="23" t="n">
        <v>45787</v>
      </c>
      <c r="C885" s="0" t="inlineStr">
        <is>
          <t>Treatment</t>
        </is>
      </c>
      <c r="D885" s="0" t="inlineStr">
        <is>
          <t>North</t>
        </is>
      </c>
      <c r="E885" s="0" t="inlineStr">
        <is>
          <t>Mobile</t>
        </is>
      </c>
      <c r="F885" s="0" t="inlineStr">
        <is>
          <t>Email</t>
        </is>
      </c>
      <c r="G885" s="0" t="inlineStr">
        <is>
          <t>Premium</t>
        </is>
      </c>
      <c r="H885" s="0" t="n">
        <v>1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4</v>
      </c>
      <c r="N885" s="0" t="n">
        <v>0</v>
      </c>
      <c r="P885" s="0" t="n">
        <v>53.7</v>
      </c>
    </row>
    <row r="886">
      <c r="A886" s="0" t="inlineStr">
        <is>
          <t>USR-100885</t>
        </is>
      </c>
      <c r="B886" s="23" t="n">
        <v>45745</v>
      </c>
      <c r="C886" s="0" t="inlineStr">
        <is>
          <t>Treatment</t>
        </is>
      </c>
      <c r="D886" s="0" t="inlineStr">
        <is>
          <t>East</t>
        </is>
      </c>
      <c r="E886" s="0" t="inlineStr">
        <is>
          <t>Mobile</t>
        </is>
      </c>
      <c r="F886" s="0" t="inlineStr">
        <is>
          <t>Social</t>
        </is>
      </c>
      <c r="G886" s="0" t="inlineStr">
        <is>
          <t>Free</t>
        </is>
      </c>
      <c r="H886" s="0" t="n">
        <v>1</v>
      </c>
      <c r="I886" s="0" t="n">
        <v>1</v>
      </c>
      <c r="J886" s="0" t="n">
        <v>1</v>
      </c>
      <c r="K886" s="0" t="n">
        <v>0</v>
      </c>
      <c r="L886" s="0" t="n">
        <v>0</v>
      </c>
      <c r="M886" s="0" t="n">
        <v>0</v>
      </c>
      <c r="N886" s="0" t="n">
        <v>0</v>
      </c>
      <c r="P886" s="0" t="n">
        <v>48.8</v>
      </c>
    </row>
    <row r="887">
      <c r="A887" s="0" t="inlineStr">
        <is>
          <t>USR-100886</t>
        </is>
      </c>
      <c r="B887" s="23" t="n">
        <v>45750</v>
      </c>
      <c r="C887" s="0" t="inlineStr">
        <is>
          <t>Treatment</t>
        </is>
      </c>
      <c r="D887" s="0" t="inlineStr">
        <is>
          <t>West</t>
        </is>
      </c>
      <c r="E887" s="0" t="inlineStr">
        <is>
          <t>Desktop</t>
        </is>
      </c>
      <c r="F887" s="0" t="inlineStr">
        <is>
          <t>Referral</t>
        </is>
      </c>
      <c r="G887" s="0" t="inlineStr">
        <is>
          <t>Basic</t>
        </is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P887" s="0" t="n">
        <v>52.9</v>
      </c>
    </row>
    <row r="888">
      <c r="A888" s="0" t="inlineStr">
        <is>
          <t>USR-100887</t>
        </is>
      </c>
      <c r="B888" s="23" t="n">
        <v>45807</v>
      </c>
      <c r="C888" s="0" t="inlineStr">
        <is>
          <t>Treatment</t>
        </is>
      </c>
      <c r="D888" s="0" t="inlineStr">
        <is>
          <t>South</t>
        </is>
      </c>
      <c r="E888" s="0" t="inlineStr">
        <is>
          <t>Mobile</t>
        </is>
      </c>
      <c r="F888" s="0" t="inlineStr">
        <is>
          <t>Email</t>
        </is>
      </c>
      <c r="G888" s="0" t="inlineStr">
        <is>
          <t>Free</t>
        </is>
      </c>
      <c r="H888" s="0" t="n">
        <v>1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P888" s="0" t="n">
        <v>42.4</v>
      </c>
    </row>
    <row r="889">
      <c r="A889" s="0" t="inlineStr">
        <is>
          <t>USR-100888</t>
        </is>
      </c>
      <c r="B889" s="23" t="n">
        <v>45753</v>
      </c>
      <c r="C889" s="0" t="inlineStr">
        <is>
          <t>Treatment</t>
        </is>
      </c>
      <c r="D889" s="0" t="inlineStr">
        <is>
          <t>East</t>
        </is>
      </c>
      <c r="E889" s="0" t="inlineStr">
        <is>
          <t>Desktop</t>
        </is>
      </c>
      <c r="F889" s="0" t="inlineStr">
        <is>
          <t>Email</t>
        </is>
      </c>
      <c r="G889" s="0" t="inlineStr">
        <is>
          <t>Free</t>
        </is>
      </c>
      <c r="H889" s="0" t="n">
        <v>1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P889" s="0" t="n">
        <v>58.7</v>
      </c>
    </row>
    <row r="890">
      <c r="A890" s="0" t="inlineStr">
        <is>
          <t>USR-100889</t>
        </is>
      </c>
      <c r="B890" s="23" t="n">
        <v>45730</v>
      </c>
      <c r="C890" s="0" t="inlineStr">
        <is>
          <t>Treatment</t>
        </is>
      </c>
      <c r="D890" s="0" t="inlineStr">
        <is>
          <t>North</t>
        </is>
      </c>
      <c r="E890" s="0" t="inlineStr">
        <is>
          <t>Mobile</t>
        </is>
      </c>
      <c r="F890" s="0" t="inlineStr">
        <is>
          <t>Referral</t>
        </is>
      </c>
      <c r="G890" s="0" t="inlineStr">
        <is>
          <t>Free</t>
        </is>
      </c>
      <c r="H890" s="0" t="n">
        <v>1</v>
      </c>
      <c r="I890" s="0" t="n">
        <v>1</v>
      </c>
      <c r="J890" s="0" t="n">
        <v>1</v>
      </c>
      <c r="K890" s="0" t="n">
        <v>1</v>
      </c>
      <c r="L890" s="0" t="n">
        <v>2064.55</v>
      </c>
      <c r="M890" s="0" t="n">
        <v>0</v>
      </c>
      <c r="N890" s="0" t="n">
        <v>0</v>
      </c>
      <c r="O890" s="0" t="n">
        <v>1</v>
      </c>
      <c r="P890" s="0" t="n">
        <v>67.8</v>
      </c>
    </row>
    <row r="891">
      <c r="A891" s="0" t="inlineStr">
        <is>
          <t>USR-100890</t>
        </is>
      </c>
      <c r="B891" s="23" t="n">
        <v>45712</v>
      </c>
      <c r="C891" s="0" t="inlineStr">
        <is>
          <t>Treatment</t>
        </is>
      </c>
      <c r="D891" s="0" t="inlineStr">
        <is>
          <t>South</t>
        </is>
      </c>
      <c r="E891" s="0" t="inlineStr">
        <is>
          <t>Desktop</t>
        </is>
      </c>
      <c r="F891" s="0" t="inlineStr">
        <is>
          <t>Paid Search</t>
        </is>
      </c>
      <c r="G891" s="0" t="inlineStr">
        <is>
          <t>Basic</t>
        </is>
      </c>
      <c r="H891" s="0" t="n">
        <v>1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P891" s="0" t="n">
        <v>62.6</v>
      </c>
    </row>
    <row r="892">
      <c r="A892" s="0" t="inlineStr">
        <is>
          <t>USR-100891</t>
        </is>
      </c>
      <c r="B892" s="23" t="n">
        <v>45720</v>
      </c>
      <c r="C892" s="0" t="inlineStr">
        <is>
          <t>Treatment</t>
        </is>
      </c>
      <c r="D892" s="0" t="inlineStr">
        <is>
          <t>West</t>
        </is>
      </c>
      <c r="E892" s="0" t="inlineStr">
        <is>
          <t>Mobile</t>
        </is>
      </c>
      <c r="F892" s="0" t="inlineStr">
        <is>
          <t>Email</t>
        </is>
      </c>
      <c r="G892" s="0" t="inlineStr">
        <is>
          <t>Basic</t>
        </is>
      </c>
      <c r="H892" s="0" t="n">
        <v>1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P892" s="0" t="n">
        <v>82.40000000000001</v>
      </c>
    </row>
    <row r="893">
      <c r="A893" s="0" t="inlineStr">
        <is>
          <t>USR-100892</t>
        </is>
      </c>
      <c r="B893" s="23" t="n">
        <v>45749</v>
      </c>
      <c r="C893" s="0" t="inlineStr">
        <is>
          <t>Treatment</t>
        </is>
      </c>
      <c r="D893" s="0" t="inlineStr">
        <is>
          <t>North</t>
        </is>
      </c>
      <c r="E893" s="0" t="inlineStr">
        <is>
          <t>Mobile</t>
        </is>
      </c>
      <c r="F893" s="0" t="inlineStr">
        <is>
          <t>Organic</t>
        </is>
      </c>
      <c r="G893" s="0" t="inlineStr">
        <is>
          <t>Free</t>
        </is>
      </c>
      <c r="H893" s="0" t="n">
        <v>1</v>
      </c>
      <c r="I893" s="0" t="n">
        <v>1</v>
      </c>
      <c r="J893" s="0" t="n">
        <v>1</v>
      </c>
      <c r="K893" s="0" t="n">
        <v>0</v>
      </c>
      <c r="L893" s="0" t="n">
        <v>0</v>
      </c>
      <c r="M893" s="0" t="n">
        <v>0</v>
      </c>
      <c r="N893" s="0" t="n">
        <v>0</v>
      </c>
      <c r="P893" s="0" t="n">
        <v>50.4</v>
      </c>
    </row>
    <row r="894">
      <c r="A894" s="0" t="inlineStr">
        <is>
          <t>USR-100893</t>
        </is>
      </c>
      <c r="B894" s="23" t="n">
        <v>45788</v>
      </c>
      <c r="C894" s="0" t="inlineStr">
        <is>
          <t>Treatment</t>
        </is>
      </c>
      <c r="D894" s="0" t="inlineStr">
        <is>
          <t>North</t>
        </is>
      </c>
      <c r="E894" s="0" t="inlineStr">
        <is>
          <t>Mobile</t>
        </is>
      </c>
      <c r="F894" s="0" t="inlineStr">
        <is>
          <t>Email</t>
        </is>
      </c>
      <c r="G894" s="0" t="inlineStr">
        <is>
          <t>Premium</t>
        </is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P894" s="0" t="n">
        <v>68.40000000000001</v>
      </c>
    </row>
    <row r="895">
      <c r="A895" s="0" t="inlineStr">
        <is>
          <t>USR-100894</t>
        </is>
      </c>
      <c r="B895" s="23" t="n">
        <v>45787</v>
      </c>
      <c r="C895" s="0" t="inlineStr">
        <is>
          <t>Treatment</t>
        </is>
      </c>
      <c r="D895" s="0" t="inlineStr">
        <is>
          <t>West</t>
        </is>
      </c>
      <c r="E895" s="0" t="inlineStr">
        <is>
          <t>Tablet</t>
        </is>
      </c>
      <c r="F895" s="0" t="inlineStr">
        <is>
          <t>Paid Search</t>
        </is>
      </c>
      <c r="G895" s="0" t="inlineStr">
        <is>
          <t>Basic</t>
        </is>
      </c>
      <c r="H895" s="0" t="n">
        <v>1</v>
      </c>
      <c r="I895" s="0" t="n">
        <v>1</v>
      </c>
      <c r="J895" s="0" t="n">
        <v>1</v>
      </c>
      <c r="K895" s="0" t="n">
        <v>0</v>
      </c>
      <c r="L895" s="0" t="n">
        <v>0</v>
      </c>
      <c r="M895" s="0" t="n">
        <v>0</v>
      </c>
      <c r="N895" s="0" t="n">
        <v>0</v>
      </c>
      <c r="P895" s="0" t="n">
        <v>58.8</v>
      </c>
    </row>
    <row r="896">
      <c r="A896" s="0" t="inlineStr">
        <is>
          <t>USR-100895</t>
        </is>
      </c>
      <c r="B896" s="23" t="n">
        <v>45783</v>
      </c>
      <c r="C896" s="0" t="inlineStr">
        <is>
          <t>Treatment</t>
        </is>
      </c>
      <c r="D896" s="0" t="inlineStr">
        <is>
          <t>West</t>
        </is>
      </c>
      <c r="E896" s="0" t="inlineStr">
        <is>
          <t>Mobile</t>
        </is>
      </c>
      <c r="F896" s="0" t="inlineStr">
        <is>
          <t>Referral</t>
        </is>
      </c>
      <c r="G896" s="0" t="inlineStr">
        <is>
          <t>Free</t>
        </is>
      </c>
      <c r="H896" s="0" t="n">
        <v>1</v>
      </c>
      <c r="I896" s="0" t="n">
        <v>1</v>
      </c>
      <c r="J896" s="0" t="n">
        <v>0</v>
      </c>
      <c r="K896" s="0" t="n">
        <v>0</v>
      </c>
      <c r="L896" s="0" t="n">
        <v>0</v>
      </c>
      <c r="M896" s="0" t="n">
        <v>2</v>
      </c>
      <c r="N896" s="0" t="n">
        <v>0</v>
      </c>
      <c r="P896" s="0" t="n">
        <v>28.3</v>
      </c>
    </row>
    <row r="897">
      <c r="A897" s="0" t="inlineStr">
        <is>
          <t>USR-100896</t>
        </is>
      </c>
      <c r="B897" s="23" t="n">
        <v>45699</v>
      </c>
      <c r="C897" s="0" t="inlineStr">
        <is>
          <t>Treatment</t>
        </is>
      </c>
      <c r="D897" s="0" t="inlineStr">
        <is>
          <t>West</t>
        </is>
      </c>
      <c r="E897" s="0" t="inlineStr">
        <is>
          <t>Desktop</t>
        </is>
      </c>
      <c r="F897" s="0" t="inlineStr">
        <is>
          <t>Paid Search</t>
        </is>
      </c>
      <c r="G897" s="0" t="inlineStr">
        <is>
          <t>Free</t>
        </is>
      </c>
      <c r="H897" s="0" t="n">
        <v>1</v>
      </c>
      <c r="I897" s="0" t="n">
        <v>1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P897" s="0" t="n">
        <v>44.1</v>
      </c>
    </row>
    <row r="898">
      <c r="A898" s="0" t="inlineStr">
        <is>
          <t>USR-100897</t>
        </is>
      </c>
      <c r="B898" s="23" t="n">
        <v>45786</v>
      </c>
      <c r="C898" s="0" t="inlineStr">
        <is>
          <t>Treatment</t>
        </is>
      </c>
      <c r="D898" s="0" t="inlineStr">
        <is>
          <t>South</t>
        </is>
      </c>
      <c r="E898" s="0" t="inlineStr">
        <is>
          <t>Mobile</t>
        </is>
      </c>
      <c r="F898" s="0" t="inlineStr">
        <is>
          <t>Paid Search</t>
        </is>
      </c>
      <c r="G898" s="0" t="inlineStr">
        <is>
          <t>Premium</t>
        </is>
      </c>
      <c r="H898" s="0" t="n">
        <v>1</v>
      </c>
      <c r="I898" s="0" t="n">
        <v>1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P898" s="0" t="n">
        <v>66.7</v>
      </c>
    </row>
    <row r="899">
      <c r="A899" s="0" t="inlineStr">
        <is>
          <t>USR-100898</t>
        </is>
      </c>
      <c r="B899" s="23" t="n">
        <v>45690</v>
      </c>
      <c r="C899" s="0" t="inlineStr">
        <is>
          <t>Treatment</t>
        </is>
      </c>
      <c r="D899" s="0" t="inlineStr">
        <is>
          <t>South</t>
        </is>
      </c>
      <c r="E899" s="0" t="inlineStr">
        <is>
          <t>Mobile</t>
        </is>
      </c>
      <c r="F899" s="0" t="inlineStr">
        <is>
          <t>Unknown</t>
        </is>
      </c>
      <c r="G899" s="0" t="inlineStr">
        <is>
          <t>Free</t>
        </is>
      </c>
      <c r="H899" s="0" t="n">
        <v>1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P899" s="0" t="n">
        <v>100</v>
      </c>
    </row>
    <row r="900">
      <c r="A900" s="0" t="inlineStr">
        <is>
          <t>USR-100899</t>
        </is>
      </c>
      <c r="B900" s="23" t="n">
        <v>45750</v>
      </c>
      <c r="C900" s="0" t="inlineStr">
        <is>
          <t>Treatment</t>
        </is>
      </c>
      <c r="D900" s="0" t="inlineStr">
        <is>
          <t>South</t>
        </is>
      </c>
      <c r="E900" s="0" t="inlineStr">
        <is>
          <t>Mobile</t>
        </is>
      </c>
      <c r="F900" s="0" t="inlineStr">
        <is>
          <t>Social</t>
        </is>
      </c>
      <c r="G900" s="0" t="inlineStr">
        <is>
          <t>Free</t>
        </is>
      </c>
      <c r="H900" s="0" t="n">
        <v>1</v>
      </c>
      <c r="I900" s="0" t="n">
        <v>1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P900" s="0" t="n">
        <v>87.5</v>
      </c>
    </row>
    <row r="901">
      <c r="A901" s="0" t="inlineStr">
        <is>
          <t>USR-100900</t>
        </is>
      </c>
      <c r="B901" s="23" t="n">
        <v>45703</v>
      </c>
      <c r="C901" s="0" t="inlineStr">
        <is>
          <t>Treatment</t>
        </is>
      </c>
      <c r="D901" s="0" t="inlineStr">
        <is>
          <t>North</t>
        </is>
      </c>
      <c r="E901" s="0" t="inlineStr">
        <is>
          <t>Desktop</t>
        </is>
      </c>
      <c r="F901" s="0" t="inlineStr">
        <is>
          <t>Organic</t>
        </is>
      </c>
      <c r="G901" s="0" t="inlineStr">
        <is>
          <t>Basic</t>
        </is>
      </c>
      <c r="H901" s="0" t="n">
        <v>1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2</v>
      </c>
      <c r="N901" s="0" t="n">
        <v>0</v>
      </c>
      <c r="P901" s="0" t="n">
        <v>65.40000000000001</v>
      </c>
    </row>
    <row r="902">
      <c r="A902" s="0" t="inlineStr">
        <is>
          <t>USR-100901</t>
        </is>
      </c>
      <c r="B902" s="23" t="n">
        <v>45765</v>
      </c>
      <c r="C902" s="0" t="inlineStr">
        <is>
          <t>Treatment</t>
        </is>
      </c>
      <c r="D902" s="0" t="inlineStr">
        <is>
          <t>South</t>
        </is>
      </c>
      <c r="E902" s="0" t="inlineStr">
        <is>
          <t>Desktop</t>
        </is>
      </c>
      <c r="F902" s="0" t="inlineStr">
        <is>
          <t>Organic</t>
        </is>
      </c>
      <c r="G902" s="0" t="inlineStr">
        <is>
          <t>Free</t>
        </is>
      </c>
      <c r="H902" s="0" t="n">
        <v>1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P902" s="0" t="n">
        <v>22.9</v>
      </c>
    </row>
    <row r="903">
      <c r="A903" s="0" t="inlineStr">
        <is>
          <t>USR-100902</t>
        </is>
      </c>
      <c r="B903" s="23" t="n">
        <v>45730</v>
      </c>
      <c r="C903" s="0" t="inlineStr">
        <is>
          <t>Treatment</t>
        </is>
      </c>
      <c r="D903" s="0" t="inlineStr">
        <is>
          <t>West</t>
        </is>
      </c>
      <c r="E903" s="0" t="inlineStr">
        <is>
          <t>Desktop</t>
        </is>
      </c>
      <c r="F903" s="0" t="inlineStr">
        <is>
          <t>Organic</t>
        </is>
      </c>
      <c r="G903" s="0" t="inlineStr">
        <is>
          <t>Premium</t>
        </is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P903" s="0" t="n">
        <v>64.59999999999999</v>
      </c>
    </row>
    <row r="904">
      <c r="A904" s="0" t="inlineStr">
        <is>
          <t>USR-100903</t>
        </is>
      </c>
      <c r="B904" s="23" t="n">
        <v>45745</v>
      </c>
      <c r="C904" s="0" t="inlineStr">
        <is>
          <t>Treatment</t>
        </is>
      </c>
      <c r="D904" s="0" t="inlineStr">
        <is>
          <t>South</t>
        </is>
      </c>
      <c r="E904" s="0" t="inlineStr">
        <is>
          <t>Mobile</t>
        </is>
      </c>
      <c r="F904" s="0" t="inlineStr">
        <is>
          <t>Referral</t>
        </is>
      </c>
      <c r="G904" s="0" t="inlineStr">
        <is>
          <t>Free</t>
        </is>
      </c>
      <c r="H904" s="0" t="n">
        <v>1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2</v>
      </c>
      <c r="N904" s="0" t="n">
        <v>0</v>
      </c>
      <c r="P904" s="0" t="n">
        <v>54.4</v>
      </c>
    </row>
    <row r="905">
      <c r="A905" s="0" t="inlineStr">
        <is>
          <t>USR-100904</t>
        </is>
      </c>
      <c r="B905" s="23" t="n">
        <v>45701</v>
      </c>
      <c r="C905" s="0" t="inlineStr">
        <is>
          <t>Treatment</t>
        </is>
      </c>
      <c r="D905" s="0" t="inlineStr">
        <is>
          <t>North</t>
        </is>
      </c>
      <c r="E905" s="0" t="inlineStr">
        <is>
          <t>Desktop</t>
        </is>
      </c>
      <c r="F905" s="0" t="inlineStr">
        <is>
          <t>Organic</t>
        </is>
      </c>
      <c r="G905" s="0" t="inlineStr">
        <is>
          <t>Free</t>
        </is>
      </c>
      <c r="H905" s="0" t="n">
        <v>1</v>
      </c>
      <c r="I905" s="0" t="n">
        <v>1</v>
      </c>
      <c r="J905" s="0" t="n">
        <v>1</v>
      </c>
      <c r="K905" s="0" t="n">
        <v>0</v>
      </c>
      <c r="L905" s="0" t="n">
        <v>0</v>
      </c>
      <c r="M905" s="0" t="n">
        <v>0</v>
      </c>
      <c r="N905" s="0" t="n">
        <v>0</v>
      </c>
      <c r="P905" s="0" t="n">
        <v>56.8</v>
      </c>
    </row>
    <row r="906">
      <c r="A906" s="0" t="inlineStr">
        <is>
          <t>USR-100905</t>
        </is>
      </c>
      <c r="B906" s="23" t="n">
        <v>45680</v>
      </c>
      <c r="C906" s="0" t="inlineStr">
        <is>
          <t>Treatment</t>
        </is>
      </c>
      <c r="D906" s="0" t="inlineStr">
        <is>
          <t>South</t>
        </is>
      </c>
      <c r="E906" s="0" t="inlineStr">
        <is>
          <t>Mobile</t>
        </is>
      </c>
      <c r="F906" s="0" t="inlineStr">
        <is>
          <t>Paid Search</t>
        </is>
      </c>
      <c r="G906" s="0" t="inlineStr">
        <is>
          <t>Free</t>
        </is>
      </c>
      <c r="H906" s="0" t="n">
        <v>1</v>
      </c>
      <c r="I906" s="0" t="n">
        <v>1</v>
      </c>
      <c r="J906" s="0" t="n">
        <v>1</v>
      </c>
      <c r="K906" s="0" t="n">
        <v>1</v>
      </c>
      <c r="L906" s="0" t="n">
        <v>341.38</v>
      </c>
      <c r="M906" s="0" t="n">
        <v>0</v>
      </c>
      <c r="N906" s="0" t="n">
        <v>0</v>
      </c>
      <c r="O906" s="0" t="n">
        <v>2</v>
      </c>
      <c r="P906" s="0" t="n">
        <v>63.6</v>
      </c>
    </row>
    <row r="907">
      <c r="A907" s="0" t="inlineStr">
        <is>
          <t>USR-100906</t>
        </is>
      </c>
      <c r="B907" s="23" t="n">
        <v>45712</v>
      </c>
      <c r="C907" s="0" t="inlineStr">
        <is>
          <t>Treatment</t>
        </is>
      </c>
      <c r="D907" s="0" t="inlineStr">
        <is>
          <t>East</t>
        </is>
      </c>
      <c r="E907" s="0" t="inlineStr">
        <is>
          <t>Mobile</t>
        </is>
      </c>
      <c r="F907" s="0" t="inlineStr">
        <is>
          <t>Social</t>
        </is>
      </c>
      <c r="G907" s="0" t="inlineStr">
        <is>
          <t>Free</t>
        </is>
      </c>
      <c r="H907" s="0" t="n">
        <v>1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P907" s="0" t="n">
        <v>58.2</v>
      </c>
    </row>
    <row r="908">
      <c r="A908" s="0" t="inlineStr">
        <is>
          <t>USR-100907</t>
        </is>
      </c>
      <c r="B908" s="23" t="n">
        <v>45716</v>
      </c>
      <c r="C908" s="0" t="inlineStr">
        <is>
          <t>Treatment</t>
        </is>
      </c>
      <c r="D908" s="0" t="inlineStr">
        <is>
          <t>West</t>
        </is>
      </c>
      <c r="E908" s="0" t="inlineStr">
        <is>
          <t>Mobile</t>
        </is>
      </c>
      <c r="F908" s="0" t="inlineStr">
        <is>
          <t>Paid Search</t>
        </is>
      </c>
      <c r="G908" s="0" t="inlineStr">
        <is>
          <t>Free</t>
        </is>
      </c>
      <c r="H908" s="0" t="n">
        <v>1</v>
      </c>
      <c r="I908" s="0" t="n">
        <v>1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P908" s="0" t="n">
        <v>54.6</v>
      </c>
    </row>
    <row r="909">
      <c r="A909" s="0" t="inlineStr">
        <is>
          <t>USR-100908</t>
        </is>
      </c>
      <c r="B909" s="23" t="n">
        <v>45664</v>
      </c>
      <c r="C909" s="0" t="inlineStr">
        <is>
          <t>Treatment</t>
        </is>
      </c>
      <c r="D909" s="0" t="inlineStr">
        <is>
          <t>West</t>
        </is>
      </c>
      <c r="E909" s="0" t="inlineStr">
        <is>
          <t>Tablet</t>
        </is>
      </c>
      <c r="F909" s="0" t="inlineStr">
        <is>
          <t>Organic</t>
        </is>
      </c>
      <c r="G909" s="0" t="inlineStr">
        <is>
          <t>Basic</t>
        </is>
      </c>
      <c r="H909" s="0" t="n">
        <v>1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P909" s="0" t="n">
        <v>81.90000000000001</v>
      </c>
    </row>
    <row r="910">
      <c r="A910" s="0" t="inlineStr">
        <is>
          <t>USR-100909</t>
        </is>
      </c>
      <c r="B910" s="23" t="n">
        <v>45737</v>
      </c>
      <c r="C910" s="0" t="inlineStr">
        <is>
          <t>Treatment</t>
        </is>
      </c>
      <c r="D910" s="0" t="inlineStr">
        <is>
          <t>West</t>
        </is>
      </c>
      <c r="E910" s="0" t="inlineStr">
        <is>
          <t>Desktop</t>
        </is>
      </c>
      <c r="F910" s="0" t="inlineStr">
        <is>
          <t>Email</t>
        </is>
      </c>
      <c r="G910" s="0" t="inlineStr">
        <is>
          <t>Free</t>
        </is>
      </c>
      <c r="H910" s="0" t="n">
        <v>1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3</v>
      </c>
      <c r="N910" s="0" t="n">
        <v>0</v>
      </c>
      <c r="P910" s="0" t="n">
        <v>53.3</v>
      </c>
    </row>
    <row r="911">
      <c r="A911" s="0" t="inlineStr">
        <is>
          <t>USR-100910</t>
        </is>
      </c>
      <c r="B911" s="23" t="n">
        <v>45706</v>
      </c>
      <c r="C911" s="0" t="inlineStr">
        <is>
          <t>Treatment</t>
        </is>
      </c>
      <c r="D911" s="0" t="inlineStr">
        <is>
          <t>North</t>
        </is>
      </c>
      <c r="E911" s="0" t="inlineStr">
        <is>
          <t>Desktop</t>
        </is>
      </c>
      <c r="F911" s="0" t="inlineStr">
        <is>
          <t>Organic</t>
        </is>
      </c>
      <c r="G911" s="0" t="inlineStr">
        <is>
          <t>Basic</t>
        </is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P911" s="0" t="n">
        <v>54.2</v>
      </c>
    </row>
    <row r="912">
      <c r="A912" s="0" t="inlineStr">
        <is>
          <t>USR-100911</t>
        </is>
      </c>
      <c r="B912" s="23" t="n">
        <v>45662</v>
      </c>
      <c r="C912" s="0" t="inlineStr">
        <is>
          <t>Treatment</t>
        </is>
      </c>
      <c r="D912" s="0" t="inlineStr">
        <is>
          <t>North</t>
        </is>
      </c>
      <c r="E912" s="0" t="inlineStr">
        <is>
          <t>Mobile</t>
        </is>
      </c>
      <c r="F912" s="0" t="inlineStr">
        <is>
          <t>Paid Search</t>
        </is>
      </c>
      <c r="G912" s="0" t="inlineStr">
        <is>
          <t>Free</t>
        </is>
      </c>
      <c r="H912" s="0" t="n">
        <v>1</v>
      </c>
      <c r="I912" s="0" t="n">
        <v>1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P912" s="0" t="n">
        <v>65.59999999999999</v>
      </c>
    </row>
    <row r="913">
      <c r="A913" s="0" t="inlineStr">
        <is>
          <t>USR-100912</t>
        </is>
      </c>
      <c r="B913" s="23" t="n">
        <v>45727</v>
      </c>
      <c r="C913" s="0" t="inlineStr">
        <is>
          <t>Treatment</t>
        </is>
      </c>
      <c r="D913" s="0" t="inlineStr">
        <is>
          <t>East</t>
        </is>
      </c>
      <c r="E913" s="0" t="inlineStr">
        <is>
          <t>Desktop</t>
        </is>
      </c>
      <c r="F913" s="0" t="inlineStr">
        <is>
          <t>Organic</t>
        </is>
      </c>
      <c r="G913" s="0" t="inlineStr">
        <is>
          <t>Basic</t>
        </is>
      </c>
      <c r="H913" s="0" t="n">
        <v>1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1</v>
      </c>
      <c r="N913" s="0" t="n">
        <v>0</v>
      </c>
      <c r="P913" s="0" t="n">
        <v>56.5</v>
      </c>
    </row>
    <row r="914">
      <c r="A914" s="0" t="inlineStr">
        <is>
          <t>USR-100913</t>
        </is>
      </c>
      <c r="B914" s="23" t="n">
        <v>45666</v>
      </c>
      <c r="C914" s="0" t="inlineStr">
        <is>
          <t>Treatment</t>
        </is>
      </c>
      <c r="D914" s="0" t="inlineStr">
        <is>
          <t>North</t>
        </is>
      </c>
      <c r="E914" s="0" t="inlineStr">
        <is>
          <t>Desktop</t>
        </is>
      </c>
      <c r="F914" s="0" t="inlineStr">
        <is>
          <t>Organic</t>
        </is>
      </c>
      <c r="G914" s="0" t="inlineStr">
        <is>
          <t>Basic</t>
        </is>
      </c>
      <c r="H914" s="0" t="n">
        <v>1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P914" s="0" t="n">
        <v>59.7</v>
      </c>
    </row>
    <row r="915">
      <c r="A915" s="0" t="inlineStr">
        <is>
          <t>USR-100914</t>
        </is>
      </c>
      <c r="B915" s="23" t="n">
        <v>45665</v>
      </c>
      <c r="C915" s="0" t="inlineStr">
        <is>
          <t>Treatment</t>
        </is>
      </c>
      <c r="D915" s="0" t="inlineStr">
        <is>
          <t>South</t>
        </is>
      </c>
      <c r="E915" s="0" t="inlineStr">
        <is>
          <t>Mobile</t>
        </is>
      </c>
      <c r="F915" s="0" t="inlineStr">
        <is>
          <t>Organic</t>
        </is>
      </c>
      <c r="G915" s="0" t="inlineStr">
        <is>
          <t>Free</t>
        </is>
      </c>
      <c r="H915" s="0" t="n">
        <v>1</v>
      </c>
      <c r="I915" s="0" t="n">
        <v>1</v>
      </c>
      <c r="J915" s="0" t="n">
        <v>1</v>
      </c>
      <c r="K915" s="0" t="n">
        <v>0</v>
      </c>
      <c r="L915" s="0" t="n">
        <v>0</v>
      </c>
      <c r="M915" s="0" t="n">
        <v>0</v>
      </c>
      <c r="N915" s="0" t="n">
        <v>0</v>
      </c>
      <c r="P915" s="0" t="n">
        <v>72.5</v>
      </c>
    </row>
    <row r="916">
      <c r="A916" s="0" t="inlineStr">
        <is>
          <t>USR-100915</t>
        </is>
      </c>
      <c r="B916" s="23" t="n">
        <v>45778</v>
      </c>
      <c r="C916" s="0" t="inlineStr">
        <is>
          <t>Treatment</t>
        </is>
      </c>
      <c r="D916" s="0" t="inlineStr">
        <is>
          <t>East</t>
        </is>
      </c>
      <c r="E916" s="0" t="inlineStr">
        <is>
          <t>Desktop</t>
        </is>
      </c>
      <c r="F916" s="0" t="inlineStr">
        <is>
          <t>Paid Search</t>
        </is>
      </c>
      <c r="G916" s="0" t="inlineStr">
        <is>
          <t>Free</t>
        </is>
      </c>
      <c r="H916" s="0" t="n">
        <v>1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P916" s="0" t="n">
        <v>64.3</v>
      </c>
    </row>
    <row r="917">
      <c r="A917" s="0" t="inlineStr">
        <is>
          <t>USR-100916</t>
        </is>
      </c>
      <c r="B917" s="23" t="n">
        <v>45719</v>
      </c>
      <c r="C917" s="0" t="inlineStr">
        <is>
          <t>Treatment</t>
        </is>
      </c>
      <c r="D917" s="0" t="inlineStr">
        <is>
          <t>South</t>
        </is>
      </c>
      <c r="E917" s="0" t="inlineStr">
        <is>
          <t>Mobile</t>
        </is>
      </c>
      <c r="F917" s="0" t="inlineStr">
        <is>
          <t>Social</t>
        </is>
      </c>
      <c r="G917" s="0" t="inlineStr">
        <is>
          <t>Free</t>
        </is>
      </c>
      <c r="H917" s="0" t="n">
        <v>1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P917" s="0" t="n">
        <v>64.5</v>
      </c>
    </row>
    <row r="918">
      <c r="A918" s="0" t="inlineStr">
        <is>
          <t>USR-100917</t>
        </is>
      </c>
      <c r="B918" s="23" t="n">
        <v>45711</v>
      </c>
      <c r="C918" s="0" t="inlineStr">
        <is>
          <t>Treatment</t>
        </is>
      </c>
      <c r="D918" s="0" t="inlineStr">
        <is>
          <t>West</t>
        </is>
      </c>
      <c r="E918" s="0" t="inlineStr">
        <is>
          <t>Desktop</t>
        </is>
      </c>
      <c r="F918" s="0" t="inlineStr">
        <is>
          <t>Social</t>
        </is>
      </c>
      <c r="G918" s="0" t="inlineStr">
        <is>
          <t>Basic</t>
        </is>
      </c>
      <c r="H918" s="0" t="n">
        <v>1</v>
      </c>
      <c r="I918" s="0" t="n">
        <v>1</v>
      </c>
      <c r="J918" s="0" t="n">
        <v>1</v>
      </c>
      <c r="K918" s="0" t="n">
        <v>0</v>
      </c>
      <c r="L918" s="0" t="n">
        <v>0</v>
      </c>
      <c r="M918" s="0" t="n">
        <v>0</v>
      </c>
      <c r="N918" s="0" t="n">
        <v>0</v>
      </c>
      <c r="P918" s="0" t="n">
        <v>70.59999999999999</v>
      </c>
    </row>
    <row r="919">
      <c r="A919" s="0" t="inlineStr">
        <is>
          <t>USR-100918</t>
        </is>
      </c>
      <c r="B919" s="23" t="n">
        <v>45705</v>
      </c>
      <c r="C919" s="0" t="inlineStr">
        <is>
          <t>Treatment</t>
        </is>
      </c>
      <c r="D919" s="0" t="inlineStr">
        <is>
          <t>South</t>
        </is>
      </c>
      <c r="E919" s="0" t="inlineStr">
        <is>
          <t>Desktop</t>
        </is>
      </c>
      <c r="F919" s="0" t="inlineStr">
        <is>
          <t>Organic</t>
        </is>
      </c>
      <c r="G919" s="0" t="inlineStr">
        <is>
          <t>Basic</t>
        </is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P919" s="0" t="n">
        <v>58.4</v>
      </c>
    </row>
    <row r="920">
      <c r="A920" s="0" t="inlineStr">
        <is>
          <t>USR-100919</t>
        </is>
      </c>
      <c r="B920" s="23" t="n">
        <v>45798</v>
      </c>
      <c r="C920" s="0" t="inlineStr">
        <is>
          <t>Treatment</t>
        </is>
      </c>
      <c r="D920" s="0" t="inlineStr">
        <is>
          <t>East</t>
        </is>
      </c>
      <c r="E920" s="0" t="inlineStr">
        <is>
          <t>Mobile</t>
        </is>
      </c>
      <c r="F920" s="0" t="inlineStr">
        <is>
          <t>Organic</t>
        </is>
      </c>
      <c r="G920" s="0" t="inlineStr">
        <is>
          <t>Basic</t>
        </is>
      </c>
      <c r="H920" s="0" t="n">
        <v>1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P920" s="0" t="n">
        <v>56.6</v>
      </c>
    </row>
    <row r="921">
      <c r="A921" s="0" t="inlineStr">
        <is>
          <t>USR-100920</t>
        </is>
      </c>
      <c r="B921" s="23" t="n">
        <v>45687</v>
      </c>
      <c r="C921" s="0" t="inlineStr">
        <is>
          <t>Treatment</t>
        </is>
      </c>
      <c r="D921" s="0" t="inlineStr">
        <is>
          <t>South</t>
        </is>
      </c>
      <c r="E921" s="0" t="inlineStr">
        <is>
          <t>Mobile</t>
        </is>
      </c>
      <c r="F921" s="0" t="inlineStr">
        <is>
          <t>Organic</t>
        </is>
      </c>
      <c r="G921" s="0" t="inlineStr">
        <is>
          <t>Free</t>
        </is>
      </c>
      <c r="H921" s="0" t="n">
        <v>1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P921" s="0" t="n">
        <v>61.8</v>
      </c>
    </row>
    <row r="922">
      <c r="A922" s="0" t="inlineStr">
        <is>
          <t>USR-100921</t>
        </is>
      </c>
      <c r="B922" s="23" t="n">
        <v>45736</v>
      </c>
      <c r="C922" s="0" t="inlineStr">
        <is>
          <t>Treatment</t>
        </is>
      </c>
      <c r="D922" s="0" t="inlineStr">
        <is>
          <t>West</t>
        </is>
      </c>
      <c r="E922" s="0" t="inlineStr">
        <is>
          <t>Mobile</t>
        </is>
      </c>
      <c r="F922" s="0" t="inlineStr">
        <is>
          <t>Email</t>
        </is>
      </c>
      <c r="G922" s="0" t="inlineStr">
        <is>
          <t>Free</t>
        </is>
      </c>
      <c r="H922" s="0" t="n">
        <v>1</v>
      </c>
      <c r="I922" s="0" t="n">
        <v>1</v>
      </c>
      <c r="J922" s="0" t="n">
        <v>1</v>
      </c>
      <c r="K922" s="0" t="n">
        <v>1</v>
      </c>
      <c r="L922" s="0" t="n">
        <v>513.52</v>
      </c>
      <c r="M922" s="0" t="n">
        <v>0</v>
      </c>
      <c r="N922" s="0" t="n">
        <v>0</v>
      </c>
      <c r="O922" s="0" t="n">
        <v>8</v>
      </c>
      <c r="P922" s="0" t="n">
        <v>43.4</v>
      </c>
    </row>
    <row r="923">
      <c r="A923" s="0" t="inlineStr">
        <is>
          <t>USR-100922</t>
        </is>
      </c>
      <c r="B923" s="23" t="n">
        <v>45757</v>
      </c>
      <c r="C923" s="0" t="inlineStr">
        <is>
          <t>Treatment</t>
        </is>
      </c>
      <c r="D923" s="0" t="inlineStr">
        <is>
          <t>West</t>
        </is>
      </c>
      <c r="E923" s="0" t="inlineStr">
        <is>
          <t>Tablet</t>
        </is>
      </c>
      <c r="F923" s="0" t="inlineStr">
        <is>
          <t>Paid Search</t>
        </is>
      </c>
      <c r="G923" s="0" t="inlineStr">
        <is>
          <t>Free</t>
        </is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P923" s="0" t="n">
        <v>43</v>
      </c>
    </row>
    <row r="924">
      <c r="A924" s="0" t="inlineStr">
        <is>
          <t>USR-100923</t>
        </is>
      </c>
      <c r="B924" s="23" t="n">
        <v>45723</v>
      </c>
      <c r="C924" s="0" t="inlineStr">
        <is>
          <t>Treatment</t>
        </is>
      </c>
      <c r="D924" s="0" t="inlineStr">
        <is>
          <t>North</t>
        </is>
      </c>
      <c r="E924" s="0" t="inlineStr">
        <is>
          <t>Desktop</t>
        </is>
      </c>
      <c r="F924" s="0" t="inlineStr">
        <is>
          <t>Organic</t>
        </is>
      </c>
      <c r="G924" s="0" t="inlineStr">
        <is>
          <t>Free</t>
        </is>
      </c>
      <c r="H924" s="0" t="n">
        <v>1</v>
      </c>
      <c r="I924" s="0" t="n">
        <v>1</v>
      </c>
      <c r="J924" s="0" t="n">
        <v>1</v>
      </c>
      <c r="K924" s="0" t="n">
        <v>0</v>
      </c>
      <c r="L924" s="0" t="n">
        <v>0</v>
      </c>
      <c r="M924" s="0" t="n">
        <v>0</v>
      </c>
      <c r="N924" s="0" t="n">
        <v>0</v>
      </c>
      <c r="P924" s="0" t="n">
        <v>51.1</v>
      </c>
    </row>
    <row r="925">
      <c r="A925" s="0" t="inlineStr">
        <is>
          <t>USR-100924</t>
        </is>
      </c>
      <c r="B925" s="23" t="n">
        <v>45728</v>
      </c>
      <c r="C925" s="0" t="inlineStr">
        <is>
          <t>Treatment</t>
        </is>
      </c>
      <c r="D925" s="0" t="inlineStr">
        <is>
          <t>West</t>
        </is>
      </c>
      <c r="E925" s="0" t="inlineStr">
        <is>
          <t>Mobile</t>
        </is>
      </c>
      <c r="F925" s="0" t="inlineStr">
        <is>
          <t>Email</t>
        </is>
      </c>
      <c r="G925" s="0" t="inlineStr">
        <is>
          <t>Basic</t>
        </is>
      </c>
      <c r="H925" s="0" t="n">
        <v>1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P925" s="0" t="n">
        <v>48.8</v>
      </c>
    </row>
    <row r="926">
      <c r="A926" s="0" t="inlineStr">
        <is>
          <t>USR-100925</t>
        </is>
      </c>
      <c r="B926" s="23" t="n">
        <v>45712</v>
      </c>
      <c r="C926" s="0" t="inlineStr">
        <is>
          <t>Treatment</t>
        </is>
      </c>
      <c r="D926" s="0" t="inlineStr">
        <is>
          <t>East</t>
        </is>
      </c>
      <c r="E926" s="0" t="inlineStr">
        <is>
          <t>Mobile</t>
        </is>
      </c>
      <c r="F926" s="0" t="inlineStr">
        <is>
          <t>Referral</t>
        </is>
      </c>
      <c r="G926" s="0" t="inlineStr">
        <is>
          <t>Free</t>
        </is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P926" s="0" t="n">
        <v>73.2</v>
      </c>
    </row>
    <row r="927">
      <c r="A927" s="0" t="inlineStr">
        <is>
          <t>USR-100926</t>
        </is>
      </c>
      <c r="B927" s="23" t="n">
        <v>45672</v>
      </c>
      <c r="C927" s="0" t="inlineStr">
        <is>
          <t>Treatment</t>
        </is>
      </c>
      <c r="D927" s="0" t="inlineStr">
        <is>
          <t>East</t>
        </is>
      </c>
      <c r="E927" s="0" t="inlineStr">
        <is>
          <t>Mobile</t>
        </is>
      </c>
      <c r="F927" s="0" t="inlineStr">
        <is>
          <t>Referral</t>
        </is>
      </c>
      <c r="G927" s="0" t="inlineStr">
        <is>
          <t>Free</t>
        </is>
      </c>
      <c r="H927" s="0" t="n">
        <v>1</v>
      </c>
      <c r="I927" s="0" t="n">
        <v>1</v>
      </c>
      <c r="J927" s="0" t="n">
        <v>1</v>
      </c>
      <c r="K927" s="0" t="n">
        <v>0</v>
      </c>
      <c r="L927" s="0" t="n">
        <v>0</v>
      </c>
      <c r="M927" s="0" t="n">
        <v>0</v>
      </c>
      <c r="N927" s="0" t="n">
        <v>0</v>
      </c>
      <c r="P927" s="0" t="n">
        <v>80</v>
      </c>
    </row>
    <row r="928">
      <c r="A928" s="0" t="inlineStr">
        <is>
          <t>USR-100927</t>
        </is>
      </c>
      <c r="B928" s="23" t="n">
        <v>45664</v>
      </c>
      <c r="C928" s="0" t="inlineStr">
        <is>
          <t>Treatment</t>
        </is>
      </c>
      <c r="D928" s="0" t="inlineStr">
        <is>
          <t>North</t>
        </is>
      </c>
      <c r="E928" s="0" t="inlineStr">
        <is>
          <t>Desktop</t>
        </is>
      </c>
      <c r="F928" s="0" t="inlineStr">
        <is>
          <t>Paid Search</t>
        </is>
      </c>
      <c r="G928" s="0" t="inlineStr">
        <is>
          <t>Free</t>
        </is>
      </c>
      <c r="H928" s="0" t="n">
        <v>1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P928" s="0" t="n">
        <v>52.3</v>
      </c>
    </row>
    <row r="929">
      <c r="A929" s="0" t="inlineStr">
        <is>
          <t>USR-100928</t>
        </is>
      </c>
      <c r="B929" s="23" t="n">
        <v>45718</v>
      </c>
      <c r="C929" s="0" t="inlineStr">
        <is>
          <t>Treatment</t>
        </is>
      </c>
      <c r="D929" s="0" t="inlineStr">
        <is>
          <t>North</t>
        </is>
      </c>
      <c r="E929" s="0" t="inlineStr">
        <is>
          <t>Desktop</t>
        </is>
      </c>
      <c r="F929" s="0" t="inlineStr">
        <is>
          <t>Organic</t>
        </is>
      </c>
      <c r="G929" s="0" t="inlineStr">
        <is>
          <t>Free</t>
        </is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P929" s="0" t="n">
        <v>49.1</v>
      </c>
    </row>
    <row r="930">
      <c r="A930" s="0" t="inlineStr">
        <is>
          <t>USR-100929</t>
        </is>
      </c>
      <c r="B930" s="23" t="n">
        <v>45662</v>
      </c>
      <c r="C930" s="0" t="inlineStr">
        <is>
          <t>Treatment</t>
        </is>
      </c>
      <c r="D930" s="0" t="inlineStr">
        <is>
          <t>South</t>
        </is>
      </c>
      <c r="E930" s="0" t="inlineStr">
        <is>
          <t>Desktop</t>
        </is>
      </c>
      <c r="F930" s="0" t="inlineStr">
        <is>
          <t>Referral</t>
        </is>
      </c>
      <c r="G930" s="0" t="inlineStr">
        <is>
          <t>Basic</t>
        </is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P930" s="0" t="n">
        <v>45.3</v>
      </c>
    </row>
    <row r="931">
      <c r="A931" s="0" t="inlineStr">
        <is>
          <t>USR-100930</t>
        </is>
      </c>
      <c r="B931" s="23" t="n">
        <v>45719</v>
      </c>
      <c r="C931" s="0" t="inlineStr">
        <is>
          <t>Treatment</t>
        </is>
      </c>
      <c r="D931" s="0" t="inlineStr">
        <is>
          <t>South</t>
        </is>
      </c>
      <c r="E931" s="0" t="inlineStr">
        <is>
          <t>Mobile</t>
        </is>
      </c>
      <c r="F931" s="0" t="inlineStr">
        <is>
          <t>Organic</t>
        </is>
      </c>
      <c r="G931" s="0" t="inlineStr">
        <is>
          <t>Free</t>
        </is>
      </c>
      <c r="H931" s="0" t="n">
        <v>1</v>
      </c>
      <c r="I931" s="0" t="n">
        <v>1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P931" s="0" t="n">
        <v>49.1</v>
      </c>
    </row>
    <row r="932">
      <c r="A932" s="0" t="inlineStr">
        <is>
          <t>USR-100931</t>
        </is>
      </c>
      <c r="B932" s="23" t="n">
        <v>45747</v>
      </c>
      <c r="C932" s="0" t="inlineStr">
        <is>
          <t>Treatment</t>
        </is>
      </c>
      <c r="D932" s="0" t="inlineStr">
        <is>
          <t>East</t>
        </is>
      </c>
      <c r="E932" s="0" t="inlineStr">
        <is>
          <t>Desktop</t>
        </is>
      </c>
      <c r="F932" s="0" t="inlineStr">
        <is>
          <t>Referral</t>
        </is>
      </c>
      <c r="G932" s="0" t="inlineStr">
        <is>
          <t>Free</t>
        </is>
      </c>
      <c r="H932" s="0" t="n">
        <v>1</v>
      </c>
      <c r="I932" s="0" t="n">
        <v>1</v>
      </c>
      <c r="J932" s="0" t="n">
        <v>1</v>
      </c>
      <c r="K932" s="0" t="n">
        <v>1</v>
      </c>
      <c r="L932" s="0" t="n">
        <v>476.44</v>
      </c>
      <c r="M932" s="0" t="n">
        <v>0</v>
      </c>
      <c r="N932" s="0" t="n">
        <v>0</v>
      </c>
      <c r="O932" s="0" t="n">
        <v>3</v>
      </c>
      <c r="P932" s="0" t="n">
        <v>88.59999999999999</v>
      </c>
    </row>
    <row r="933">
      <c r="A933" s="0" t="inlineStr">
        <is>
          <t>USR-100932</t>
        </is>
      </c>
      <c r="B933" s="23" t="n">
        <v>45671</v>
      </c>
      <c r="C933" s="0" t="inlineStr">
        <is>
          <t>Treatment</t>
        </is>
      </c>
      <c r="D933" s="0" t="inlineStr">
        <is>
          <t>East</t>
        </is>
      </c>
      <c r="E933" s="0" t="inlineStr">
        <is>
          <t>Desktop</t>
        </is>
      </c>
      <c r="F933" s="0" t="inlineStr">
        <is>
          <t>Paid Search</t>
        </is>
      </c>
      <c r="G933" s="0" t="inlineStr">
        <is>
          <t>Premium</t>
        </is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1</v>
      </c>
      <c r="N933" s="0" t="n">
        <v>0</v>
      </c>
      <c r="P933" s="0" t="n">
        <v>54.4</v>
      </c>
    </row>
    <row r="934">
      <c r="A934" s="0" t="inlineStr">
        <is>
          <t>USR-100933</t>
        </is>
      </c>
      <c r="B934" s="23" t="n">
        <v>45672</v>
      </c>
      <c r="C934" s="0" t="inlineStr">
        <is>
          <t>Treatment</t>
        </is>
      </c>
      <c r="D934" s="0" t="inlineStr">
        <is>
          <t>West</t>
        </is>
      </c>
      <c r="E934" s="0" t="inlineStr">
        <is>
          <t>Desktop</t>
        </is>
      </c>
      <c r="F934" s="0" t="inlineStr">
        <is>
          <t>Paid Search</t>
        </is>
      </c>
      <c r="G934" s="0" t="inlineStr">
        <is>
          <t>Premium</t>
        </is>
      </c>
      <c r="H934" s="0" t="n">
        <v>1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P934" s="0" t="n">
        <v>72.90000000000001</v>
      </c>
    </row>
    <row r="935">
      <c r="A935" s="0" t="inlineStr">
        <is>
          <t>USR-100934</t>
        </is>
      </c>
      <c r="B935" s="23" t="n">
        <v>45772</v>
      </c>
      <c r="C935" s="0" t="inlineStr">
        <is>
          <t>Treatment</t>
        </is>
      </c>
      <c r="D935" s="0" t="inlineStr">
        <is>
          <t>West</t>
        </is>
      </c>
      <c r="E935" s="0" t="inlineStr">
        <is>
          <t>Desktop</t>
        </is>
      </c>
      <c r="F935" s="0" t="inlineStr">
        <is>
          <t>Organic</t>
        </is>
      </c>
      <c r="G935" s="0" t="inlineStr">
        <is>
          <t>Free</t>
        </is>
      </c>
      <c r="H935" s="0" t="n">
        <v>1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P935" s="0" t="n">
        <v>53.2</v>
      </c>
    </row>
    <row r="936">
      <c r="A936" s="0" t="inlineStr">
        <is>
          <t>USR-100935</t>
        </is>
      </c>
      <c r="B936" s="23" t="n">
        <v>45737</v>
      </c>
      <c r="C936" s="0" t="inlineStr">
        <is>
          <t>Treatment</t>
        </is>
      </c>
      <c r="D936" s="0" t="inlineStr">
        <is>
          <t>East</t>
        </is>
      </c>
      <c r="E936" s="0" t="inlineStr">
        <is>
          <t>Mobile</t>
        </is>
      </c>
      <c r="F936" s="0" t="inlineStr">
        <is>
          <t>Organic</t>
        </is>
      </c>
      <c r="G936" s="0" t="inlineStr">
        <is>
          <t>Basic</t>
        </is>
      </c>
      <c r="H936" s="0" t="n">
        <v>1</v>
      </c>
      <c r="I936" s="0" t="n">
        <v>1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P936" s="0" t="n">
        <v>48.7</v>
      </c>
    </row>
    <row r="937">
      <c r="A937" s="0" t="inlineStr">
        <is>
          <t>USR-100936</t>
        </is>
      </c>
      <c r="B937" s="23" t="n">
        <v>45773</v>
      </c>
      <c r="C937" s="0" t="inlineStr">
        <is>
          <t>Treatment</t>
        </is>
      </c>
      <c r="D937" s="0" t="inlineStr">
        <is>
          <t>South</t>
        </is>
      </c>
      <c r="E937" s="0" t="inlineStr">
        <is>
          <t>Mobile</t>
        </is>
      </c>
      <c r="F937" s="0" t="inlineStr">
        <is>
          <t>Paid Search</t>
        </is>
      </c>
      <c r="G937" s="0" t="inlineStr">
        <is>
          <t>Basic</t>
        </is>
      </c>
      <c r="H937" s="0" t="n">
        <v>1</v>
      </c>
      <c r="I937" s="0" t="n">
        <v>1</v>
      </c>
      <c r="J937" s="0" t="n">
        <v>1</v>
      </c>
      <c r="K937" s="0" t="n">
        <v>0</v>
      </c>
      <c r="L937" s="0" t="n">
        <v>0</v>
      </c>
      <c r="M937" s="0" t="n">
        <v>0</v>
      </c>
      <c r="N937" s="0" t="n">
        <v>0</v>
      </c>
      <c r="P937" s="0" t="n">
        <v>59.9</v>
      </c>
    </row>
    <row r="938">
      <c r="A938" s="0" t="inlineStr">
        <is>
          <t>USR-100937</t>
        </is>
      </c>
      <c r="B938" s="23" t="n">
        <v>45798</v>
      </c>
      <c r="C938" s="0" t="inlineStr">
        <is>
          <t>Treatment</t>
        </is>
      </c>
      <c r="D938" s="0" t="inlineStr">
        <is>
          <t>South</t>
        </is>
      </c>
      <c r="E938" s="0" t="inlineStr">
        <is>
          <t>Desktop</t>
        </is>
      </c>
      <c r="F938" s="0" t="inlineStr">
        <is>
          <t>Unknown</t>
        </is>
      </c>
      <c r="G938" s="0" t="inlineStr">
        <is>
          <t>Basic</t>
        </is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P938" s="0" t="n">
        <v>82</v>
      </c>
    </row>
    <row r="939">
      <c r="A939" s="0" t="inlineStr">
        <is>
          <t>USR-100938</t>
        </is>
      </c>
      <c r="B939" s="23" t="n">
        <v>45765</v>
      </c>
      <c r="C939" s="0" t="inlineStr">
        <is>
          <t>Treatment</t>
        </is>
      </c>
      <c r="D939" s="0" t="inlineStr">
        <is>
          <t>East</t>
        </is>
      </c>
      <c r="E939" s="0" t="inlineStr">
        <is>
          <t>Mobile</t>
        </is>
      </c>
      <c r="F939" s="0" t="inlineStr">
        <is>
          <t>Paid Search</t>
        </is>
      </c>
      <c r="G939" s="0" t="inlineStr">
        <is>
          <t>Free</t>
        </is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P939" s="0" t="n">
        <v>72.09999999999999</v>
      </c>
    </row>
    <row r="940">
      <c r="A940" s="0" t="inlineStr">
        <is>
          <t>USR-100939</t>
        </is>
      </c>
      <c r="B940" s="23" t="n">
        <v>45686</v>
      </c>
      <c r="C940" s="0" t="inlineStr">
        <is>
          <t>Treatment</t>
        </is>
      </c>
      <c r="D940" s="0" t="inlineStr">
        <is>
          <t>North</t>
        </is>
      </c>
      <c r="E940" s="0" t="inlineStr">
        <is>
          <t>Desktop</t>
        </is>
      </c>
      <c r="F940" s="0" t="inlineStr">
        <is>
          <t>Email</t>
        </is>
      </c>
      <c r="G940" s="0" t="inlineStr">
        <is>
          <t>Premium</t>
        </is>
      </c>
      <c r="H940" s="0" t="n">
        <v>1</v>
      </c>
      <c r="I940" s="0" t="n">
        <v>1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P940" s="0" t="n">
        <v>68.3</v>
      </c>
    </row>
    <row r="941">
      <c r="A941" s="0" t="inlineStr">
        <is>
          <t>USR-100940</t>
        </is>
      </c>
      <c r="B941" s="23" t="n">
        <v>45805</v>
      </c>
      <c r="C941" s="0" t="inlineStr">
        <is>
          <t>Treatment</t>
        </is>
      </c>
      <c r="D941" s="0" t="inlineStr">
        <is>
          <t>West</t>
        </is>
      </c>
      <c r="E941" s="0" t="inlineStr">
        <is>
          <t>Mobile</t>
        </is>
      </c>
      <c r="F941" s="0" t="inlineStr">
        <is>
          <t>Organic</t>
        </is>
      </c>
      <c r="G941" s="0" t="inlineStr">
        <is>
          <t>Premium</t>
        </is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P941" s="0" t="n">
        <v>100</v>
      </c>
    </row>
    <row r="942">
      <c r="A942" s="0" t="inlineStr">
        <is>
          <t>USR-100941</t>
        </is>
      </c>
      <c r="B942" s="23" t="n">
        <v>45672</v>
      </c>
      <c r="C942" s="0" t="inlineStr">
        <is>
          <t>Treatment</t>
        </is>
      </c>
      <c r="D942" s="0" t="inlineStr">
        <is>
          <t>East</t>
        </is>
      </c>
      <c r="E942" s="0" t="inlineStr">
        <is>
          <t>Mobile</t>
        </is>
      </c>
      <c r="F942" s="0" t="inlineStr">
        <is>
          <t>Email</t>
        </is>
      </c>
      <c r="G942" s="0" t="inlineStr">
        <is>
          <t>Free</t>
        </is>
      </c>
      <c r="H942" s="0" t="n">
        <v>1</v>
      </c>
      <c r="I942" s="0" t="n">
        <v>1</v>
      </c>
      <c r="J942" s="0" t="n">
        <v>1</v>
      </c>
      <c r="K942" s="0" t="n">
        <v>0</v>
      </c>
      <c r="L942" s="0" t="n">
        <v>0</v>
      </c>
      <c r="M942" s="0" t="n">
        <v>2</v>
      </c>
      <c r="N942" s="0" t="n">
        <v>0</v>
      </c>
      <c r="P942" s="0" t="n">
        <v>76.5</v>
      </c>
    </row>
    <row r="943">
      <c r="A943" s="0" t="inlineStr">
        <is>
          <t>USR-100942</t>
        </is>
      </c>
      <c r="B943" s="23" t="n">
        <v>45660</v>
      </c>
      <c r="C943" s="0" t="inlineStr">
        <is>
          <t>Treatment</t>
        </is>
      </c>
      <c r="D943" s="0" t="inlineStr">
        <is>
          <t>South</t>
        </is>
      </c>
      <c r="E943" s="0" t="inlineStr">
        <is>
          <t>Mobile</t>
        </is>
      </c>
      <c r="F943" s="0" t="inlineStr">
        <is>
          <t>Organic</t>
        </is>
      </c>
      <c r="G943" s="0" t="inlineStr">
        <is>
          <t>Basic</t>
        </is>
      </c>
      <c r="H943" s="0" t="n">
        <v>1</v>
      </c>
      <c r="I943" s="0" t="n">
        <v>1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P943" s="0" t="n">
        <v>62</v>
      </c>
    </row>
    <row r="944">
      <c r="A944" s="0" t="inlineStr">
        <is>
          <t>USR-100943</t>
        </is>
      </c>
      <c r="B944" s="23" t="n">
        <v>45692</v>
      </c>
      <c r="C944" s="0" t="inlineStr">
        <is>
          <t>Treatment</t>
        </is>
      </c>
      <c r="D944" s="0" t="inlineStr">
        <is>
          <t>South</t>
        </is>
      </c>
      <c r="E944" s="0" t="inlineStr">
        <is>
          <t>Mobile</t>
        </is>
      </c>
      <c r="F944" s="0" t="inlineStr">
        <is>
          <t>Paid Search</t>
        </is>
      </c>
      <c r="G944" s="0" t="inlineStr">
        <is>
          <t>Free</t>
        </is>
      </c>
      <c r="H944" s="0" t="n">
        <v>1</v>
      </c>
      <c r="I944" s="0" t="n">
        <v>1</v>
      </c>
      <c r="J944" s="0" t="n">
        <v>1</v>
      </c>
      <c r="K944" s="0" t="n">
        <v>1</v>
      </c>
      <c r="L944" s="0" t="n">
        <v>324.68</v>
      </c>
      <c r="M944" s="0" t="n">
        <v>1</v>
      </c>
      <c r="N944" s="0" t="n">
        <v>0</v>
      </c>
      <c r="O944" s="0" t="n">
        <v>7</v>
      </c>
      <c r="P944" s="0" t="n">
        <v>50.1</v>
      </c>
    </row>
    <row r="945">
      <c r="A945" s="0" t="inlineStr">
        <is>
          <t>USR-100944</t>
        </is>
      </c>
      <c r="B945" s="23" t="n">
        <v>45710</v>
      </c>
      <c r="C945" s="0" t="inlineStr">
        <is>
          <t>Treatment</t>
        </is>
      </c>
      <c r="D945" s="0" t="inlineStr">
        <is>
          <t>South</t>
        </is>
      </c>
      <c r="E945" s="0" t="inlineStr">
        <is>
          <t>Mobile</t>
        </is>
      </c>
      <c r="F945" s="0" t="inlineStr">
        <is>
          <t>Referral</t>
        </is>
      </c>
      <c r="G945" s="0" t="inlineStr">
        <is>
          <t>Premium</t>
        </is>
      </c>
      <c r="H945" s="0" t="n">
        <v>1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P945" s="0" t="n">
        <v>62.1</v>
      </c>
    </row>
    <row r="946">
      <c r="A946" s="0" t="inlineStr">
        <is>
          <t>USR-100945</t>
        </is>
      </c>
      <c r="B946" s="23" t="n">
        <v>45783</v>
      </c>
      <c r="C946" s="0" t="inlineStr">
        <is>
          <t>Treatment</t>
        </is>
      </c>
      <c r="D946" s="0" t="inlineStr">
        <is>
          <t>West</t>
        </is>
      </c>
      <c r="E946" s="0" t="inlineStr">
        <is>
          <t>Mobile</t>
        </is>
      </c>
      <c r="F946" s="0" t="inlineStr">
        <is>
          <t>Organic</t>
        </is>
      </c>
      <c r="G946" s="0" t="inlineStr">
        <is>
          <t>Basic</t>
        </is>
      </c>
      <c r="H946" s="0" t="n">
        <v>1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P946" s="0" t="n">
        <v>49.7</v>
      </c>
    </row>
    <row r="947">
      <c r="A947" s="0" t="inlineStr">
        <is>
          <t>USR-100946</t>
        </is>
      </c>
      <c r="B947" s="23" t="n">
        <v>45688</v>
      </c>
      <c r="C947" s="0" t="inlineStr">
        <is>
          <t>Treatment</t>
        </is>
      </c>
      <c r="D947" s="0" t="inlineStr">
        <is>
          <t>South</t>
        </is>
      </c>
      <c r="E947" s="0" t="inlineStr">
        <is>
          <t>Mobile</t>
        </is>
      </c>
      <c r="F947" s="0" t="inlineStr">
        <is>
          <t>Organic</t>
        </is>
      </c>
      <c r="G947" s="0" t="inlineStr">
        <is>
          <t>Free</t>
        </is>
      </c>
      <c r="H947" s="0" t="n">
        <v>1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3</v>
      </c>
      <c r="N947" s="0" t="n">
        <v>0</v>
      </c>
      <c r="P947" s="0" t="n">
        <v>71.09999999999999</v>
      </c>
    </row>
    <row r="948">
      <c r="A948" s="0" t="inlineStr">
        <is>
          <t>USR-100947</t>
        </is>
      </c>
      <c r="B948" s="23" t="n">
        <v>45706</v>
      </c>
      <c r="C948" s="0" t="inlineStr">
        <is>
          <t>Treatment</t>
        </is>
      </c>
      <c r="D948" s="0" t="inlineStr">
        <is>
          <t>North</t>
        </is>
      </c>
      <c r="E948" s="0" t="inlineStr">
        <is>
          <t>Mobile</t>
        </is>
      </c>
      <c r="F948" s="0" t="inlineStr">
        <is>
          <t>Social</t>
        </is>
      </c>
      <c r="G948" s="0" t="inlineStr">
        <is>
          <t>Basic</t>
        </is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P948" s="0" t="n">
        <v>70.8</v>
      </c>
    </row>
    <row r="949">
      <c r="A949" s="0" t="inlineStr">
        <is>
          <t>USR-100948</t>
        </is>
      </c>
      <c r="B949" s="23" t="n">
        <v>45770</v>
      </c>
      <c r="C949" s="0" t="inlineStr">
        <is>
          <t>Treatment</t>
        </is>
      </c>
      <c r="D949" s="0" t="inlineStr">
        <is>
          <t>East</t>
        </is>
      </c>
      <c r="E949" s="0" t="inlineStr">
        <is>
          <t>Mobile</t>
        </is>
      </c>
      <c r="F949" s="0" t="inlineStr">
        <is>
          <t>Paid Search</t>
        </is>
      </c>
      <c r="G949" s="0" t="inlineStr">
        <is>
          <t>Free</t>
        </is>
      </c>
      <c r="H949" s="0" t="n">
        <v>1</v>
      </c>
      <c r="I949" s="0" t="n">
        <v>1</v>
      </c>
      <c r="J949" s="0" t="n">
        <v>1</v>
      </c>
      <c r="K949" s="0" t="n">
        <v>1</v>
      </c>
      <c r="L949" s="0" t="n">
        <v>301.98</v>
      </c>
      <c r="M949" s="0" t="n">
        <v>0</v>
      </c>
      <c r="N949" s="0" t="n">
        <v>0</v>
      </c>
      <c r="O949" s="0" t="n">
        <v>10</v>
      </c>
      <c r="P949" s="0" t="n">
        <v>52.2</v>
      </c>
    </row>
    <row r="950">
      <c r="A950" s="0" t="inlineStr">
        <is>
          <t>USR-100949</t>
        </is>
      </c>
      <c r="B950" s="23" t="n">
        <v>45694</v>
      </c>
      <c r="C950" s="0" t="inlineStr">
        <is>
          <t>Treatment</t>
        </is>
      </c>
      <c r="D950" s="0" t="inlineStr">
        <is>
          <t>North</t>
        </is>
      </c>
      <c r="E950" s="0" t="inlineStr">
        <is>
          <t>Mobile</t>
        </is>
      </c>
      <c r="F950" s="0" t="inlineStr">
        <is>
          <t>Organic</t>
        </is>
      </c>
      <c r="G950" s="0" t="inlineStr">
        <is>
          <t>Free</t>
        </is>
      </c>
      <c r="H950" s="0" t="n">
        <v>1</v>
      </c>
      <c r="I950" s="0" t="n">
        <v>1</v>
      </c>
      <c r="J950" s="0" t="n">
        <v>1</v>
      </c>
      <c r="K950" s="0" t="n">
        <v>0</v>
      </c>
      <c r="L950" s="0" t="n">
        <v>0</v>
      </c>
      <c r="M950" s="0" t="n">
        <v>0</v>
      </c>
      <c r="N950" s="0" t="n">
        <v>0</v>
      </c>
      <c r="P950" s="0" t="n">
        <v>73</v>
      </c>
    </row>
    <row r="951">
      <c r="A951" s="0" t="inlineStr">
        <is>
          <t>USR-100950</t>
        </is>
      </c>
      <c r="B951" s="23" t="n">
        <v>45773</v>
      </c>
      <c r="C951" s="0" t="inlineStr">
        <is>
          <t>Treatment</t>
        </is>
      </c>
      <c r="D951" s="0" t="inlineStr">
        <is>
          <t>South</t>
        </is>
      </c>
      <c r="E951" s="0" t="inlineStr">
        <is>
          <t>Desktop</t>
        </is>
      </c>
      <c r="F951" s="0" t="inlineStr">
        <is>
          <t>Paid Search</t>
        </is>
      </c>
      <c r="G951" s="0" t="inlineStr">
        <is>
          <t>Free</t>
        </is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P951" s="0" t="n">
        <v>78.2</v>
      </c>
    </row>
    <row r="952">
      <c r="A952" s="0" t="inlineStr">
        <is>
          <t>USR-100951</t>
        </is>
      </c>
      <c r="B952" s="23" t="n">
        <v>45746</v>
      </c>
      <c r="C952" s="0" t="inlineStr">
        <is>
          <t>Treatment</t>
        </is>
      </c>
      <c r="D952" s="0" t="inlineStr">
        <is>
          <t>West</t>
        </is>
      </c>
      <c r="E952" s="0" t="inlineStr">
        <is>
          <t>Desktop</t>
        </is>
      </c>
      <c r="F952" s="0" t="inlineStr">
        <is>
          <t>Paid Search</t>
        </is>
      </c>
      <c r="G952" s="0" t="inlineStr">
        <is>
          <t>Basic</t>
        </is>
      </c>
      <c r="H952" s="0" t="n">
        <v>1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P952" s="0" t="n">
        <v>68.8</v>
      </c>
    </row>
    <row r="953">
      <c r="A953" s="0" t="inlineStr">
        <is>
          <t>USR-100952</t>
        </is>
      </c>
      <c r="B953" s="23" t="n">
        <v>45760</v>
      </c>
      <c r="C953" s="0" t="inlineStr">
        <is>
          <t>Treatment</t>
        </is>
      </c>
      <c r="D953" s="0" t="inlineStr">
        <is>
          <t>West</t>
        </is>
      </c>
      <c r="E953" s="0" t="inlineStr">
        <is>
          <t>Mobile</t>
        </is>
      </c>
      <c r="F953" s="0" t="inlineStr">
        <is>
          <t>Unknown</t>
        </is>
      </c>
      <c r="G953" s="0" t="inlineStr">
        <is>
          <t>Premium</t>
        </is>
      </c>
      <c r="H953" s="0" t="n">
        <v>1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P953" s="0" t="n">
        <v>57.1</v>
      </c>
    </row>
    <row r="954">
      <c r="A954" s="0" t="inlineStr">
        <is>
          <t>USR-100953</t>
        </is>
      </c>
      <c r="B954" s="23" t="n">
        <v>45751</v>
      </c>
      <c r="C954" s="0" t="inlineStr">
        <is>
          <t>Treatment</t>
        </is>
      </c>
      <c r="D954" s="0" t="inlineStr">
        <is>
          <t>East</t>
        </is>
      </c>
      <c r="E954" s="0" t="inlineStr">
        <is>
          <t>Desktop</t>
        </is>
      </c>
      <c r="F954" s="0" t="inlineStr">
        <is>
          <t>Organic</t>
        </is>
      </c>
      <c r="G954" s="0" t="inlineStr">
        <is>
          <t>Premium</t>
        </is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1</v>
      </c>
      <c r="N954" s="0" t="n">
        <v>0</v>
      </c>
      <c r="P954" s="0" t="n">
        <v>74.59999999999999</v>
      </c>
    </row>
    <row r="955">
      <c r="A955" s="0" t="inlineStr">
        <is>
          <t>USR-100954</t>
        </is>
      </c>
      <c r="B955" s="23" t="n">
        <v>45750</v>
      </c>
      <c r="C955" s="0" t="inlineStr">
        <is>
          <t>Treatment</t>
        </is>
      </c>
      <c r="D955" s="0" t="inlineStr">
        <is>
          <t>North</t>
        </is>
      </c>
      <c r="E955" s="0" t="inlineStr">
        <is>
          <t>Desktop</t>
        </is>
      </c>
      <c r="F955" s="0" t="inlineStr">
        <is>
          <t>Referral</t>
        </is>
      </c>
      <c r="G955" s="0" t="inlineStr">
        <is>
          <t>Free</t>
        </is>
      </c>
      <c r="H955" s="0" t="n">
        <v>1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0</v>
      </c>
      <c r="P955" s="0" t="n">
        <v>64.09999999999999</v>
      </c>
    </row>
    <row r="956">
      <c r="A956" s="0" t="inlineStr">
        <is>
          <t>USR-100955</t>
        </is>
      </c>
      <c r="B956" s="23" t="n">
        <v>45730</v>
      </c>
      <c r="C956" s="0" t="inlineStr">
        <is>
          <t>Treatment</t>
        </is>
      </c>
      <c r="D956" s="0" t="inlineStr">
        <is>
          <t>West</t>
        </is>
      </c>
      <c r="E956" s="0" t="inlineStr">
        <is>
          <t>Mobile</t>
        </is>
      </c>
      <c r="F956" s="0" t="inlineStr">
        <is>
          <t>Paid Search</t>
        </is>
      </c>
      <c r="G956" s="0" t="inlineStr">
        <is>
          <t>Premium</t>
        </is>
      </c>
      <c r="H956" s="0" t="n">
        <v>1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P956" s="0" t="n">
        <v>67.3</v>
      </c>
    </row>
    <row r="957">
      <c r="A957" s="0" t="inlineStr">
        <is>
          <t>USR-100956</t>
        </is>
      </c>
      <c r="B957" s="23" t="n">
        <v>45671</v>
      </c>
      <c r="C957" s="0" t="inlineStr">
        <is>
          <t>Treatment</t>
        </is>
      </c>
      <c r="D957" s="0" t="inlineStr">
        <is>
          <t>West</t>
        </is>
      </c>
      <c r="E957" s="0" t="inlineStr">
        <is>
          <t>Mobile</t>
        </is>
      </c>
      <c r="F957" s="0" t="inlineStr">
        <is>
          <t>Referral</t>
        </is>
      </c>
      <c r="G957" s="0" t="inlineStr">
        <is>
          <t>Free</t>
        </is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2</v>
      </c>
      <c r="N957" s="0" t="n">
        <v>0</v>
      </c>
      <c r="P957" s="0" t="n">
        <v>41</v>
      </c>
    </row>
    <row r="958">
      <c r="A958" s="0" t="inlineStr">
        <is>
          <t>USR-100957</t>
        </is>
      </c>
      <c r="B958" s="23" t="n">
        <v>45782</v>
      </c>
      <c r="C958" s="0" t="inlineStr">
        <is>
          <t>Treatment</t>
        </is>
      </c>
      <c r="D958" s="0" t="inlineStr">
        <is>
          <t>West</t>
        </is>
      </c>
      <c r="E958" s="0" t="inlineStr">
        <is>
          <t>Mobile</t>
        </is>
      </c>
      <c r="F958" s="0" t="inlineStr">
        <is>
          <t>Paid Search</t>
        </is>
      </c>
      <c r="G958" s="0" t="inlineStr">
        <is>
          <t>Free</t>
        </is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P958" s="0" t="n">
        <v>48.1</v>
      </c>
    </row>
    <row r="959">
      <c r="A959" s="0" t="inlineStr">
        <is>
          <t>USR-100958</t>
        </is>
      </c>
      <c r="B959" s="23" t="n">
        <v>45779</v>
      </c>
      <c r="C959" s="0" t="inlineStr">
        <is>
          <t>Treatment</t>
        </is>
      </c>
      <c r="D959" s="0" t="inlineStr">
        <is>
          <t>West</t>
        </is>
      </c>
      <c r="E959" s="0" t="inlineStr">
        <is>
          <t>Desktop</t>
        </is>
      </c>
      <c r="F959" s="0" t="inlineStr">
        <is>
          <t>Social</t>
        </is>
      </c>
      <c r="G959" s="0" t="inlineStr">
        <is>
          <t>Free</t>
        </is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1</v>
      </c>
      <c r="N959" s="0" t="n">
        <v>0</v>
      </c>
      <c r="P959" s="0" t="n">
        <v>60.8</v>
      </c>
    </row>
    <row r="960">
      <c r="A960" s="0" t="inlineStr">
        <is>
          <t>USR-100959</t>
        </is>
      </c>
      <c r="B960" s="23" t="n">
        <v>45798</v>
      </c>
      <c r="C960" s="0" t="inlineStr">
        <is>
          <t>Treatment</t>
        </is>
      </c>
      <c r="D960" s="0" t="inlineStr">
        <is>
          <t>East</t>
        </is>
      </c>
      <c r="E960" s="0" t="inlineStr">
        <is>
          <t>Mobile</t>
        </is>
      </c>
      <c r="F960" s="0" t="inlineStr">
        <is>
          <t>Organic</t>
        </is>
      </c>
      <c r="G960" s="0" t="inlineStr">
        <is>
          <t>Free</t>
        </is>
      </c>
      <c r="H960" s="0" t="n">
        <v>1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P960" s="0" t="n">
        <v>63.1</v>
      </c>
    </row>
    <row r="961">
      <c r="A961" s="0" t="inlineStr">
        <is>
          <t>USR-100960</t>
        </is>
      </c>
      <c r="B961" s="23" t="n">
        <v>45793</v>
      </c>
      <c r="C961" s="0" t="inlineStr">
        <is>
          <t>Treatment</t>
        </is>
      </c>
      <c r="D961" s="0" t="inlineStr">
        <is>
          <t>North</t>
        </is>
      </c>
      <c r="E961" s="0" t="inlineStr">
        <is>
          <t>Mobile</t>
        </is>
      </c>
      <c r="F961" s="0" t="inlineStr">
        <is>
          <t>Referral</t>
        </is>
      </c>
      <c r="G961" s="0" t="inlineStr">
        <is>
          <t>Premium</t>
        </is>
      </c>
      <c r="H961" s="0" t="n">
        <v>1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2</v>
      </c>
      <c r="N961" s="0" t="n">
        <v>0</v>
      </c>
      <c r="P961" s="0" t="n">
        <v>49.7</v>
      </c>
    </row>
    <row r="962">
      <c r="A962" s="0" t="inlineStr">
        <is>
          <t>USR-100961</t>
        </is>
      </c>
      <c r="B962" s="23" t="n">
        <v>45801</v>
      </c>
      <c r="C962" s="0" t="inlineStr">
        <is>
          <t>Treatment</t>
        </is>
      </c>
      <c r="D962" s="0" t="inlineStr">
        <is>
          <t>East</t>
        </is>
      </c>
      <c r="E962" s="0" t="inlineStr">
        <is>
          <t>Desktop</t>
        </is>
      </c>
      <c r="F962" s="0" t="inlineStr">
        <is>
          <t>Organic</t>
        </is>
      </c>
      <c r="G962" s="0" t="inlineStr">
        <is>
          <t>Premium</t>
        </is>
      </c>
      <c r="H962" s="0" t="n">
        <v>1</v>
      </c>
      <c r="I962" s="0" t="n">
        <v>1</v>
      </c>
      <c r="J962" s="0" t="n">
        <v>1</v>
      </c>
      <c r="K962" s="0" t="n">
        <v>0</v>
      </c>
      <c r="L962" s="0" t="n">
        <v>0</v>
      </c>
      <c r="M962" s="0" t="n">
        <v>1</v>
      </c>
      <c r="N962" s="0" t="n">
        <v>0</v>
      </c>
      <c r="P962" s="0" t="n">
        <v>83.40000000000001</v>
      </c>
    </row>
    <row r="963">
      <c r="A963" s="0" t="inlineStr">
        <is>
          <t>USR-100962</t>
        </is>
      </c>
      <c r="B963" s="23" t="n">
        <v>45734</v>
      </c>
      <c r="C963" s="0" t="inlineStr">
        <is>
          <t>Treatment</t>
        </is>
      </c>
      <c r="D963" s="0" t="inlineStr">
        <is>
          <t>East</t>
        </is>
      </c>
      <c r="E963" s="0" t="inlineStr">
        <is>
          <t>Mobile</t>
        </is>
      </c>
      <c r="F963" s="0" t="inlineStr">
        <is>
          <t>Organic</t>
        </is>
      </c>
      <c r="G963" s="0" t="inlineStr">
        <is>
          <t>Basic</t>
        </is>
      </c>
      <c r="H963" s="0" t="n">
        <v>1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P963" s="0" t="n">
        <v>75.90000000000001</v>
      </c>
    </row>
    <row r="964">
      <c r="A964" s="0" t="inlineStr">
        <is>
          <t>USR-100963</t>
        </is>
      </c>
      <c r="B964" s="23" t="n">
        <v>45668</v>
      </c>
      <c r="C964" s="0" t="inlineStr">
        <is>
          <t>Treatment</t>
        </is>
      </c>
      <c r="D964" s="0" t="inlineStr">
        <is>
          <t>East</t>
        </is>
      </c>
      <c r="E964" s="0" t="inlineStr">
        <is>
          <t>Desktop</t>
        </is>
      </c>
      <c r="F964" s="0" t="inlineStr">
        <is>
          <t>Paid Search</t>
        </is>
      </c>
      <c r="G964" s="0" t="inlineStr">
        <is>
          <t>Free</t>
        </is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1</v>
      </c>
      <c r="N964" s="0" t="n">
        <v>0</v>
      </c>
      <c r="P964" s="0" t="n">
        <v>71.8</v>
      </c>
    </row>
    <row r="965">
      <c r="A965" s="0" t="inlineStr">
        <is>
          <t>USR-100964</t>
        </is>
      </c>
      <c r="B965" s="23" t="n">
        <v>45697</v>
      </c>
      <c r="C965" s="0" t="inlineStr">
        <is>
          <t>Treatment</t>
        </is>
      </c>
      <c r="D965" s="0" t="inlineStr">
        <is>
          <t>South</t>
        </is>
      </c>
      <c r="E965" s="0" t="inlineStr">
        <is>
          <t>Mobile</t>
        </is>
      </c>
      <c r="F965" s="0" t="inlineStr">
        <is>
          <t>Organic</t>
        </is>
      </c>
      <c r="G965" s="0" t="inlineStr">
        <is>
          <t>Basic</t>
        </is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P965" s="0" t="n">
        <v>37.9</v>
      </c>
    </row>
    <row r="966">
      <c r="A966" s="0" t="inlineStr">
        <is>
          <t>USR-100965</t>
        </is>
      </c>
      <c r="B966" s="23" t="n">
        <v>45717</v>
      </c>
      <c r="C966" s="0" t="inlineStr">
        <is>
          <t>Treatment</t>
        </is>
      </c>
      <c r="D966" s="0" t="inlineStr">
        <is>
          <t>North</t>
        </is>
      </c>
      <c r="E966" s="0" t="inlineStr">
        <is>
          <t>Desktop</t>
        </is>
      </c>
      <c r="F966" s="0" t="inlineStr">
        <is>
          <t>Social</t>
        </is>
      </c>
      <c r="G966" s="0" t="inlineStr">
        <is>
          <t>Free</t>
        </is>
      </c>
      <c r="H966" s="0" t="n">
        <v>1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P966" s="0" t="n">
        <v>59.8</v>
      </c>
    </row>
    <row r="967">
      <c r="A967" s="0" t="inlineStr">
        <is>
          <t>USR-100966</t>
        </is>
      </c>
      <c r="B967" s="23" t="n">
        <v>45784</v>
      </c>
      <c r="C967" s="0" t="inlineStr">
        <is>
          <t>Treatment</t>
        </is>
      </c>
      <c r="D967" s="0" t="inlineStr">
        <is>
          <t>North</t>
        </is>
      </c>
      <c r="E967" s="0" t="inlineStr">
        <is>
          <t>Mobile</t>
        </is>
      </c>
      <c r="F967" s="0" t="inlineStr">
        <is>
          <t>Organic</t>
        </is>
      </c>
      <c r="G967" s="0" t="inlineStr">
        <is>
          <t>Basic</t>
        </is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P967" s="0" t="n">
        <v>66.90000000000001</v>
      </c>
    </row>
    <row r="968">
      <c r="A968" s="0" t="inlineStr">
        <is>
          <t>USR-100967</t>
        </is>
      </c>
      <c r="B968" s="23" t="n">
        <v>45707</v>
      </c>
      <c r="C968" s="0" t="inlineStr">
        <is>
          <t>Treatment</t>
        </is>
      </c>
      <c r="D968" s="0" t="inlineStr">
        <is>
          <t>South</t>
        </is>
      </c>
      <c r="E968" s="0" t="inlineStr">
        <is>
          <t>Desktop</t>
        </is>
      </c>
      <c r="F968" s="0" t="inlineStr">
        <is>
          <t>Unknown</t>
        </is>
      </c>
      <c r="G968" s="0" t="inlineStr">
        <is>
          <t>Free</t>
        </is>
      </c>
      <c r="H968" s="0" t="n">
        <v>1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P968" s="0" t="n">
        <v>59</v>
      </c>
    </row>
    <row r="969">
      <c r="A969" s="0" t="inlineStr">
        <is>
          <t>USR-100968</t>
        </is>
      </c>
      <c r="B969" s="23" t="n">
        <v>45714</v>
      </c>
      <c r="C969" s="0" t="inlineStr">
        <is>
          <t>Treatment</t>
        </is>
      </c>
      <c r="D969" s="0" t="inlineStr">
        <is>
          <t>West</t>
        </is>
      </c>
      <c r="E969" s="0" t="inlineStr">
        <is>
          <t>Mobile</t>
        </is>
      </c>
      <c r="F969" s="0" t="inlineStr">
        <is>
          <t>Organic</t>
        </is>
      </c>
      <c r="G969" s="0" t="inlineStr">
        <is>
          <t>Premium</t>
        </is>
      </c>
      <c r="H969" s="0" t="n">
        <v>1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P969" s="0" t="n">
        <v>80.09999999999999</v>
      </c>
    </row>
    <row r="970">
      <c r="A970" s="0" t="inlineStr">
        <is>
          <t>USR-100969</t>
        </is>
      </c>
      <c r="B970" s="23" t="n">
        <v>45739</v>
      </c>
      <c r="C970" s="0" t="inlineStr">
        <is>
          <t>Treatment</t>
        </is>
      </c>
      <c r="D970" s="0" t="inlineStr">
        <is>
          <t>South</t>
        </is>
      </c>
      <c r="E970" s="0" t="inlineStr">
        <is>
          <t>Mobile</t>
        </is>
      </c>
      <c r="F970" s="0" t="inlineStr">
        <is>
          <t>Social</t>
        </is>
      </c>
      <c r="G970" s="0" t="inlineStr">
        <is>
          <t>Free</t>
        </is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P970" s="0" t="n">
        <v>64.3</v>
      </c>
    </row>
    <row r="971">
      <c r="A971" s="0" t="inlineStr">
        <is>
          <t>USR-100970</t>
        </is>
      </c>
      <c r="B971" s="23" t="n">
        <v>45772</v>
      </c>
      <c r="C971" s="0" t="inlineStr">
        <is>
          <t>Treatment</t>
        </is>
      </c>
      <c r="D971" s="0" t="inlineStr">
        <is>
          <t>South</t>
        </is>
      </c>
      <c r="E971" s="0" t="inlineStr">
        <is>
          <t>Desktop</t>
        </is>
      </c>
      <c r="F971" s="0" t="inlineStr">
        <is>
          <t>Social</t>
        </is>
      </c>
      <c r="G971" s="0" t="inlineStr">
        <is>
          <t>Free</t>
        </is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1</v>
      </c>
      <c r="N971" s="0" t="n">
        <v>0</v>
      </c>
      <c r="P971" s="0" t="n">
        <v>57.4</v>
      </c>
    </row>
    <row r="972">
      <c r="A972" s="0" t="inlineStr">
        <is>
          <t>USR-100971</t>
        </is>
      </c>
      <c r="B972" s="23" t="n">
        <v>45787</v>
      </c>
      <c r="C972" s="0" t="inlineStr">
        <is>
          <t>Treatment</t>
        </is>
      </c>
      <c r="D972" s="0" t="inlineStr">
        <is>
          <t>North</t>
        </is>
      </c>
      <c r="E972" s="0" t="inlineStr">
        <is>
          <t>Desktop</t>
        </is>
      </c>
      <c r="F972" s="0" t="inlineStr">
        <is>
          <t>Social</t>
        </is>
      </c>
      <c r="G972" s="0" t="inlineStr">
        <is>
          <t>Free</t>
        </is>
      </c>
      <c r="H972" s="0" t="n">
        <v>1</v>
      </c>
      <c r="I972" s="0" t="n">
        <v>1</v>
      </c>
      <c r="J972" s="0" t="n">
        <v>1</v>
      </c>
      <c r="K972" s="0" t="n">
        <v>0</v>
      </c>
      <c r="L972" s="0" t="n">
        <v>0</v>
      </c>
      <c r="M972" s="0" t="n">
        <v>0</v>
      </c>
      <c r="N972" s="0" t="n">
        <v>0</v>
      </c>
      <c r="P972" s="0" t="n">
        <v>83.59999999999999</v>
      </c>
    </row>
    <row r="973">
      <c r="A973" s="0" t="inlineStr">
        <is>
          <t>USR-100972</t>
        </is>
      </c>
      <c r="B973" s="23" t="n">
        <v>45769</v>
      </c>
      <c r="C973" s="0" t="inlineStr">
        <is>
          <t>Treatment</t>
        </is>
      </c>
      <c r="D973" s="0" t="inlineStr">
        <is>
          <t>East</t>
        </is>
      </c>
      <c r="E973" s="0" t="inlineStr">
        <is>
          <t>Mobile</t>
        </is>
      </c>
      <c r="F973" s="0" t="inlineStr">
        <is>
          <t>Paid Search</t>
        </is>
      </c>
      <c r="G973" s="0" t="inlineStr">
        <is>
          <t>Premium</t>
        </is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P973" s="0" t="n">
        <v>45.8</v>
      </c>
    </row>
    <row r="974">
      <c r="A974" s="0" t="inlineStr">
        <is>
          <t>USR-100973</t>
        </is>
      </c>
      <c r="B974" s="23" t="n">
        <v>45706</v>
      </c>
      <c r="C974" s="0" t="inlineStr">
        <is>
          <t>Treatment</t>
        </is>
      </c>
      <c r="D974" s="0" t="inlineStr">
        <is>
          <t>West</t>
        </is>
      </c>
      <c r="E974" s="0" t="inlineStr">
        <is>
          <t>Mobile</t>
        </is>
      </c>
      <c r="F974" s="0" t="inlineStr">
        <is>
          <t>Referral</t>
        </is>
      </c>
      <c r="G974" s="0" t="inlineStr">
        <is>
          <t>Basic</t>
        </is>
      </c>
      <c r="H974" s="0" t="n">
        <v>1</v>
      </c>
      <c r="I974" s="0" t="n">
        <v>1</v>
      </c>
      <c r="J974" s="0" t="n">
        <v>1</v>
      </c>
      <c r="K974" s="0" t="n">
        <v>0</v>
      </c>
      <c r="L974" s="0" t="n">
        <v>0</v>
      </c>
      <c r="M974" s="0" t="n">
        <v>0</v>
      </c>
      <c r="N974" s="0" t="n">
        <v>0</v>
      </c>
      <c r="P974" s="0" t="n">
        <v>64.3</v>
      </c>
    </row>
    <row r="975">
      <c r="A975" s="0" t="inlineStr">
        <is>
          <t>USR-100974</t>
        </is>
      </c>
      <c r="B975" s="23" t="n">
        <v>45683</v>
      </c>
      <c r="C975" s="0" t="inlineStr">
        <is>
          <t>Treatment</t>
        </is>
      </c>
      <c r="D975" s="0" t="inlineStr">
        <is>
          <t>South</t>
        </is>
      </c>
      <c r="E975" s="0" t="inlineStr">
        <is>
          <t>Mobile</t>
        </is>
      </c>
      <c r="F975" s="0" t="inlineStr">
        <is>
          <t>Paid Search</t>
        </is>
      </c>
      <c r="G975" s="0" t="inlineStr">
        <is>
          <t>Premium</t>
        </is>
      </c>
      <c r="H975" s="0" t="n">
        <v>1</v>
      </c>
      <c r="I975" s="0" t="n">
        <v>1</v>
      </c>
      <c r="J975" s="0" t="n">
        <v>1</v>
      </c>
      <c r="K975" s="0" t="n">
        <v>0</v>
      </c>
      <c r="L975" s="0" t="n">
        <v>0</v>
      </c>
      <c r="M975" s="0" t="n">
        <v>0</v>
      </c>
      <c r="N975" s="0" t="n">
        <v>0</v>
      </c>
      <c r="P975" s="0" t="n">
        <v>80.5</v>
      </c>
    </row>
    <row r="976">
      <c r="A976" s="0" t="inlineStr">
        <is>
          <t>USR-100975</t>
        </is>
      </c>
      <c r="B976" s="23" t="n">
        <v>45775</v>
      </c>
      <c r="C976" s="0" t="inlineStr">
        <is>
          <t>Treatment</t>
        </is>
      </c>
      <c r="D976" s="0" t="inlineStr">
        <is>
          <t>North</t>
        </is>
      </c>
      <c r="E976" s="0" t="inlineStr">
        <is>
          <t>Mobile</t>
        </is>
      </c>
      <c r="F976" s="0" t="inlineStr">
        <is>
          <t>Organic</t>
        </is>
      </c>
      <c r="G976" s="0" t="inlineStr">
        <is>
          <t>Free</t>
        </is>
      </c>
      <c r="H976" s="0" t="n">
        <v>1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P976" s="0" t="n">
        <v>46.3</v>
      </c>
    </row>
    <row r="977">
      <c r="A977" s="0" t="inlineStr">
        <is>
          <t>USR-100976</t>
        </is>
      </c>
      <c r="B977" s="23" t="n">
        <v>45749</v>
      </c>
      <c r="C977" s="0" t="inlineStr">
        <is>
          <t>Treatment</t>
        </is>
      </c>
      <c r="D977" s="0" t="inlineStr">
        <is>
          <t>South</t>
        </is>
      </c>
      <c r="E977" s="0" t="inlineStr">
        <is>
          <t>Desktop</t>
        </is>
      </c>
      <c r="F977" s="0" t="inlineStr">
        <is>
          <t>Email</t>
        </is>
      </c>
      <c r="G977" s="0" t="inlineStr">
        <is>
          <t>Basic</t>
        </is>
      </c>
      <c r="H977" s="0" t="n">
        <v>1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P977" s="0" t="n">
        <v>71.59999999999999</v>
      </c>
    </row>
    <row r="978">
      <c r="A978" s="0" t="inlineStr">
        <is>
          <t>USR-100977</t>
        </is>
      </c>
      <c r="B978" s="23" t="n">
        <v>45759</v>
      </c>
      <c r="C978" s="0" t="inlineStr">
        <is>
          <t>Treatment</t>
        </is>
      </c>
      <c r="D978" s="0" t="inlineStr">
        <is>
          <t>South</t>
        </is>
      </c>
      <c r="E978" s="0" t="inlineStr">
        <is>
          <t>Desktop</t>
        </is>
      </c>
      <c r="F978" s="0" t="inlineStr">
        <is>
          <t>Email</t>
        </is>
      </c>
      <c r="G978" s="0" t="inlineStr">
        <is>
          <t>Premium</t>
        </is>
      </c>
      <c r="H978" s="0" t="n">
        <v>1</v>
      </c>
      <c r="I978" s="0" t="n">
        <v>1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P978" s="0" t="n">
        <v>57.8</v>
      </c>
    </row>
    <row r="979">
      <c r="A979" s="0" t="inlineStr">
        <is>
          <t>USR-100978</t>
        </is>
      </c>
      <c r="B979" s="23" t="n">
        <v>45660</v>
      </c>
      <c r="C979" s="0" t="inlineStr">
        <is>
          <t>Treatment</t>
        </is>
      </c>
      <c r="D979" s="0" t="inlineStr">
        <is>
          <t>West</t>
        </is>
      </c>
      <c r="E979" s="0" t="inlineStr">
        <is>
          <t>Desktop</t>
        </is>
      </c>
      <c r="F979" s="0" t="inlineStr">
        <is>
          <t>Email</t>
        </is>
      </c>
      <c r="G979" s="0" t="inlineStr">
        <is>
          <t>Basic</t>
        </is>
      </c>
      <c r="H979" s="0" t="n">
        <v>1</v>
      </c>
      <c r="I979" s="0" t="n">
        <v>1</v>
      </c>
      <c r="J979" s="0" t="n">
        <v>1</v>
      </c>
      <c r="K979" s="0" t="n">
        <v>0</v>
      </c>
      <c r="L979" s="0" t="n">
        <v>0</v>
      </c>
      <c r="M979" s="0" t="n">
        <v>1</v>
      </c>
      <c r="N979" s="0" t="n">
        <v>0</v>
      </c>
      <c r="P979" s="0" t="n">
        <v>57.8</v>
      </c>
    </row>
    <row r="980">
      <c r="A980" s="0" t="inlineStr">
        <is>
          <t>USR-100979</t>
        </is>
      </c>
      <c r="B980" s="23" t="n">
        <v>45785</v>
      </c>
      <c r="C980" s="0" t="inlineStr">
        <is>
          <t>Treatment</t>
        </is>
      </c>
      <c r="D980" s="0" t="inlineStr">
        <is>
          <t>North</t>
        </is>
      </c>
      <c r="E980" s="0" t="inlineStr">
        <is>
          <t>Mobile</t>
        </is>
      </c>
      <c r="F980" s="0" t="inlineStr">
        <is>
          <t>Paid Search</t>
        </is>
      </c>
      <c r="G980" s="0" t="inlineStr">
        <is>
          <t>Free</t>
        </is>
      </c>
      <c r="H980" s="0" t="n">
        <v>1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P980" s="0" t="n">
        <v>38.3</v>
      </c>
    </row>
    <row r="981">
      <c r="A981" s="0" t="inlineStr">
        <is>
          <t>USR-100980</t>
        </is>
      </c>
      <c r="B981" s="23" t="n">
        <v>45708</v>
      </c>
      <c r="C981" s="0" t="inlineStr">
        <is>
          <t>Treatment</t>
        </is>
      </c>
      <c r="D981" s="0" t="inlineStr">
        <is>
          <t>North</t>
        </is>
      </c>
      <c r="E981" s="0" t="inlineStr">
        <is>
          <t>Mobile</t>
        </is>
      </c>
      <c r="F981" s="0" t="inlineStr">
        <is>
          <t>Referral</t>
        </is>
      </c>
      <c r="G981" s="0" t="inlineStr">
        <is>
          <t>Premium</t>
        </is>
      </c>
      <c r="H981" s="0" t="n">
        <v>1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1</v>
      </c>
      <c r="N981" s="0" t="n">
        <v>0</v>
      </c>
      <c r="P981" s="0" t="n">
        <v>66.09999999999999</v>
      </c>
    </row>
    <row r="982">
      <c r="A982" s="0" t="inlineStr">
        <is>
          <t>USR-100981</t>
        </is>
      </c>
      <c r="B982" s="23" t="n">
        <v>45733</v>
      </c>
      <c r="C982" s="0" t="inlineStr">
        <is>
          <t>Treatment</t>
        </is>
      </c>
      <c r="D982" s="0" t="inlineStr">
        <is>
          <t>North</t>
        </is>
      </c>
      <c r="E982" s="0" t="inlineStr">
        <is>
          <t>Desktop</t>
        </is>
      </c>
      <c r="F982" s="0" t="inlineStr">
        <is>
          <t>Paid Search</t>
        </is>
      </c>
      <c r="G982" s="0" t="inlineStr">
        <is>
          <t>Premium</t>
        </is>
      </c>
      <c r="H982" s="0" t="n">
        <v>1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P982" s="0" t="n">
        <v>66.5</v>
      </c>
    </row>
    <row r="983">
      <c r="A983" s="0" t="inlineStr">
        <is>
          <t>USR-100982</t>
        </is>
      </c>
      <c r="B983" s="23" t="n">
        <v>45757</v>
      </c>
      <c r="C983" s="0" t="inlineStr">
        <is>
          <t>Treatment</t>
        </is>
      </c>
      <c r="D983" s="0" t="inlineStr">
        <is>
          <t>South</t>
        </is>
      </c>
      <c r="E983" s="0" t="inlineStr">
        <is>
          <t>Desktop</t>
        </is>
      </c>
      <c r="F983" s="0" t="inlineStr">
        <is>
          <t>Email</t>
        </is>
      </c>
      <c r="G983" s="0" t="inlineStr">
        <is>
          <t>Free</t>
        </is>
      </c>
      <c r="H983" s="0" t="n">
        <v>1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3</v>
      </c>
      <c r="N983" s="0" t="n">
        <v>0</v>
      </c>
      <c r="P983" s="0" t="n">
        <v>51.5</v>
      </c>
    </row>
    <row r="984">
      <c r="A984" s="0" t="inlineStr">
        <is>
          <t>USR-100983</t>
        </is>
      </c>
      <c r="B984" s="23" t="n">
        <v>45785</v>
      </c>
      <c r="C984" s="0" t="inlineStr">
        <is>
          <t>Treatment</t>
        </is>
      </c>
      <c r="D984" s="0" t="inlineStr">
        <is>
          <t>North</t>
        </is>
      </c>
      <c r="E984" s="0" t="inlineStr">
        <is>
          <t>Desktop</t>
        </is>
      </c>
      <c r="F984" s="0" t="inlineStr">
        <is>
          <t>Referral</t>
        </is>
      </c>
      <c r="G984" s="0" t="inlineStr">
        <is>
          <t>Free</t>
        </is>
      </c>
      <c r="H984" s="0" t="n">
        <v>1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P984" s="0" t="n">
        <v>59.9</v>
      </c>
    </row>
    <row r="985">
      <c r="A985" s="0" t="inlineStr">
        <is>
          <t>USR-100984</t>
        </is>
      </c>
      <c r="B985" s="23" t="n">
        <v>45766</v>
      </c>
      <c r="C985" s="0" t="inlineStr">
        <is>
          <t>Treatment</t>
        </is>
      </c>
      <c r="D985" s="0" t="inlineStr">
        <is>
          <t>West</t>
        </is>
      </c>
      <c r="E985" s="0" t="inlineStr">
        <is>
          <t>Mobile</t>
        </is>
      </c>
      <c r="F985" s="0" t="inlineStr">
        <is>
          <t>Paid Search</t>
        </is>
      </c>
      <c r="G985" s="0" t="inlineStr">
        <is>
          <t>Basic</t>
        </is>
      </c>
      <c r="H985" s="0" t="n">
        <v>1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P985" s="0" t="n">
        <v>58.8</v>
      </c>
    </row>
    <row r="986">
      <c r="A986" s="0" t="inlineStr">
        <is>
          <t>USR-100985</t>
        </is>
      </c>
      <c r="B986" s="23" t="n">
        <v>45658</v>
      </c>
      <c r="C986" s="0" t="inlineStr">
        <is>
          <t>Treatment</t>
        </is>
      </c>
      <c r="D986" s="0" t="inlineStr">
        <is>
          <t>South</t>
        </is>
      </c>
      <c r="E986" s="0" t="inlineStr">
        <is>
          <t>Tablet</t>
        </is>
      </c>
      <c r="F986" s="0" t="inlineStr">
        <is>
          <t>Paid Search</t>
        </is>
      </c>
      <c r="G986" s="0" t="inlineStr">
        <is>
          <t>Basic</t>
        </is>
      </c>
      <c r="H986" s="0" t="n">
        <v>1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P986" s="0" t="n">
        <v>69.59999999999999</v>
      </c>
    </row>
    <row r="987">
      <c r="A987" s="0" t="inlineStr">
        <is>
          <t>USR-100986</t>
        </is>
      </c>
      <c r="B987" s="23" t="n">
        <v>45726</v>
      </c>
      <c r="C987" s="0" t="inlineStr">
        <is>
          <t>Treatment</t>
        </is>
      </c>
      <c r="D987" s="0" t="inlineStr">
        <is>
          <t>East</t>
        </is>
      </c>
      <c r="E987" s="0" t="inlineStr">
        <is>
          <t>Mobile</t>
        </is>
      </c>
      <c r="F987" s="0" t="inlineStr">
        <is>
          <t>Paid Search</t>
        </is>
      </c>
      <c r="G987" s="0" t="inlineStr">
        <is>
          <t>Free</t>
        </is>
      </c>
      <c r="H987" s="0" t="n">
        <v>1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P987" s="0" t="n">
        <v>77.5</v>
      </c>
    </row>
    <row r="988">
      <c r="A988" s="0" t="inlineStr">
        <is>
          <t>USR-100987</t>
        </is>
      </c>
      <c r="B988" s="23" t="n">
        <v>45726</v>
      </c>
      <c r="C988" s="0" t="inlineStr">
        <is>
          <t>Treatment</t>
        </is>
      </c>
      <c r="D988" s="0" t="inlineStr">
        <is>
          <t>East</t>
        </is>
      </c>
      <c r="E988" s="0" t="inlineStr">
        <is>
          <t>Tablet</t>
        </is>
      </c>
      <c r="F988" s="0" t="inlineStr">
        <is>
          <t>Social</t>
        </is>
      </c>
      <c r="G988" s="0" t="inlineStr">
        <is>
          <t>Premium</t>
        </is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2</v>
      </c>
      <c r="N988" s="0" t="n">
        <v>0</v>
      </c>
      <c r="P988" s="0" t="n">
        <v>57.5</v>
      </c>
    </row>
    <row r="989">
      <c r="A989" s="0" t="inlineStr">
        <is>
          <t>USR-100988</t>
        </is>
      </c>
      <c r="B989" s="23" t="n">
        <v>45766</v>
      </c>
      <c r="C989" s="0" t="inlineStr">
        <is>
          <t>Treatment</t>
        </is>
      </c>
      <c r="D989" s="0" t="inlineStr">
        <is>
          <t>West</t>
        </is>
      </c>
      <c r="E989" s="0" t="inlineStr">
        <is>
          <t>Tablet</t>
        </is>
      </c>
      <c r="F989" s="0" t="inlineStr">
        <is>
          <t>Email</t>
        </is>
      </c>
      <c r="G989" s="0" t="inlineStr">
        <is>
          <t>Basic</t>
        </is>
      </c>
      <c r="H989" s="0" t="n">
        <v>1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P989" s="0" t="n">
        <v>64.2</v>
      </c>
    </row>
    <row r="990">
      <c r="A990" s="0" t="inlineStr">
        <is>
          <t>USR-100989</t>
        </is>
      </c>
      <c r="B990" s="23" t="n">
        <v>45758</v>
      </c>
      <c r="C990" s="0" t="inlineStr">
        <is>
          <t>Treatment</t>
        </is>
      </c>
      <c r="D990" s="0" t="inlineStr">
        <is>
          <t>West</t>
        </is>
      </c>
      <c r="E990" s="0" t="inlineStr">
        <is>
          <t>Desktop</t>
        </is>
      </c>
      <c r="F990" s="0" t="inlineStr">
        <is>
          <t>Organic</t>
        </is>
      </c>
      <c r="G990" s="0" t="inlineStr">
        <is>
          <t>Free</t>
        </is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P990" s="0" t="n">
        <v>60</v>
      </c>
    </row>
    <row r="991">
      <c r="A991" s="0" t="inlineStr">
        <is>
          <t>USR-100990</t>
        </is>
      </c>
      <c r="B991" s="23" t="n">
        <v>45757</v>
      </c>
      <c r="C991" s="0" t="inlineStr">
        <is>
          <t>Treatment</t>
        </is>
      </c>
      <c r="D991" s="0" t="inlineStr">
        <is>
          <t>East</t>
        </is>
      </c>
      <c r="E991" s="0" t="inlineStr">
        <is>
          <t>Mobile</t>
        </is>
      </c>
      <c r="F991" s="0" t="inlineStr">
        <is>
          <t>Organic</t>
        </is>
      </c>
      <c r="G991" s="0" t="inlineStr">
        <is>
          <t>Basic</t>
        </is>
      </c>
      <c r="H991" s="0" t="n">
        <v>1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1</v>
      </c>
      <c r="N991" s="0" t="n">
        <v>0</v>
      </c>
      <c r="P991" s="0" t="n">
        <v>43.7</v>
      </c>
    </row>
    <row r="992">
      <c r="A992" s="0" t="inlineStr">
        <is>
          <t>USR-100991</t>
        </is>
      </c>
      <c r="B992" s="23" t="n">
        <v>45670</v>
      </c>
      <c r="C992" s="0" t="inlineStr">
        <is>
          <t>Treatment</t>
        </is>
      </c>
      <c r="D992" s="0" t="inlineStr">
        <is>
          <t>West</t>
        </is>
      </c>
      <c r="E992" s="0" t="inlineStr">
        <is>
          <t>Desktop</t>
        </is>
      </c>
      <c r="F992" s="0" t="inlineStr">
        <is>
          <t>Social</t>
        </is>
      </c>
      <c r="G992" s="0" t="inlineStr">
        <is>
          <t>Free</t>
        </is>
      </c>
      <c r="H992" s="0" t="n">
        <v>1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P992" s="0" t="n">
        <v>64.90000000000001</v>
      </c>
    </row>
    <row r="993">
      <c r="A993" s="0" t="inlineStr">
        <is>
          <t>USR-100992</t>
        </is>
      </c>
      <c r="B993" s="23" t="n">
        <v>45744</v>
      </c>
      <c r="C993" s="0" t="inlineStr">
        <is>
          <t>Treatment</t>
        </is>
      </c>
      <c r="D993" s="0" t="inlineStr">
        <is>
          <t>South</t>
        </is>
      </c>
      <c r="E993" s="0" t="inlineStr">
        <is>
          <t>Desktop</t>
        </is>
      </c>
      <c r="F993" s="0" t="inlineStr">
        <is>
          <t>Organic</t>
        </is>
      </c>
      <c r="G993" s="0" t="inlineStr">
        <is>
          <t>Free</t>
        </is>
      </c>
      <c r="H993" s="0" t="n">
        <v>1</v>
      </c>
      <c r="I993" s="0" t="n">
        <v>1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P993" s="0" t="n">
        <v>45.5</v>
      </c>
    </row>
    <row r="994">
      <c r="A994" s="0" t="inlineStr">
        <is>
          <t>USR-100993</t>
        </is>
      </c>
      <c r="B994" s="23" t="n">
        <v>45686</v>
      </c>
      <c r="C994" s="0" t="inlineStr">
        <is>
          <t>Treatment</t>
        </is>
      </c>
      <c r="D994" s="0" t="inlineStr">
        <is>
          <t>East</t>
        </is>
      </c>
      <c r="E994" s="0" t="inlineStr">
        <is>
          <t>Mobile</t>
        </is>
      </c>
      <c r="F994" s="0" t="inlineStr">
        <is>
          <t>Paid Search</t>
        </is>
      </c>
      <c r="G994" s="0" t="inlineStr">
        <is>
          <t>Free</t>
        </is>
      </c>
      <c r="H994" s="0" t="n">
        <v>1</v>
      </c>
      <c r="I994" s="0" t="n">
        <v>1</v>
      </c>
      <c r="J994" s="0" t="n">
        <v>1</v>
      </c>
      <c r="K994" s="0" t="n">
        <v>1</v>
      </c>
      <c r="L994" s="0" t="n">
        <v>1772.97</v>
      </c>
      <c r="M994" s="0" t="n">
        <v>0</v>
      </c>
      <c r="N994" s="0" t="n">
        <v>0</v>
      </c>
      <c r="O994" s="0" t="n">
        <v>8</v>
      </c>
      <c r="P994" s="0" t="n">
        <v>61.2</v>
      </c>
    </row>
    <row r="995">
      <c r="A995" s="0" t="inlineStr">
        <is>
          <t>USR-100994</t>
        </is>
      </c>
      <c r="B995" s="23" t="n">
        <v>45743</v>
      </c>
      <c r="C995" s="0" t="inlineStr">
        <is>
          <t>Treatment</t>
        </is>
      </c>
      <c r="D995" s="0" t="inlineStr">
        <is>
          <t>South</t>
        </is>
      </c>
      <c r="E995" s="0" t="inlineStr">
        <is>
          <t>Mobile</t>
        </is>
      </c>
      <c r="F995" s="0" t="inlineStr">
        <is>
          <t>Referral</t>
        </is>
      </c>
      <c r="G995" s="0" t="inlineStr">
        <is>
          <t>Free</t>
        </is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P995" s="0" t="n">
        <v>87.8</v>
      </c>
    </row>
    <row r="996">
      <c r="A996" s="0" t="inlineStr">
        <is>
          <t>USR-100995</t>
        </is>
      </c>
      <c r="B996" s="23" t="n">
        <v>45736</v>
      </c>
      <c r="C996" s="0" t="inlineStr">
        <is>
          <t>Treatment</t>
        </is>
      </c>
      <c r="D996" s="0" t="inlineStr">
        <is>
          <t>East</t>
        </is>
      </c>
      <c r="E996" s="0" t="inlineStr">
        <is>
          <t>Tablet</t>
        </is>
      </c>
      <c r="F996" s="0" t="inlineStr">
        <is>
          <t>Social</t>
        </is>
      </c>
      <c r="G996" s="0" t="inlineStr">
        <is>
          <t>Free</t>
        </is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P996" s="0" t="n">
        <v>86.40000000000001</v>
      </c>
    </row>
    <row r="997">
      <c r="A997" s="0" t="inlineStr">
        <is>
          <t>USR-100996</t>
        </is>
      </c>
      <c r="B997" s="23" t="n">
        <v>45666</v>
      </c>
      <c r="C997" s="0" t="inlineStr">
        <is>
          <t>Treatment</t>
        </is>
      </c>
      <c r="D997" s="0" t="inlineStr">
        <is>
          <t>North</t>
        </is>
      </c>
      <c r="E997" s="0" t="inlineStr">
        <is>
          <t>Mobile</t>
        </is>
      </c>
      <c r="F997" s="0" t="inlineStr">
        <is>
          <t>Paid Search</t>
        </is>
      </c>
      <c r="G997" s="0" t="inlineStr">
        <is>
          <t>Basic</t>
        </is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1</v>
      </c>
      <c r="N997" s="0" t="n">
        <v>0</v>
      </c>
      <c r="P997" s="0" t="n">
        <v>71.40000000000001</v>
      </c>
    </row>
    <row r="998">
      <c r="A998" s="0" t="inlineStr">
        <is>
          <t>USR-100997</t>
        </is>
      </c>
      <c r="B998" s="23" t="n">
        <v>45772</v>
      </c>
      <c r="C998" s="0" t="inlineStr">
        <is>
          <t>Treatment</t>
        </is>
      </c>
      <c r="D998" s="0" t="inlineStr">
        <is>
          <t>West</t>
        </is>
      </c>
      <c r="E998" s="0" t="inlineStr">
        <is>
          <t>Mobile</t>
        </is>
      </c>
      <c r="F998" s="0" t="inlineStr">
        <is>
          <t>Social</t>
        </is>
      </c>
      <c r="G998" s="0" t="inlineStr">
        <is>
          <t>Free</t>
        </is>
      </c>
      <c r="H998" s="0" t="n">
        <v>1</v>
      </c>
      <c r="I998" s="0" t="n">
        <v>1</v>
      </c>
      <c r="J998" s="0" t="n">
        <v>1</v>
      </c>
      <c r="K998" s="0" t="n">
        <v>1</v>
      </c>
      <c r="L998" s="0" t="n">
        <v>218.66</v>
      </c>
      <c r="M998" s="0" t="n">
        <v>0</v>
      </c>
      <c r="N998" s="0" t="n">
        <v>1</v>
      </c>
      <c r="O998" s="0" t="n">
        <v>8</v>
      </c>
      <c r="P998" s="0" t="n">
        <v>72.2</v>
      </c>
    </row>
    <row r="999">
      <c r="A999" s="0" t="inlineStr">
        <is>
          <t>USR-100998</t>
        </is>
      </c>
      <c r="B999" s="23" t="n">
        <v>45758</v>
      </c>
      <c r="C999" s="0" t="inlineStr">
        <is>
          <t>Treatment</t>
        </is>
      </c>
      <c r="D999" s="0" t="inlineStr">
        <is>
          <t>South</t>
        </is>
      </c>
      <c r="E999" s="0" t="inlineStr">
        <is>
          <t>Desktop</t>
        </is>
      </c>
      <c r="F999" s="0" t="inlineStr">
        <is>
          <t>Social</t>
        </is>
      </c>
      <c r="G999" s="0" t="inlineStr">
        <is>
          <t>Free</t>
        </is>
      </c>
      <c r="H999" s="0" t="n">
        <v>1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P999" s="0" t="n">
        <v>51.9</v>
      </c>
    </row>
    <row r="1000">
      <c r="A1000" s="0" t="inlineStr">
        <is>
          <t>USR-100999</t>
        </is>
      </c>
      <c r="B1000" s="23" t="n">
        <v>45693</v>
      </c>
      <c r="C1000" s="0" t="inlineStr">
        <is>
          <t>Treatment</t>
        </is>
      </c>
      <c r="D1000" s="0" t="inlineStr">
        <is>
          <t>East</t>
        </is>
      </c>
      <c r="E1000" s="0" t="inlineStr">
        <is>
          <t>Mobile</t>
        </is>
      </c>
      <c r="F1000" s="0" t="inlineStr">
        <is>
          <t>Social</t>
        </is>
      </c>
      <c r="G1000" s="0" t="inlineStr">
        <is>
          <t>Basic</t>
        </is>
      </c>
      <c r="H1000" s="0" t="n">
        <v>1</v>
      </c>
      <c r="I1000" s="0" t="n">
        <v>1</v>
      </c>
      <c r="J1000" s="0" t="n">
        <v>1</v>
      </c>
      <c r="K1000" s="0" t="n">
        <v>0</v>
      </c>
      <c r="L1000" s="0" t="n">
        <v>0</v>
      </c>
      <c r="M1000" s="0" t="n">
        <v>0</v>
      </c>
      <c r="N1000" s="0" t="n">
        <v>0</v>
      </c>
      <c r="P1000" s="0" t="n">
        <v>70.3</v>
      </c>
    </row>
    <row r="1001">
      <c r="A1001" s="0" t="inlineStr">
        <is>
          <t>USR-101000</t>
        </is>
      </c>
      <c r="B1001" s="23" t="n">
        <v>45744</v>
      </c>
      <c r="C1001" s="0" t="inlineStr">
        <is>
          <t>Treatment</t>
        </is>
      </c>
      <c r="D1001" s="0" t="inlineStr">
        <is>
          <t>South</t>
        </is>
      </c>
      <c r="E1001" s="0" t="inlineStr">
        <is>
          <t>Mobile</t>
        </is>
      </c>
      <c r="F1001" s="0" t="inlineStr">
        <is>
          <t>Social</t>
        </is>
      </c>
      <c r="G1001" s="0" t="inlineStr">
        <is>
          <t>Premium</t>
        </is>
      </c>
      <c r="H1001" s="0" t="n">
        <v>1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1</v>
      </c>
      <c r="N1001" s="0" t="n">
        <v>0</v>
      </c>
      <c r="P1001" s="0" t="n">
        <v>49.2</v>
      </c>
    </row>
    <row r="1002">
      <c r="A1002" s="0" t="inlineStr">
        <is>
          <t>USR-101001</t>
        </is>
      </c>
      <c r="B1002" s="23" t="n">
        <v>45791</v>
      </c>
      <c r="C1002" s="0" t="inlineStr">
        <is>
          <t>Treatment</t>
        </is>
      </c>
      <c r="D1002" s="0" t="inlineStr">
        <is>
          <t>South</t>
        </is>
      </c>
      <c r="E1002" s="0" t="inlineStr">
        <is>
          <t>Mobile</t>
        </is>
      </c>
      <c r="F1002" s="0" t="inlineStr">
        <is>
          <t>Referral</t>
        </is>
      </c>
      <c r="G1002" s="0" t="inlineStr">
        <is>
          <t>Free</t>
        </is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P1002" s="0" t="n">
        <v>52.2</v>
      </c>
    </row>
    <row r="1003">
      <c r="A1003" s="0" t="inlineStr">
        <is>
          <t>USR-101002</t>
        </is>
      </c>
      <c r="B1003" s="23" t="n">
        <v>45726</v>
      </c>
      <c r="C1003" s="0" t="inlineStr">
        <is>
          <t>Treatment</t>
        </is>
      </c>
      <c r="D1003" s="0" t="inlineStr">
        <is>
          <t>East</t>
        </is>
      </c>
      <c r="E1003" s="0" t="inlineStr">
        <is>
          <t>Mobile</t>
        </is>
      </c>
      <c r="F1003" s="0" t="inlineStr">
        <is>
          <t>Paid Search</t>
        </is>
      </c>
      <c r="G1003" s="0" t="inlineStr">
        <is>
          <t>Basic</t>
        </is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0</v>
      </c>
      <c r="P1003" s="0" t="n">
        <v>62.6</v>
      </c>
    </row>
    <row r="1004">
      <c r="A1004" s="0" t="inlineStr">
        <is>
          <t>USR-101003</t>
        </is>
      </c>
      <c r="B1004" s="23" t="n">
        <v>45756</v>
      </c>
      <c r="C1004" s="0" t="inlineStr">
        <is>
          <t>Treatment</t>
        </is>
      </c>
      <c r="D1004" s="0" t="inlineStr">
        <is>
          <t>East</t>
        </is>
      </c>
      <c r="E1004" s="0" t="inlineStr">
        <is>
          <t>Desktop</t>
        </is>
      </c>
      <c r="F1004" s="0" t="inlineStr">
        <is>
          <t>Paid Search</t>
        </is>
      </c>
      <c r="G1004" s="0" t="inlineStr">
        <is>
          <t>Free</t>
        </is>
      </c>
      <c r="H1004" s="0" t="n">
        <v>1</v>
      </c>
      <c r="I1004" s="0" t="n">
        <v>1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P1004" s="0" t="n">
        <v>100</v>
      </c>
    </row>
    <row r="1005">
      <c r="A1005" s="0" t="inlineStr">
        <is>
          <t>USR-101004</t>
        </is>
      </c>
      <c r="B1005" s="23" t="n">
        <v>45701</v>
      </c>
      <c r="C1005" s="0" t="inlineStr">
        <is>
          <t>Treatment</t>
        </is>
      </c>
      <c r="D1005" s="0" t="inlineStr">
        <is>
          <t>North</t>
        </is>
      </c>
      <c r="E1005" s="0" t="inlineStr">
        <is>
          <t>Mobile</t>
        </is>
      </c>
      <c r="F1005" s="0" t="inlineStr">
        <is>
          <t>Referral</t>
        </is>
      </c>
      <c r="G1005" s="0" t="inlineStr">
        <is>
          <t>Basic</t>
        </is>
      </c>
      <c r="H1005" s="0" t="n">
        <v>1</v>
      </c>
      <c r="I1005" s="0" t="n">
        <v>1</v>
      </c>
      <c r="J1005" s="0" t="n">
        <v>1</v>
      </c>
      <c r="K1005" s="0" t="n">
        <v>0</v>
      </c>
      <c r="L1005" s="0" t="n">
        <v>0</v>
      </c>
      <c r="M1005" s="0" t="n">
        <v>2</v>
      </c>
      <c r="N1005" s="0" t="n">
        <v>0</v>
      </c>
      <c r="P1005" s="0" t="n">
        <v>45.9</v>
      </c>
    </row>
    <row r="1006">
      <c r="A1006" s="0" t="inlineStr">
        <is>
          <t>USR-101005</t>
        </is>
      </c>
      <c r="B1006" s="23" t="n">
        <v>45780</v>
      </c>
      <c r="C1006" s="0" t="inlineStr">
        <is>
          <t>Treatment</t>
        </is>
      </c>
      <c r="D1006" s="0" t="inlineStr">
        <is>
          <t>East</t>
        </is>
      </c>
      <c r="E1006" s="0" t="inlineStr">
        <is>
          <t>Mobile</t>
        </is>
      </c>
      <c r="F1006" s="0" t="inlineStr">
        <is>
          <t>Email</t>
        </is>
      </c>
      <c r="G1006" s="0" t="inlineStr">
        <is>
          <t>Free</t>
        </is>
      </c>
      <c r="H1006" s="0" t="n">
        <v>1</v>
      </c>
      <c r="I1006" s="0" t="n">
        <v>1</v>
      </c>
      <c r="J1006" s="0" t="n">
        <v>1</v>
      </c>
      <c r="K1006" s="0" t="n">
        <v>0</v>
      </c>
      <c r="L1006" s="0" t="n">
        <v>0</v>
      </c>
      <c r="M1006" s="0" t="n">
        <v>0</v>
      </c>
      <c r="N1006" s="0" t="n">
        <v>0</v>
      </c>
      <c r="P1006" s="0" t="n">
        <v>80.7</v>
      </c>
    </row>
    <row r="1007">
      <c r="A1007" s="0" t="inlineStr">
        <is>
          <t>USR-101006</t>
        </is>
      </c>
      <c r="B1007" s="23" t="n">
        <v>45763</v>
      </c>
      <c r="C1007" s="0" t="inlineStr">
        <is>
          <t>Treatment</t>
        </is>
      </c>
      <c r="D1007" s="0" t="inlineStr">
        <is>
          <t>South</t>
        </is>
      </c>
      <c r="E1007" s="0" t="inlineStr">
        <is>
          <t>Desktop</t>
        </is>
      </c>
      <c r="F1007" s="0" t="inlineStr">
        <is>
          <t>Referral</t>
        </is>
      </c>
      <c r="G1007" s="0" t="inlineStr">
        <is>
          <t>Premium</t>
        </is>
      </c>
      <c r="H1007" s="0" t="n">
        <v>1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P1007" s="0" t="n">
        <v>51.9</v>
      </c>
    </row>
    <row r="1008">
      <c r="A1008" s="0" t="inlineStr">
        <is>
          <t>USR-101007</t>
        </is>
      </c>
      <c r="B1008" s="23" t="n">
        <v>45777</v>
      </c>
      <c r="C1008" s="0" t="inlineStr">
        <is>
          <t>Treatment</t>
        </is>
      </c>
      <c r="D1008" s="0" t="inlineStr">
        <is>
          <t>North</t>
        </is>
      </c>
      <c r="E1008" s="0" t="inlineStr">
        <is>
          <t>Mobile</t>
        </is>
      </c>
      <c r="F1008" s="0" t="inlineStr">
        <is>
          <t>Paid Search</t>
        </is>
      </c>
      <c r="G1008" s="0" t="inlineStr">
        <is>
          <t>Premium</t>
        </is>
      </c>
      <c r="H1008" s="0" t="n">
        <v>1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P1008" s="0" t="n">
        <v>68.90000000000001</v>
      </c>
    </row>
    <row r="1009">
      <c r="A1009" s="0" t="inlineStr">
        <is>
          <t>USR-101008</t>
        </is>
      </c>
      <c r="B1009" s="23" t="n">
        <v>45706</v>
      </c>
      <c r="C1009" s="0" t="inlineStr">
        <is>
          <t>Treatment</t>
        </is>
      </c>
      <c r="D1009" s="0" t="inlineStr">
        <is>
          <t>West</t>
        </is>
      </c>
      <c r="E1009" s="0" t="inlineStr">
        <is>
          <t>Desktop</t>
        </is>
      </c>
      <c r="F1009" s="0" t="inlineStr">
        <is>
          <t>Organic</t>
        </is>
      </c>
      <c r="G1009" s="0" t="inlineStr">
        <is>
          <t>Free</t>
        </is>
      </c>
      <c r="H1009" s="0" t="n">
        <v>1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P1009" s="0" t="n">
        <v>66</v>
      </c>
    </row>
    <row r="1010">
      <c r="A1010" s="0" t="inlineStr">
        <is>
          <t>USR-101009</t>
        </is>
      </c>
      <c r="B1010" s="23" t="n">
        <v>45799</v>
      </c>
      <c r="C1010" s="0" t="inlineStr">
        <is>
          <t>Treatment</t>
        </is>
      </c>
      <c r="D1010" s="0" t="inlineStr">
        <is>
          <t>West</t>
        </is>
      </c>
      <c r="E1010" s="0" t="inlineStr">
        <is>
          <t>Desktop</t>
        </is>
      </c>
      <c r="F1010" s="0" t="inlineStr">
        <is>
          <t>Referral</t>
        </is>
      </c>
      <c r="G1010" s="0" t="inlineStr">
        <is>
          <t>Basic</t>
        </is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P1010" s="0" t="n">
        <v>63.1</v>
      </c>
    </row>
    <row r="1011">
      <c r="A1011" s="0" t="inlineStr">
        <is>
          <t>USR-101010</t>
        </is>
      </c>
      <c r="B1011" s="23" t="n">
        <v>45798</v>
      </c>
      <c r="C1011" s="0" t="inlineStr">
        <is>
          <t>Treatment</t>
        </is>
      </c>
      <c r="D1011" s="0" t="inlineStr">
        <is>
          <t>South</t>
        </is>
      </c>
      <c r="E1011" s="0" t="inlineStr">
        <is>
          <t>Desktop</t>
        </is>
      </c>
      <c r="F1011" s="0" t="inlineStr">
        <is>
          <t>Organic</t>
        </is>
      </c>
      <c r="G1011" s="0" t="inlineStr">
        <is>
          <t>Free</t>
        </is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P1011" s="0" t="n">
        <v>56</v>
      </c>
    </row>
    <row r="1012">
      <c r="A1012" s="0" t="inlineStr">
        <is>
          <t>USR-101011</t>
        </is>
      </c>
      <c r="B1012" s="23" t="n">
        <v>45757</v>
      </c>
      <c r="C1012" s="0" t="inlineStr">
        <is>
          <t>Treatment</t>
        </is>
      </c>
      <c r="D1012" s="0" t="inlineStr">
        <is>
          <t>East</t>
        </is>
      </c>
      <c r="E1012" s="0" t="inlineStr">
        <is>
          <t>Desktop</t>
        </is>
      </c>
      <c r="F1012" s="0" t="inlineStr">
        <is>
          <t>Organic</t>
        </is>
      </c>
      <c r="G1012" s="0" t="inlineStr">
        <is>
          <t>Free</t>
        </is>
      </c>
      <c r="H1012" s="0" t="n">
        <v>1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1</v>
      </c>
      <c r="N1012" s="0" t="n">
        <v>0</v>
      </c>
      <c r="P1012" s="0" t="n">
        <v>65.7</v>
      </c>
    </row>
    <row r="1013">
      <c r="A1013" s="0" t="inlineStr">
        <is>
          <t>USR-101012</t>
        </is>
      </c>
      <c r="B1013" s="23" t="n">
        <v>45664</v>
      </c>
      <c r="C1013" s="0" t="inlineStr">
        <is>
          <t>Treatment</t>
        </is>
      </c>
      <c r="D1013" s="0" t="inlineStr">
        <is>
          <t>North</t>
        </is>
      </c>
      <c r="E1013" s="0" t="inlineStr">
        <is>
          <t>Desktop</t>
        </is>
      </c>
      <c r="F1013" s="0" t="inlineStr">
        <is>
          <t>Organic</t>
        </is>
      </c>
      <c r="G1013" s="0" t="inlineStr">
        <is>
          <t>Premium</t>
        </is>
      </c>
      <c r="H1013" s="0" t="n">
        <v>1</v>
      </c>
      <c r="I1013" s="0" t="n">
        <v>1</v>
      </c>
      <c r="J1013" s="0" t="n">
        <v>1</v>
      </c>
      <c r="K1013" s="0" t="n">
        <v>1</v>
      </c>
      <c r="L1013" s="0" t="n">
        <v>1938.31</v>
      </c>
      <c r="M1013" s="0" t="n">
        <v>1</v>
      </c>
      <c r="N1013" s="0" t="n">
        <v>0</v>
      </c>
      <c r="O1013" s="0" t="n">
        <v>9</v>
      </c>
      <c r="P1013" s="0" t="n">
        <v>60.9</v>
      </c>
    </row>
    <row r="1014">
      <c r="A1014" s="0" t="inlineStr">
        <is>
          <t>USR-101013</t>
        </is>
      </c>
      <c r="B1014" s="23" t="n">
        <v>45691</v>
      </c>
      <c r="C1014" s="0" t="inlineStr">
        <is>
          <t>Treatment</t>
        </is>
      </c>
      <c r="D1014" s="0" t="inlineStr">
        <is>
          <t>South</t>
        </is>
      </c>
      <c r="E1014" s="0" t="inlineStr">
        <is>
          <t>Desktop</t>
        </is>
      </c>
      <c r="F1014" s="0" t="inlineStr">
        <is>
          <t>Social</t>
        </is>
      </c>
      <c r="G1014" s="0" t="inlineStr">
        <is>
          <t>Free</t>
        </is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P1014" s="0" t="n">
        <v>45.5</v>
      </c>
    </row>
    <row r="1015">
      <c r="A1015" s="0" t="inlineStr">
        <is>
          <t>USR-101014</t>
        </is>
      </c>
      <c r="B1015" s="23" t="n">
        <v>45795</v>
      </c>
      <c r="C1015" s="0" t="inlineStr">
        <is>
          <t>Treatment</t>
        </is>
      </c>
      <c r="D1015" s="0" t="inlineStr">
        <is>
          <t>North</t>
        </is>
      </c>
      <c r="E1015" s="0" t="inlineStr">
        <is>
          <t>Mobile</t>
        </is>
      </c>
      <c r="F1015" s="0" t="inlineStr">
        <is>
          <t>Paid Search</t>
        </is>
      </c>
      <c r="G1015" s="0" t="inlineStr">
        <is>
          <t>Free</t>
        </is>
      </c>
      <c r="H1015" s="0" t="n">
        <v>1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P1015" s="0" t="n">
        <v>50</v>
      </c>
    </row>
    <row r="1016">
      <c r="A1016" s="0" t="inlineStr">
        <is>
          <t>USR-101015</t>
        </is>
      </c>
      <c r="B1016" s="23" t="n">
        <v>45688</v>
      </c>
      <c r="C1016" s="0" t="inlineStr">
        <is>
          <t>Treatment</t>
        </is>
      </c>
      <c r="D1016" s="0" t="inlineStr">
        <is>
          <t>North</t>
        </is>
      </c>
      <c r="E1016" s="0" t="inlineStr">
        <is>
          <t>Mobile</t>
        </is>
      </c>
      <c r="F1016" s="0" t="inlineStr">
        <is>
          <t>Referral</t>
        </is>
      </c>
      <c r="G1016" s="0" t="inlineStr">
        <is>
          <t>Free</t>
        </is>
      </c>
      <c r="H1016" s="0" t="n">
        <v>1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P1016" s="0" t="n">
        <v>72.09999999999999</v>
      </c>
    </row>
    <row r="1017">
      <c r="A1017" s="0" t="inlineStr">
        <is>
          <t>USR-101016</t>
        </is>
      </c>
      <c r="B1017" s="23" t="n">
        <v>45673</v>
      </c>
      <c r="C1017" s="0" t="inlineStr">
        <is>
          <t>Treatment</t>
        </is>
      </c>
      <c r="D1017" s="0" t="inlineStr">
        <is>
          <t>South</t>
        </is>
      </c>
      <c r="E1017" s="0" t="inlineStr">
        <is>
          <t>Desktop</t>
        </is>
      </c>
      <c r="F1017" s="0" t="inlineStr">
        <is>
          <t>Organic</t>
        </is>
      </c>
      <c r="G1017" s="0" t="inlineStr">
        <is>
          <t>Basic</t>
        </is>
      </c>
      <c r="H1017" s="0" t="n">
        <v>1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P1017" s="0" t="n">
        <v>76.3</v>
      </c>
    </row>
    <row r="1018">
      <c r="A1018" s="0" t="inlineStr">
        <is>
          <t>USR-101017</t>
        </is>
      </c>
      <c r="B1018" s="23" t="n">
        <v>45791</v>
      </c>
      <c r="C1018" s="0" t="inlineStr">
        <is>
          <t>Treatment</t>
        </is>
      </c>
      <c r="D1018" s="0" t="inlineStr">
        <is>
          <t>East</t>
        </is>
      </c>
      <c r="E1018" s="0" t="inlineStr">
        <is>
          <t>Mobile</t>
        </is>
      </c>
      <c r="F1018" s="0" t="inlineStr">
        <is>
          <t>Paid Search</t>
        </is>
      </c>
      <c r="G1018" s="0" t="inlineStr">
        <is>
          <t>Basic</t>
        </is>
      </c>
      <c r="H1018" s="0" t="n">
        <v>1</v>
      </c>
      <c r="I1018" s="0" t="n">
        <v>1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0</v>
      </c>
      <c r="P1018" s="0" t="n">
        <v>54.8</v>
      </c>
    </row>
    <row r="1019">
      <c r="A1019" s="0" t="inlineStr">
        <is>
          <t>USR-101018</t>
        </is>
      </c>
      <c r="B1019" s="23" t="n">
        <v>45748</v>
      </c>
      <c r="C1019" s="0" t="inlineStr">
        <is>
          <t>Treatment</t>
        </is>
      </c>
      <c r="D1019" s="0" t="inlineStr">
        <is>
          <t>South</t>
        </is>
      </c>
      <c r="E1019" s="0" t="inlineStr">
        <is>
          <t>Mobile</t>
        </is>
      </c>
      <c r="F1019" s="0" t="inlineStr">
        <is>
          <t>Unknown</t>
        </is>
      </c>
      <c r="G1019" s="0" t="inlineStr">
        <is>
          <t>Basic</t>
        </is>
      </c>
      <c r="H1019" s="0" t="n">
        <v>1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P1019" s="0" t="n">
        <v>63.6</v>
      </c>
    </row>
    <row r="1020">
      <c r="A1020" s="0" t="inlineStr">
        <is>
          <t>USR-101019</t>
        </is>
      </c>
      <c r="B1020" s="23" t="n">
        <v>45770</v>
      </c>
      <c r="C1020" s="0" t="inlineStr">
        <is>
          <t>Treatment</t>
        </is>
      </c>
      <c r="D1020" s="0" t="inlineStr">
        <is>
          <t>South</t>
        </is>
      </c>
      <c r="E1020" s="0" t="inlineStr">
        <is>
          <t>Mobile</t>
        </is>
      </c>
      <c r="F1020" s="0" t="inlineStr">
        <is>
          <t>Organic</t>
        </is>
      </c>
      <c r="G1020" s="0" t="inlineStr">
        <is>
          <t>Free</t>
        </is>
      </c>
      <c r="H1020" s="0" t="n">
        <v>1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P1020" s="0" t="n">
        <v>68.8</v>
      </c>
    </row>
    <row r="1021">
      <c r="A1021" s="0" t="inlineStr">
        <is>
          <t>USR-101020</t>
        </is>
      </c>
      <c r="B1021" s="23" t="n">
        <v>45718</v>
      </c>
      <c r="C1021" s="0" t="inlineStr">
        <is>
          <t>Treatment</t>
        </is>
      </c>
      <c r="D1021" s="0" t="inlineStr">
        <is>
          <t>South</t>
        </is>
      </c>
      <c r="E1021" s="0" t="inlineStr">
        <is>
          <t>Desktop</t>
        </is>
      </c>
      <c r="F1021" s="0" t="inlineStr">
        <is>
          <t>Paid Search</t>
        </is>
      </c>
      <c r="G1021" s="0" t="inlineStr">
        <is>
          <t>Basic</t>
        </is>
      </c>
      <c r="H1021" s="0" t="n">
        <v>1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P1021" s="0" t="n">
        <v>63.2</v>
      </c>
    </row>
    <row r="1022">
      <c r="A1022" s="0" t="inlineStr">
        <is>
          <t>USR-101021</t>
        </is>
      </c>
      <c r="B1022" s="23" t="n">
        <v>45659</v>
      </c>
      <c r="C1022" s="0" t="inlineStr">
        <is>
          <t>Treatment</t>
        </is>
      </c>
      <c r="D1022" s="0" t="inlineStr">
        <is>
          <t>East</t>
        </is>
      </c>
      <c r="E1022" s="0" t="inlineStr">
        <is>
          <t>Mobile</t>
        </is>
      </c>
      <c r="F1022" s="0" t="inlineStr">
        <is>
          <t>Paid Search</t>
        </is>
      </c>
      <c r="G1022" s="0" t="inlineStr">
        <is>
          <t>Basic</t>
        </is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P1022" s="0" t="n">
        <v>45</v>
      </c>
    </row>
    <row r="1023">
      <c r="A1023" s="0" t="inlineStr">
        <is>
          <t>USR-101022</t>
        </is>
      </c>
      <c r="B1023" s="23" t="n">
        <v>45781</v>
      </c>
      <c r="C1023" s="0" t="inlineStr">
        <is>
          <t>Treatment</t>
        </is>
      </c>
      <c r="D1023" s="0" t="inlineStr">
        <is>
          <t>South</t>
        </is>
      </c>
      <c r="E1023" s="0" t="inlineStr">
        <is>
          <t>Mobile</t>
        </is>
      </c>
      <c r="F1023" s="0" t="inlineStr">
        <is>
          <t>Organic</t>
        </is>
      </c>
      <c r="G1023" s="0" t="inlineStr">
        <is>
          <t>Free</t>
        </is>
      </c>
      <c r="H1023" s="0" t="n">
        <v>1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P1023" s="0" t="n">
        <v>77.40000000000001</v>
      </c>
    </row>
    <row r="1024">
      <c r="A1024" s="0" t="inlineStr">
        <is>
          <t>USR-101023</t>
        </is>
      </c>
      <c r="B1024" s="23" t="n">
        <v>45673</v>
      </c>
      <c r="C1024" s="0" t="inlineStr">
        <is>
          <t>Treatment</t>
        </is>
      </c>
      <c r="D1024" s="0" t="inlineStr">
        <is>
          <t>East</t>
        </is>
      </c>
      <c r="E1024" s="0" t="inlineStr">
        <is>
          <t>Desktop</t>
        </is>
      </c>
      <c r="F1024" s="0" t="inlineStr">
        <is>
          <t>Paid Search</t>
        </is>
      </c>
      <c r="G1024" s="0" t="inlineStr">
        <is>
          <t>Basic</t>
        </is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P1024" s="0" t="n">
        <v>53.1</v>
      </c>
    </row>
    <row r="1025">
      <c r="A1025" s="0" t="inlineStr">
        <is>
          <t>USR-101024</t>
        </is>
      </c>
      <c r="B1025" s="23" t="n">
        <v>45699</v>
      </c>
      <c r="C1025" s="0" t="inlineStr">
        <is>
          <t>Treatment</t>
        </is>
      </c>
      <c r="D1025" s="0" t="inlineStr">
        <is>
          <t>West</t>
        </is>
      </c>
      <c r="E1025" s="0" t="inlineStr">
        <is>
          <t>Tablet</t>
        </is>
      </c>
      <c r="F1025" s="0" t="inlineStr">
        <is>
          <t>Paid Search</t>
        </is>
      </c>
      <c r="G1025" s="0" t="inlineStr">
        <is>
          <t>Premium</t>
        </is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P1025" s="0" t="n">
        <v>74</v>
      </c>
    </row>
    <row r="1026">
      <c r="A1026" s="0" t="inlineStr">
        <is>
          <t>USR-101025</t>
        </is>
      </c>
      <c r="B1026" s="23" t="n">
        <v>45750</v>
      </c>
      <c r="C1026" s="0" t="inlineStr">
        <is>
          <t>Treatment</t>
        </is>
      </c>
      <c r="D1026" s="0" t="inlineStr">
        <is>
          <t>North</t>
        </is>
      </c>
      <c r="E1026" s="0" t="inlineStr">
        <is>
          <t>Mobile</t>
        </is>
      </c>
      <c r="F1026" s="0" t="inlineStr">
        <is>
          <t>Social</t>
        </is>
      </c>
      <c r="G1026" s="0" t="inlineStr">
        <is>
          <t>Premium</t>
        </is>
      </c>
      <c r="H1026" s="0" t="n">
        <v>1</v>
      </c>
      <c r="I1026" s="0" t="n">
        <v>1</v>
      </c>
      <c r="J1026" s="0" t="n">
        <v>1</v>
      </c>
      <c r="K1026" s="0" t="n">
        <v>1</v>
      </c>
      <c r="L1026" s="0" t="n">
        <v>1906.23</v>
      </c>
      <c r="M1026" s="0" t="n">
        <v>0</v>
      </c>
      <c r="N1026" s="0" t="n">
        <v>0</v>
      </c>
      <c r="O1026" s="0" t="n">
        <v>4</v>
      </c>
      <c r="P1026" s="0" t="n">
        <v>84.59999999999999</v>
      </c>
    </row>
    <row r="1027">
      <c r="A1027" s="0" t="inlineStr">
        <is>
          <t>USR-101026</t>
        </is>
      </c>
      <c r="B1027" s="23" t="n">
        <v>45742</v>
      </c>
      <c r="C1027" s="0" t="inlineStr">
        <is>
          <t>Treatment</t>
        </is>
      </c>
      <c r="D1027" s="0" t="inlineStr">
        <is>
          <t>East</t>
        </is>
      </c>
      <c r="E1027" s="0" t="inlineStr">
        <is>
          <t>Mobile</t>
        </is>
      </c>
      <c r="F1027" s="0" t="inlineStr">
        <is>
          <t>Referral</t>
        </is>
      </c>
      <c r="G1027" s="0" t="inlineStr">
        <is>
          <t>Free</t>
        </is>
      </c>
      <c r="H1027" s="0" t="n">
        <v>1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P1027" s="0" t="n">
        <v>57</v>
      </c>
    </row>
    <row r="1028">
      <c r="A1028" s="0" t="inlineStr">
        <is>
          <t>USR-101027</t>
        </is>
      </c>
      <c r="B1028" s="23" t="n">
        <v>45793</v>
      </c>
      <c r="C1028" s="0" t="inlineStr">
        <is>
          <t>Treatment</t>
        </is>
      </c>
      <c r="D1028" s="0" t="inlineStr">
        <is>
          <t>South</t>
        </is>
      </c>
      <c r="E1028" s="0" t="inlineStr">
        <is>
          <t>Mobile</t>
        </is>
      </c>
      <c r="F1028" s="0" t="inlineStr">
        <is>
          <t>Email</t>
        </is>
      </c>
      <c r="G1028" s="0" t="inlineStr">
        <is>
          <t>Premium</t>
        </is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P1028" s="0" t="n">
        <v>46.3</v>
      </c>
    </row>
    <row r="1029">
      <c r="A1029" s="0" t="inlineStr">
        <is>
          <t>USR-101028</t>
        </is>
      </c>
      <c r="B1029" s="23" t="n">
        <v>45767</v>
      </c>
      <c r="C1029" s="0" t="inlineStr">
        <is>
          <t>Treatment</t>
        </is>
      </c>
      <c r="D1029" s="0" t="inlineStr">
        <is>
          <t>West</t>
        </is>
      </c>
      <c r="E1029" s="0" t="inlineStr">
        <is>
          <t>Mobile</t>
        </is>
      </c>
      <c r="F1029" s="0" t="inlineStr">
        <is>
          <t>Social</t>
        </is>
      </c>
      <c r="G1029" s="0" t="inlineStr">
        <is>
          <t>Free</t>
        </is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1</v>
      </c>
      <c r="N1029" s="0" t="n">
        <v>0</v>
      </c>
      <c r="P1029" s="0" t="n">
        <v>64.40000000000001</v>
      </c>
    </row>
    <row r="1030">
      <c r="A1030" s="0" t="inlineStr">
        <is>
          <t>USR-101029</t>
        </is>
      </c>
      <c r="B1030" s="23" t="n">
        <v>45762</v>
      </c>
      <c r="C1030" s="0" t="inlineStr">
        <is>
          <t>Treatment</t>
        </is>
      </c>
      <c r="D1030" s="0" t="inlineStr">
        <is>
          <t>West</t>
        </is>
      </c>
      <c r="E1030" s="0" t="inlineStr">
        <is>
          <t>Mobile</t>
        </is>
      </c>
      <c r="F1030" s="0" t="inlineStr">
        <is>
          <t>Paid Search</t>
        </is>
      </c>
      <c r="G1030" s="0" t="inlineStr">
        <is>
          <t>Free</t>
        </is>
      </c>
      <c r="H1030" s="0" t="n">
        <v>1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2</v>
      </c>
      <c r="N1030" s="0" t="n">
        <v>0</v>
      </c>
      <c r="P1030" s="0" t="n">
        <v>61.9</v>
      </c>
    </row>
    <row r="1031">
      <c r="A1031" s="0" t="inlineStr">
        <is>
          <t>USR-101030</t>
        </is>
      </c>
      <c r="B1031" s="23" t="n">
        <v>45681</v>
      </c>
      <c r="C1031" s="0" t="inlineStr">
        <is>
          <t>Treatment</t>
        </is>
      </c>
      <c r="D1031" s="0" t="inlineStr">
        <is>
          <t>North</t>
        </is>
      </c>
      <c r="E1031" s="0" t="inlineStr">
        <is>
          <t>Mobile</t>
        </is>
      </c>
      <c r="F1031" s="0" t="inlineStr">
        <is>
          <t>Organic</t>
        </is>
      </c>
      <c r="G1031" s="0" t="inlineStr">
        <is>
          <t>Premium</t>
        </is>
      </c>
      <c r="H1031" s="0" t="n">
        <v>1</v>
      </c>
      <c r="I1031" s="0" t="n">
        <v>1</v>
      </c>
      <c r="J1031" s="0" t="n">
        <v>1</v>
      </c>
      <c r="K1031" s="0" t="n">
        <v>0</v>
      </c>
      <c r="L1031" s="0" t="n">
        <v>0</v>
      </c>
      <c r="M1031" s="0" t="n">
        <v>0</v>
      </c>
      <c r="N1031" s="0" t="n">
        <v>0</v>
      </c>
      <c r="P1031" s="0" t="n">
        <v>93.7</v>
      </c>
    </row>
    <row r="1032">
      <c r="A1032" s="0" t="inlineStr">
        <is>
          <t>USR-101031</t>
        </is>
      </c>
      <c r="B1032" s="23" t="n">
        <v>45758</v>
      </c>
      <c r="C1032" s="0" t="inlineStr">
        <is>
          <t>Treatment</t>
        </is>
      </c>
      <c r="D1032" s="0" t="inlineStr">
        <is>
          <t>South</t>
        </is>
      </c>
      <c r="E1032" s="0" t="inlineStr">
        <is>
          <t>Mobile</t>
        </is>
      </c>
      <c r="F1032" s="0" t="inlineStr">
        <is>
          <t>Referral</t>
        </is>
      </c>
      <c r="G1032" s="0" t="inlineStr">
        <is>
          <t>Basic</t>
        </is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P1032" s="0" t="n">
        <v>61.6</v>
      </c>
    </row>
    <row r="1033">
      <c r="A1033" s="0" t="inlineStr">
        <is>
          <t>USR-101032</t>
        </is>
      </c>
      <c r="B1033" s="23" t="n">
        <v>45796</v>
      </c>
      <c r="C1033" s="0" t="inlineStr">
        <is>
          <t>Treatment</t>
        </is>
      </c>
      <c r="D1033" s="0" t="inlineStr">
        <is>
          <t>North</t>
        </is>
      </c>
      <c r="E1033" s="0" t="inlineStr">
        <is>
          <t>Mobile</t>
        </is>
      </c>
      <c r="F1033" s="0" t="inlineStr">
        <is>
          <t>Paid Search</t>
        </is>
      </c>
      <c r="G1033" s="0" t="inlineStr">
        <is>
          <t>Free</t>
        </is>
      </c>
      <c r="H1033" s="0" t="n">
        <v>1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P1033" s="0" t="n">
        <v>72.2</v>
      </c>
    </row>
    <row r="1034">
      <c r="A1034" s="0" t="inlineStr">
        <is>
          <t>USR-101033</t>
        </is>
      </c>
      <c r="B1034" s="23" t="n">
        <v>45671</v>
      </c>
      <c r="C1034" s="0" t="inlineStr">
        <is>
          <t>Treatment</t>
        </is>
      </c>
      <c r="D1034" s="0" t="inlineStr">
        <is>
          <t>North</t>
        </is>
      </c>
      <c r="E1034" s="0" t="inlineStr">
        <is>
          <t>Mobile</t>
        </is>
      </c>
      <c r="F1034" s="0" t="inlineStr">
        <is>
          <t>Organic</t>
        </is>
      </c>
      <c r="G1034" s="0" t="inlineStr">
        <is>
          <t>Basic</t>
        </is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P1034" s="0" t="n">
        <v>69.5</v>
      </c>
    </row>
    <row r="1035">
      <c r="A1035" s="0" t="inlineStr">
        <is>
          <t>USR-101034</t>
        </is>
      </c>
      <c r="B1035" s="23" t="n">
        <v>45716</v>
      </c>
      <c r="C1035" s="0" t="inlineStr">
        <is>
          <t>Treatment</t>
        </is>
      </c>
      <c r="D1035" s="0" t="inlineStr">
        <is>
          <t>East</t>
        </is>
      </c>
      <c r="E1035" s="0" t="inlineStr">
        <is>
          <t>Desktop</t>
        </is>
      </c>
      <c r="F1035" s="0" t="inlineStr">
        <is>
          <t>Organic</t>
        </is>
      </c>
      <c r="G1035" s="0" t="inlineStr">
        <is>
          <t>Basic</t>
        </is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P1035" s="0" t="n">
        <v>59.7</v>
      </c>
    </row>
    <row r="1036">
      <c r="A1036" s="0" t="inlineStr">
        <is>
          <t>USR-101035</t>
        </is>
      </c>
      <c r="B1036" s="23" t="n">
        <v>45795</v>
      </c>
      <c r="C1036" s="0" t="inlineStr">
        <is>
          <t>Treatment</t>
        </is>
      </c>
      <c r="D1036" s="0" t="inlineStr">
        <is>
          <t>East</t>
        </is>
      </c>
      <c r="E1036" s="0" t="inlineStr">
        <is>
          <t>Tablet</t>
        </is>
      </c>
      <c r="F1036" s="0" t="inlineStr">
        <is>
          <t>Paid Search</t>
        </is>
      </c>
      <c r="G1036" s="0" t="inlineStr">
        <is>
          <t>Basic</t>
        </is>
      </c>
      <c r="H1036" s="0" t="n">
        <v>1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P1036" s="0" t="n">
        <v>73.90000000000001</v>
      </c>
    </row>
    <row r="1037">
      <c r="A1037" s="0" t="inlineStr">
        <is>
          <t>USR-101036</t>
        </is>
      </c>
      <c r="B1037" s="23" t="n">
        <v>45661</v>
      </c>
      <c r="C1037" s="0" t="inlineStr">
        <is>
          <t>Treatment</t>
        </is>
      </c>
      <c r="D1037" s="0" t="inlineStr">
        <is>
          <t>North</t>
        </is>
      </c>
      <c r="E1037" s="0" t="inlineStr">
        <is>
          <t>Mobile</t>
        </is>
      </c>
      <c r="F1037" s="0" t="inlineStr">
        <is>
          <t>Social</t>
        </is>
      </c>
      <c r="G1037" s="0" t="inlineStr">
        <is>
          <t>Free</t>
        </is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P1037" s="0" t="n">
        <v>41.5</v>
      </c>
    </row>
    <row r="1038">
      <c r="A1038" s="0" t="inlineStr">
        <is>
          <t>USR-101037</t>
        </is>
      </c>
      <c r="B1038" s="23" t="n">
        <v>45673</v>
      </c>
      <c r="C1038" s="0" t="inlineStr">
        <is>
          <t>Treatment</t>
        </is>
      </c>
      <c r="D1038" s="0" t="inlineStr">
        <is>
          <t>West</t>
        </is>
      </c>
      <c r="E1038" s="0" t="inlineStr">
        <is>
          <t>Mobile</t>
        </is>
      </c>
      <c r="F1038" s="0" t="inlineStr">
        <is>
          <t>Social</t>
        </is>
      </c>
      <c r="G1038" s="0" t="inlineStr">
        <is>
          <t>Premium</t>
        </is>
      </c>
      <c r="H1038" s="0" t="n">
        <v>1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P1038" s="0" t="n">
        <v>82.8</v>
      </c>
    </row>
    <row r="1039">
      <c r="A1039" s="0" t="inlineStr">
        <is>
          <t>USR-101038</t>
        </is>
      </c>
      <c r="B1039" s="23" t="n">
        <v>45730</v>
      </c>
      <c r="C1039" s="0" t="inlineStr">
        <is>
          <t>Treatment</t>
        </is>
      </c>
      <c r="D1039" s="0" t="inlineStr">
        <is>
          <t>West</t>
        </is>
      </c>
      <c r="E1039" s="0" t="inlineStr">
        <is>
          <t>Mobile</t>
        </is>
      </c>
      <c r="F1039" s="0" t="inlineStr">
        <is>
          <t>Social</t>
        </is>
      </c>
      <c r="G1039" s="0" t="inlineStr">
        <is>
          <t>Premium</t>
        </is>
      </c>
      <c r="H1039" s="0" t="n">
        <v>1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3</v>
      </c>
      <c r="N1039" s="0" t="n">
        <v>0</v>
      </c>
      <c r="P1039" s="0" t="n">
        <v>70.2</v>
      </c>
    </row>
    <row r="1040">
      <c r="A1040" s="0" t="inlineStr">
        <is>
          <t>USR-101039</t>
        </is>
      </c>
      <c r="B1040" s="23" t="n">
        <v>45680</v>
      </c>
      <c r="C1040" s="0" t="inlineStr">
        <is>
          <t>Treatment</t>
        </is>
      </c>
      <c r="D1040" s="0" t="inlineStr">
        <is>
          <t>East</t>
        </is>
      </c>
      <c r="E1040" s="0" t="inlineStr">
        <is>
          <t>Mobile</t>
        </is>
      </c>
      <c r="F1040" s="0" t="inlineStr">
        <is>
          <t>Paid Search</t>
        </is>
      </c>
      <c r="G1040" s="0" t="inlineStr">
        <is>
          <t>Basic</t>
        </is>
      </c>
      <c r="H1040" s="0" t="n">
        <v>1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1</v>
      </c>
      <c r="N1040" s="0" t="n">
        <v>0</v>
      </c>
      <c r="P1040" s="0" t="n">
        <v>69.40000000000001</v>
      </c>
    </row>
    <row r="1041">
      <c r="A1041" s="0" t="inlineStr">
        <is>
          <t>USR-101040</t>
        </is>
      </c>
      <c r="B1041" s="23" t="n">
        <v>45691</v>
      </c>
      <c r="C1041" s="0" t="inlineStr">
        <is>
          <t>Treatment</t>
        </is>
      </c>
      <c r="D1041" s="0" t="inlineStr">
        <is>
          <t>North</t>
        </is>
      </c>
      <c r="E1041" s="0" t="inlineStr">
        <is>
          <t>Desktop</t>
        </is>
      </c>
      <c r="F1041" s="0" t="inlineStr">
        <is>
          <t>Organic</t>
        </is>
      </c>
      <c r="G1041" s="0" t="inlineStr">
        <is>
          <t>Basic</t>
        </is>
      </c>
      <c r="H1041" s="0" t="n">
        <v>1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P1041" s="0" t="n">
        <v>60.4</v>
      </c>
    </row>
    <row r="1042">
      <c r="A1042" s="0" t="inlineStr">
        <is>
          <t>USR-101041</t>
        </is>
      </c>
      <c r="B1042" s="23" t="n">
        <v>45793</v>
      </c>
      <c r="C1042" s="0" t="inlineStr">
        <is>
          <t>Treatment</t>
        </is>
      </c>
      <c r="D1042" s="0" t="inlineStr">
        <is>
          <t>East</t>
        </is>
      </c>
      <c r="E1042" s="0" t="inlineStr">
        <is>
          <t>Mobile</t>
        </is>
      </c>
      <c r="F1042" s="0" t="inlineStr">
        <is>
          <t>Referral</t>
        </is>
      </c>
      <c r="G1042" s="0" t="inlineStr">
        <is>
          <t>Free</t>
        </is>
      </c>
      <c r="H1042" s="0" t="n">
        <v>1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P1042" s="0" t="n">
        <v>45.7</v>
      </c>
    </row>
    <row r="1043">
      <c r="A1043" s="0" t="inlineStr">
        <is>
          <t>USR-101042</t>
        </is>
      </c>
      <c r="B1043" s="23" t="n">
        <v>45668</v>
      </c>
      <c r="C1043" s="0" t="inlineStr">
        <is>
          <t>Treatment</t>
        </is>
      </c>
      <c r="D1043" s="0" t="inlineStr">
        <is>
          <t>West</t>
        </is>
      </c>
      <c r="E1043" s="0" t="inlineStr">
        <is>
          <t>Mobile</t>
        </is>
      </c>
      <c r="F1043" s="0" t="inlineStr">
        <is>
          <t>Organic</t>
        </is>
      </c>
      <c r="G1043" s="0" t="inlineStr">
        <is>
          <t>Basic</t>
        </is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1</v>
      </c>
      <c r="N1043" s="0" t="n">
        <v>0</v>
      </c>
      <c r="P1043" s="0" t="n">
        <v>42.2</v>
      </c>
    </row>
    <row r="1044">
      <c r="A1044" s="0" t="inlineStr">
        <is>
          <t>USR-101043</t>
        </is>
      </c>
      <c r="B1044" s="23" t="n">
        <v>45802</v>
      </c>
      <c r="C1044" s="0" t="inlineStr">
        <is>
          <t>Treatment</t>
        </is>
      </c>
      <c r="D1044" s="0" t="inlineStr">
        <is>
          <t>North</t>
        </is>
      </c>
      <c r="E1044" s="0" t="inlineStr">
        <is>
          <t>Desktop</t>
        </is>
      </c>
      <c r="F1044" s="0" t="inlineStr">
        <is>
          <t>Organic</t>
        </is>
      </c>
      <c r="G1044" s="0" t="inlineStr">
        <is>
          <t>Free</t>
        </is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2</v>
      </c>
      <c r="N1044" s="0" t="n">
        <v>0</v>
      </c>
      <c r="P1044" s="0" t="n">
        <v>61.9</v>
      </c>
    </row>
    <row r="1045">
      <c r="A1045" s="0" t="inlineStr">
        <is>
          <t>USR-101044</t>
        </is>
      </c>
      <c r="B1045" s="23" t="n">
        <v>45785</v>
      </c>
      <c r="C1045" s="0" t="inlineStr">
        <is>
          <t>Treatment</t>
        </is>
      </c>
      <c r="D1045" s="0" t="inlineStr">
        <is>
          <t>East</t>
        </is>
      </c>
      <c r="E1045" s="0" t="inlineStr">
        <is>
          <t>Mobile</t>
        </is>
      </c>
      <c r="F1045" s="0" t="inlineStr">
        <is>
          <t>Paid Search</t>
        </is>
      </c>
      <c r="G1045" s="0" t="inlineStr">
        <is>
          <t>Premium</t>
        </is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P1045" s="0" t="n">
        <v>44.9</v>
      </c>
    </row>
    <row r="1046">
      <c r="A1046" s="0" t="inlineStr">
        <is>
          <t>USR-101045</t>
        </is>
      </c>
      <c r="B1046" s="23" t="n">
        <v>45714</v>
      </c>
      <c r="C1046" s="0" t="inlineStr">
        <is>
          <t>Treatment</t>
        </is>
      </c>
      <c r="D1046" s="0" t="inlineStr">
        <is>
          <t>East</t>
        </is>
      </c>
      <c r="E1046" s="0" t="inlineStr">
        <is>
          <t>Desktop</t>
        </is>
      </c>
      <c r="F1046" s="0" t="inlineStr">
        <is>
          <t>Unknown</t>
        </is>
      </c>
      <c r="G1046" s="0" t="inlineStr">
        <is>
          <t>Basic</t>
        </is>
      </c>
      <c r="H1046" s="0" t="n">
        <v>1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P1046" s="0" t="n">
        <v>68</v>
      </c>
    </row>
    <row r="1047">
      <c r="A1047" s="0" t="inlineStr">
        <is>
          <t>USR-101046</t>
        </is>
      </c>
      <c r="B1047" s="23" t="n">
        <v>45746</v>
      </c>
      <c r="C1047" s="0" t="inlineStr">
        <is>
          <t>Treatment</t>
        </is>
      </c>
      <c r="D1047" s="0" t="inlineStr">
        <is>
          <t>North</t>
        </is>
      </c>
      <c r="E1047" s="0" t="inlineStr">
        <is>
          <t>Mobile</t>
        </is>
      </c>
      <c r="F1047" s="0" t="inlineStr">
        <is>
          <t>Paid Search</t>
        </is>
      </c>
      <c r="G1047" s="0" t="inlineStr">
        <is>
          <t>Free</t>
        </is>
      </c>
      <c r="H1047" s="0" t="n">
        <v>1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P1047" s="0" t="n">
        <v>61</v>
      </c>
    </row>
    <row r="1048">
      <c r="A1048" s="0" t="inlineStr">
        <is>
          <t>USR-101047</t>
        </is>
      </c>
      <c r="B1048" s="23" t="n">
        <v>45760</v>
      </c>
      <c r="C1048" s="0" t="inlineStr">
        <is>
          <t>Treatment</t>
        </is>
      </c>
      <c r="D1048" s="0" t="inlineStr">
        <is>
          <t>West</t>
        </is>
      </c>
      <c r="E1048" s="0" t="inlineStr">
        <is>
          <t>Mobile</t>
        </is>
      </c>
      <c r="F1048" s="0" t="inlineStr">
        <is>
          <t>Organic</t>
        </is>
      </c>
      <c r="G1048" s="0" t="inlineStr">
        <is>
          <t>Basic</t>
        </is>
      </c>
      <c r="H1048" s="0" t="n">
        <v>1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P1048" s="0" t="n">
        <v>55</v>
      </c>
    </row>
    <row r="1049">
      <c r="A1049" s="0" t="inlineStr">
        <is>
          <t>USR-101048</t>
        </is>
      </c>
      <c r="B1049" s="23" t="n">
        <v>45708</v>
      </c>
      <c r="C1049" s="0" t="inlineStr">
        <is>
          <t>Treatment</t>
        </is>
      </c>
      <c r="D1049" s="0" t="inlineStr">
        <is>
          <t>East</t>
        </is>
      </c>
      <c r="E1049" s="0" t="inlineStr">
        <is>
          <t>Unknown</t>
        </is>
      </c>
      <c r="F1049" s="0" t="inlineStr">
        <is>
          <t>Paid Search</t>
        </is>
      </c>
      <c r="G1049" s="0" t="inlineStr">
        <is>
          <t>Basic</t>
        </is>
      </c>
      <c r="H1049" s="0" t="n">
        <v>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P1049" s="0" t="n">
        <v>63.1</v>
      </c>
    </row>
    <row r="1050">
      <c r="A1050" s="0" t="inlineStr">
        <is>
          <t>USR-101049</t>
        </is>
      </c>
      <c r="B1050" s="23" t="n">
        <v>45766</v>
      </c>
      <c r="C1050" s="0" t="inlineStr">
        <is>
          <t>Treatment</t>
        </is>
      </c>
      <c r="D1050" s="0" t="inlineStr">
        <is>
          <t>West</t>
        </is>
      </c>
      <c r="E1050" s="0" t="inlineStr">
        <is>
          <t>Desktop</t>
        </is>
      </c>
      <c r="F1050" s="0" t="inlineStr">
        <is>
          <t>Social</t>
        </is>
      </c>
      <c r="G1050" s="0" t="inlineStr">
        <is>
          <t>Free</t>
        </is>
      </c>
      <c r="H1050" s="0" t="n">
        <v>1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P1050" s="0" t="n">
        <v>75.8</v>
      </c>
    </row>
    <row r="1051">
      <c r="A1051" s="0" t="inlineStr">
        <is>
          <t>USR-101050</t>
        </is>
      </c>
      <c r="B1051" s="23" t="n">
        <v>45738</v>
      </c>
      <c r="C1051" s="0" t="inlineStr">
        <is>
          <t>Treatment</t>
        </is>
      </c>
      <c r="D1051" s="0" t="inlineStr">
        <is>
          <t>South</t>
        </is>
      </c>
      <c r="E1051" s="0" t="inlineStr">
        <is>
          <t>Mobile</t>
        </is>
      </c>
      <c r="F1051" s="0" t="inlineStr">
        <is>
          <t>Paid Search</t>
        </is>
      </c>
      <c r="G1051" s="0" t="inlineStr">
        <is>
          <t>Free</t>
        </is>
      </c>
      <c r="H1051" s="0" t="n">
        <v>1</v>
      </c>
      <c r="I1051" s="0" t="n">
        <v>1</v>
      </c>
      <c r="J1051" s="0" t="n">
        <v>0</v>
      </c>
      <c r="K1051" s="0" t="n">
        <v>0</v>
      </c>
      <c r="L1051" s="0" t="n">
        <v>0</v>
      </c>
      <c r="M1051" s="0" t="n">
        <v>1</v>
      </c>
      <c r="N1051" s="0" t="n">
        <v>0</v>
      </c>
      <c r="P1051" s="0" t="n">
        <v>43.8</v>
      </c>
    </row>
    <row r="1052">
      <c r="A1052" s="0" t="inlineStr">
        <is>
          <t>USR-101051</t>
        </is>
      </c>
      <c r="B1052" s="23" t="n">
        <v>45716</v>
      </c>
      <c r="C1052" s="0" t="inlineStr">
        <is>
          <t>Treatment</t>
        </is>
      </c>
      <c r="D1052" s="0" t="inlineStr">
        <is>
          <t>North</t>
        </is>
      </c>
      <c r="E1052" s="0" t="inlineStr">
        <is>
          <t>Mobile</t>
        </is>
      </c>
      <c r="F1052" s="0" t="inlineStr">
        <is>
          <t>Email</t>
        </is>
      </c>
      <c r="G1052" s="0" t="inlineStr">
        <is>
          <t>Basic</t>
        </is>
      </c>
      <c r="H1052" s="0" t="n">
        <v>1</v>
      </c>
      <c r="I1052" s="0" t="n">
        <v>1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P1052" s="0" t="n">
        <v>46.8</v>
      </c>
    </row>
    <row r="1053">
      <c r="A1053" s="0" t="inlineStr">
        <is>
          <t>USR-101052</t>
        </is>
      </c>
      <c r="B1053" s="23" t="n">
        <v>45801</v>
      </c>
      <c r="C1053" s="0" t="inlineStr">
        <is>
          <t>Treatment</t>
        </is>
      </c>
      <c r="D1053" s="0" t="inlineStr">
        <is>
          <t>East</t>
        </is>
      </c>
      <c r="E1053" s="0" t="inlineStr">
        <is>
          <t>Mobile</t>
        </is>
      </c>
      <c r="F1053" s="0" t="inlineStr">
        <is>
          <t>Social</t>
        </is>
      </c>
      <c r="G1053" s="0" t="inlineStr">
        <is>
          <t>Free</t>
        </is>
      </c>
      <c r="H1053" s="0" t="n">
        <v>1</v>
      </c>
      <c r="I1053" s="0" t="n">
        <v>1</v>
      </c>
      <c r="J1053" s="0" t="n">
        <v>1</v>
      </c>
      <c r="K1053" s="0" t="n">
        <v>0</v>
      </c>
      <c r="L1053" s="0" t="n">
        <v>0</v>
      </c>
      <c r="M1053" s="0" t="n">
        <v>0</v>
      </c>
      <c r="N1053" s="0" t="n">
        <v>0</v>
      </c>
      <c r="P1053" s="0" t="n">
        <v>97.40000000000001</v>
      </c>
    </row>
    <row r="1054">
      <c r="A1054" s="0" t="inlineStr">
        <is>
          <t>USR-101053</t>
        </is>
      </c>
      <c r="B1054" s="23" t="n">
        <v>45691</v>
      </c>
      <c r="C1054" s="0" t="inlineStr">
        <is>
          <t>Treatment</t>
        </is>
      </c>
      <c r="D1054" s="0" t="inlineStr">
        <is>
          <t>North</t>
        </is>
      </c>
      <c r="E1054" s="0" t="inlineStr">
        <is>
          <t>Desktop</t>
        </is>
      </c>
      <c r="F1054" s="0" t="inlineStr">
        <is>
          <t>Email</t>
        </is>
      </c>
      <c r="G1054" s="0" t="inlineStr">
        <is>
          <t>Free</t>
        </is>
      </c>
      <c r="H1054" s="0" t="n">
        <v>1</v>
      </c>
      <c r="I1054" s="0" t="n">
        <v>1</v>
      </c>
      <c r="J1054" s="0" t="n">
        <v>1</v>
      </c>
      <c r="K1054" s="0" t="n">
        <v>1</v>
      </c>
      <c r="L1054" s="0" t="n">
        <v>268.96</v>
      </c>
      <c r="M1054" s="0" t="n">
        <v>0</v>
      </c>
      <c r="N1054" s="0" t="n">
        <v>0</v>
      </c>
      <c r="O1054" s="0" t="n">
        <v>14</v>
      </c>
      <c r="P1054" s="0" t="n">
        <v>81</v>
      </c>
    </row>
    <row r="1055">
      <c r="A1055" s="0" t="inlineStr">
        <is>
          <t>USR-101054</t>
        </is>
      </c>
      <c r="B1055" s="23" t="n">
        <v>45684</v>
      </c>
      <c r="C1055" s="0" t="inlineStr">
        <is>
          <t>Treatment</t>
        </is>
      </c>
      <c r="D1055" s="0" t="inlineStr">
        <is>
          <t>South</t>
        </is>
      </c>
      <c r="E1055" s="0" t="inlineStr">
        <is>
          <t>Mobile</t>
        </is>
      </c>
      <c r="F1055" s="0" t="inlineStr">
        <is>
          <t>Organic</t>
        </is>
      </c>
      <c r="G1055" s="0" t="inlineStr">
        <is>
          <t>Free</t>
        </is>
      </c>
      <c r="H1055" s="0" t="n">
        <v>1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1</v>
      </c>
      <c r="N1055" s="0" t="n">
        <v>0</v>
      </c>
      <c r="P1055" s="0" t="n">
        <v>58.9</v>
      </c>
    </row>
    <row r="1056">
      <c r="A1056" s="0" t="inlineStr">
        <is>
          <t>USR-101055</t>
        </is>
      </c>
      <c r="B1056" s="23" t="n">
        <v>45764</v>
      </c>
      <c r="C1056" s="0" t="inlineStr">
        <is>
          <t>Treatment</t>
        </is>
      </c>
      <c r="D1056" s="0" t="inlineStr">
        <is>
          <t>East</t>
        </is>
      </c>
      <c r="E1056" s="0" t="inlineStr">
        <is>
          <t>Mobile</t>
        </is>
      </c>
      <c r="F1056" s="0" t="inlineStr">
        <is>
          <t>Organic</t>
        </is>
      </c>
      <c r="G1056" s="0" t="inlineStr">
        <is>
          <t>Free</t>
        </is>
      </c>
      <c r="H1056" s="0" t="n">
        <v>1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P1056" s="0" t="n">
        <v>51.9</v>
      </c>
    </row>
    <row r="1057">
      <c r="A1057" s="0" t="inlineStr">
        <is>
          <t>USR-101056</t>
        </is>
      </c>
      <c r="B1057" s="23" t="n">
        <v>45694</v>
      </c>
      <c r="C1057" s="0" t="inlineStr">
        <is>
          <t>Treatment</t>
        </is>
      </c>
      <c r="D1057" s="0" t="inlineStr">
        <is>
          <t>West</t>
        </is>
      </c>
      <c r="E1057" s="0" t="inlineStr">
        <is>
          <t>Mobile</t>
        </is>
      </c>
      <c r="F1057" s="0" t="inlineStr">
        <is>
          <t>Social</t>
        </is>
      </c>
      <c r="G1057" s="0" t="inlineStr">
        <is>
          <t>Free</t>
        </is>
      </c>
      <c r="H1057" s="0" t="n">
        <v>1</v>
      </c>
      <c r="I1057" s="0" t="n">
        <v>1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P1057" s="0" t="n">
        <v>61.7</v>
      </c>
    </row>
    <row r="1058">
      <c r="A1058" s="0" t="inlineStr">
        <is>
          <t>USR-101057</t>
        </is>
      </c>
      <c r="B1058" s="23" t="n">
        <v>45767</v>
      </c>
      <c r="C1058" s="0" t="inlineStr">
        <is>
          <t>Treatment</t>
        </is>
      </c>
      <c r="D1058" s="0" t="inlineStr">
        <is>
          <t>South</t>
        </is>
      </c>
      <c r="E1058" s="0" t="inlineStr">
        <is>
          <t>Mobile</t>
        </is>
      </c>
      <c r="F1058" s="0" t="inlineStr">
        <is>
          <t>Paid Search</t>
        </is>
      </c>
      <c r="G1058" s="0" t="inlineStr">
        <is>
          <t>Free</t>
        </is>
      </c>
      <c r="H1058" s="0" t="n">
        <v>1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P1058" s="0" t="n">
        <v>44.7</v>
      </c>
    </row>
    <row r="1059">
      <c r="A1059" s="0" t="inlineStr">
        <is>
          <t>USR-101058</t>
        </is>
      </c>
      <c r="B1059" s="23" t="n">
        <v>45783</v>
      </c>
      <c r="C1059" s="0" t="inlineStr">
        <is>
          <t>Treatment</t>
        </is>
      </c>
      <c r="D1059" s="0" t="inlineStr">
        <is>
          <t>North</t>
        </is>
      </c>
      <c r="E1059" s="0" t="inlineStr">
        <is>
          <t>Mobile</t>
        </is>
      </c>
      <c r="F1059" s="0" t="inlineStr">
        <is>
          <t>Paid Search</t>
        </is>
      </c>
      <c r="G1059" s="0" t="inlineStr">
        <is>
          <t>Basic</t>
        </is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P1059" s="0" t="n">
        <v>63.2</v>
      </c>
    </row>
    <row r="1060">
      <c r="A1060" s="0" t="inlineStr">
        <is>
          <t>USR-101059</t>
        </is>
      </c>
      <c r="B1060" s="23" t="n">
        <v>45793</v>
      </c>
      <c r="C1060" s="0" t="inlineStr">
        <is>
          <t>Treatment</t>
        </is>
      </c>
      <c r="D1060" s="0" t="inlineStr">
        <is>
          <t>South</t>
        </is>
      </c>
      <c r="E1060" s="0" t="inlineStr">
        <is>
          <t>Mobile</t>
        </is>
      </c>
      <c r="F1060" s="0" t="inlineStr">
        <is>
          <t>Organic</t>
        </is>
      </c>
      <c r="G1060" s="0" t="inlineStr">
        <is>
          <t>Free</t>
        </is>
      </c>
      <c r="H1060" s="0" t="n">
        <v>1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P1060" s="0" t="n">
        <v>70.3</v>
      </c>
    </row>
    <row r="1061">
      <c r="A1061" s="0" t="inlineStr">
        <is>
          <t>USR-101060</t>
        </is>
      </c>
      <c r="B1061" s="23" t="n">
        <v>45718</v>
      </c>
      <c r="C1061" s="0" t="inlineStr">
        <is>
          <t>Treatment</t>
        </is>
      </c>
      <c r="D1061" s="0" t="inlineStr">
        <is>
          <t>South</t>
        </is>
      </c>
      <c r="E1061" s="0" t="inlineStr">
        <is>
          <t>Mobile</t>
        </is>
      </c>
      <c r="F1061" s="0" t="inlineStr">
        <is>
          <t>Paid Search</t>
        </is>
      </c>
      <c r="G1061" s="0" t="inlineStr">
        <is>
          <t>Premium</t>
        </is>
      </c>
      <c r="H1061" s="0" t="n">
        <v>1</v>
      </c>
      <c r="I1061" s="0" t="n">
        <v>1</v>
      </c>
      <c r="J1061" s="0" t="n">
        <v>0</v>
      </c>
      <c r="K1061" s="0" t="n">
        <v>0</v>
      </c>
      <c r="L1061" s="0" t="n">
        <v>0</v>
      </c>
      <c r="M1061" s="0" t="n">
        <v>1</v>
      </c>
      <c r="N1061" s="0" t="n">
        <v>0</v>
      </c>
      <c r="P1061" s="0" t="n">
        <v>83.09999999999999</v>
      </c>
    </row>
    <row r="1062">
      <c r="A1062" s="0" t="inlineStr">
        <is>
          <t>USR-101061</t>
        </is>
      </c>
      <c r="B1062" s="23" t="n">
        <v>45756</v>
      </c>
      <c r="C1062" s="0" t="inlineStr">
        <is>
          <t>Treatment</t>
        </is>
      </c>
      <c r="D1062" s="0" t="inlineStr">
        <is>
          <t>West</t>
        </is>
      </c>
      <c r="E1062" s="0" t="inlineStr">
        <is>
          <t>Mobile</t>
        </is>
      </c>
      <c r="F1062" s="0" t="inlineStr">
        <is>
          <t>Social</t>
        </is>
      </c>
      <c r="G1062" s="0" t="inlineStr">
        <is>
          <t>Free</t>
        </is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P1062" s="0" t="n">
        <v>50.3</v>
      </c>
    </row>
    <row r="1063">
      <c r="A1063" s="0" t="inlineStr">
        <is>
          <t>USR-101062</t>
        </is>
      </c>
      <c r="B1063" s="23" t="n">
        <v>45683</v>
      </c>
      <c r="C1063" s="0" t="inlineStr">
        <is>
          <t>Treatment</t>
        </is>
      </c>
      <c r="D1063" s="0" t="inlineStr">
        <is>
          <t>East</t>
        </is>
      </c>
      <c r="E1063" s="0" t="inlineStr">
        <is>
          <t>Mobile</t>
        </is>
      </c>
      <c r="F1063" s="0" t="inlineStr">
        <is>
          <t>Paid Search</t>
        </is>
      </c>
      <c r="G1063" s="0" t="inlineStr">
        <is>
          <t>Free</t>
        </is>
      </c>
      <c r="H1063" s="0" t="n">
        <v>1</v>
      </c>
      <c r="I1063" s="0" t="n">
        <v>1</v>
      </c>
      <c r="J1063" s="0" t="n">
        <v>1</v>
      </c>
      <c r="K1063" s="0" t="n">
        <v>1</v>
      </c>
      <c r="L1063" s="0" t="n">
        <v>437.09</v>
      </c>
      <c r="M1063" s="0" t="n">
        <v>2</v>
      </c>
      <c r="N1063" s="0" t="n">
        <v>1</v>
      </c>
      <c r="O1063" s="0" t="n">
        <v>1</v>
      </c>
      <c r="P1063" s="0" t="n">
        <v>58.2</v>
      </c>
    </row>
    <row r="1064">
      <c r="A1064" s="0" t="inlineStr">
        <is>
          <t>USR-101063</t>
        </is>
      </c>
      <c r="B1064" s="23" t="n">
        <v>45713</v>
      </c>
      <c r="C1064" s="0" t="inlineStr">
        <is>
          <t>Treatment</t>
        </is>
      </c>
      <c r="D1064" s="0" t="inlineStr">
        <is>
          <t>South</t>
        </is>
      </c>
      <c r="E1064" s="0" t="inlineStr">
        <is>
          <t>Mobile</t>
        </is>
      </c>
      <c r="F1064" s="0" t="inlineStr">
        <is>
          <t>Paid Search</t>
        </is>
      </c>
      <c r="G1064" s="0" t="inlineStr">
        <is>
          <t>Basic</t>
        </is>
      </c>
      <c r="H1064" s="0" t="n">
        <v>1</v>
      </c>
      <c r="I1064" s="0" t="n">
        <v>1</v>
      </c>
      <c r="J1064" s="0" t="n">
        <v>1</v>
      </c>
      <c r="K1064" s="0" t="n">
        <v>0</v>
      </c>
      <c r="L1064" s="0" t="n">
        <v>0</v>
      </c>
      <c r="M1064" s="0" t="n">
        <v>0</v>
      </c>
      <c r="N1064" s="0" t="n">
        <v>0</v>
      </c>
      <c r="P1064" s="0" t="n">
        <v>53.2</v>
      </c>
    </row>
    <row r="1065">
      <c r="A1065" s="0" t="inlineStr">
        <is>
          <t>USR-101064</t>
        </is>
      </c>
      <c r="B1065" s="23" t="n">
        <v>45664</v>
      </c>
      <c r="C1065" s="0" t="inlineStr">
        <is>
          <t>Treatment</t>
        </is>
      </c>
      <c r="D1065" s="0" t="inlineStr">
        <is>
          <t>East</t>
        </is>
      </c>
      <c r="E1065" s="0" t="inlineStr">
        <is>
          <t>Mobile</t>
        </is>
      </c>
      <c r="F1065" s="0" t="inlineStr">
        <is>
          <t>Organic</t>
        </is>
      </c>
      <c r="G1065" s="0" t="inlineStr">
        <is>
          <t>Premium</t>
        </is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P1065" s="0" t="n">
        <v>36.4</v>
      </c>
    </row>
    <row r="1066">
      <c r="A1066" s="0" t="inlineStr">
        <is>
          <t>USR-101065</t>
        </is>
      </c>
      <c r="B1066" s="23" t="n">
        <v>45724</v>
      </c>
      <c r="C1066" s="0" t="inlineStr">
        <is>
          <t>Treatment</t>
        </is>
      </c>
      <c r="D1066" s="0" t="inlineStr">
        <is>
          <t>South</t>
        </is>
      </c>
      <c r="E1066" s="0" t="inlineStr">
        <is>
          <t>Mobile</t>
        </is>
      </c>
      <c r="F1066" s="0" t="inlineStr">
        <is>
          <t>Social</t>
        </is>
      </c>
      <c r="G1066" s="0" t="inlineStr">
        <is>
          <t>Basic</t>
        </is>
      </c>
      <c r="H1066" s="0" t="n">
        <v>1</v>
      </c>
      <c r="I1066" s="0" t="n">
        <v>1</v>
      </c>
      <c r="J1066" s="0" t="n">
        <v>1</v>
      </c>
      <c r="K1066" s="0" t="n">
        <v>0</v>
      </c>
      <c r="L1066" s="0" t="n">
        <v>0</v>
      </c>
      <c r="M1066" s="0" t="n">
        <v>0</v>
      </c>
      <c r="N1066" s="0" t="n">
        <v>0</v>
      </c>
      <c r="P1066" s="0" t="n">
        <v>72.7</v>
      </c>
    </row>
    <row r="1067">
      <c r="A1067" s="0" t="inlineStr">
        <is>
          <t>USR-101066</t>
        </is>
      </c>
      <c r="B1067" s="23" t="n">
        <v>45799</v>
      </c>
      <c r="C1067" s="0" t="inlineStr">
        <is>
          <t>Treatment</t>
        </is>
      </c>
      <c r="D1067" s="0" t="inlineStr">
        <is>
          <t>East</t>
        </is>
      </c>
      <c r="E1067" s="0" t="inlineStr">
        <is>
          <t>Mobile</t>
        </is>
      </c>
      <c r="F1067" s="0" t="inlineStr">
        <is>
          <t>Referral</t>
        </is>
      </c>
      <c r="G1067" s="0" t="inlineStr">
        <is>
          <t>Free</t>
        </is>
      </c>
      <c r="H1067" s="0" t="n">
        <v>1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0</v>
      </c>
      <c r="P1067" s="0" t="n">
        <v>86.7</v>
      </c>
    </row>
    <row r="1068">
      <c r="A1068" s="0" t="inlineStr">
        <is>
          <t>USR-101067</t>
        </is>
      </c>
      <c r="B1068" s="23" t="n">
        <v>45765</v>
      </c>
      <c r="C1068" s="0" t="inlineStr">
        <is>
          <t>Treatment</t>
        </is>
      </c>
      <c r="D1068" s="0" t="inlineStr">
        <is>
          <t>East</t>
        </is>
      </c>
      <c r="E1068" s="0" t="inlineStr">
        <is>
          <t>Mobile</t>
        </is>
      </c>
      <c r="F1068" s="0" t="inlineStr">
        <is>
          <t>Paid Search</t>
        </is>
      </c>
      <c r="G1068" s="0" t="inlineStr">
        <is>
          <t>Premium</t>
        </is>
      </c>
      <c r="H1068" s="0" t="n">
        <v>1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P1068" s="0" t="n">
        <v>48.2</v>
      </c>
    </row>
    <row r="1069">
      <c r="A1069" s="0" t="inlineStr">
        <is>
          <t>USR-101068</t>
        </is>
      </c>
      <c r="B1069" s="23" t="n">
        <v>45712</v>
      </c>
      <c r="C1069" s="0" t="inlineStr">
        <is>
          <t>Treatment</t>
        </is>
      </c>
      <c r="D1069" s="0" t="inlineStr">
        <is>
          <t>West</t>
        </is>
      </c>
      <c r="E1069" s="0" t="inlineStr">
        <is>
          <t>Mobile</t>
        </is>
      </c>
      <c r="F1069" s="0" t="inlineStr">
        <is>
          <t>Referral</t>
        </is>
      </c>
      <c r="G1069" s="0" t="inlineStr">
        <is>
          <t>Basic</t>
        </is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1</v>
      </c>
      <c r="N1069" s="0" t="n">
        <v>0</v>
      </c>
      <c r="P1069" s="0" t="n">
        <v>57.6</v>
      </c>
    </row>
    <row r="1070">
      <c r="A1070" s="0" t="inlineStr">
        <is>
          <t>USR-101069</t>
        </is>
      </c>
      <c r="B1070" s="23" t="n">
        <v>45699</v>
      </c>
      <c r="C1070" s="0" t="inlineStr">
        <is>
          <t>Treatment</t>
        </is>
      </c>
      <c r="D1070" s="0" t="inlineStr">
        <is>
          <t>North</t>
        </is>
      </c>
      <c r="E1070" s="0" t="inlineStr">
        <is>
          <t>Mobile</t>
        </is>
      </c>
      <c r="F1070" s="0" t="inlineStr">
        <is>
          <t>Organic</t>
        </is>
      </c>
      <c r="G1070" s="0" t="inlineStr">
        <is>
          <t>Free</t>
        </is>
      </c>
      <c r="H1070" s="0" t="n">
        <v>1</v>
      </c>
      <c r="I1070" s="0" t="n">
        <v>1</v>
      </c>
      <c r="J1070" s="0" t="n">
        <v>1</v>
      </c>
      <c r="K1070" s="0" t="n">
        <v>0</v>
      </c>
      <c r="L1070" s="0" t="n">
        <v>0</v>
      </c>
      <c r="M1070" s="0" t="n">
        <v>0</v>
      </c>
      <c r="N1070" s="0" t="n">
        <v>0</v>
      </c>
      <c r="P1070" s="0" t="n">
        <v>75.7</v>
      </c>
    </row>
    <row r="1071">
      <c r="A1071" s="0" t="inlineStr">
        <is>
          <t>USR-101070</t>
        </is>
      </c>
      <c r="B1071" s="23" t="n">
        <v>45727</v>
      </c>
      <c r="C1071" s="0" t="inlineStr">
        <is>
          <t>Treatment</t>
        </is>
      </c>
      <c r="D1071" s="0" t="inlineStr">
        <is>
          <t>West</t>
        </is>
      </c>
      <c r="E1071" s="0" t="inlineStr">
        <is>
          <t>Desktop</t>
        </is>
      </c>
      <c r="F1071" s="0" t="inlineStr">
        <is>
          <t>Paid Search</t>
        </is>
      </c>
      <c r="G1071" s="0" t="inlineStr">
        <is>
          <t>Free</t>
        </is>
      </c>
      <c r="H1071" s="0" t="n">
        <v>1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2</v>
      </c>
      <c r="N1071" s="0" t="n">
        <v>0</v>
      </c>
      <c r="P1071" s="0" t="n">
        <v>48.6</v>
      </c>
    </row>
    <row r="1072">
      <c r="A1072" s="0" t="inlineStr">
        <is>
          <t>USR-101071</t>
        </is>
      </c>
      <c r="B1072" s="23" t="n">
        <v>45758</v>
      </c>
      <c r="C1072" s="0" t="inlineStr">
        <is>
          <t>Treatment</t>
        </is>
      </c>
      <c r="D1072" s="0" t="inlineStr">
        <is>
          <t>East</t>
        </is>
      </c>
      <c r="E1072" s="0" t="inlineStr">
        <is>
          <t>Tablet</t>
        </is>
      </c>
      <c r="F1072" s="0" t="inlineStr">
        <is>
          <t>Referral</t>
        </is>
      </c>
      <c r="G1072" s="0" t="inlineStr">
        <is>
          <t>Free</t>
        </is>
      </c>
      <c r="H1072" s="0" t="n">
        <v>1</v>
      </c>
      <c r="I1072" s="0" t="n">
        <v>1</v>
      </c>
      <c r="J1072" s="0" t="n">
        <v>1</v>
      </c>
      <c r="K1072" s="0" t="n">
        <v>0</v>
      </c>
      <c r="L1072" s="0" t="n">
        <v>0</v>
      </c>
      <c r="M1072" s="0" t="n">
        <v>0</v>
      </c>
      <c r="N1072" s="0" t="n">
        <v>0</v>
      </c>
      <c r="P1072" s="0" t="n">
        <v>72</v>
      </c>
    </row>
    <row r="1073">
      <c r="A1073" s="0" t="inlineStr">
        <is>
          <t>USR-101072</t>
        </is>
      </c>
      <c r="B1073" s="23" t="n">
        <v>45727</v>
      </c>
      <c r="C1073" s="0" t="inlineStr">
        <is>
          <t>Treatment</t>
        </is>
      </c>
      <c r="D1073" s="0" t="inlineStr">
        <is>
          <t>North</t>
        </is>
      </c>
      <c r="E1073" s="0" t="inlineStr">
        <is>
          <t>Mobile</t>
        </is>
      </c>
      <c r="F1073" s="0" t="inlineStr">
        <is>
          <t>Organic</t>
        </is>
      </c>
      <c r="G1073" s="0" t="inlineStr">
        <is>
          <t>Free</t>
        </is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P1073" s="0" t="n">
        <v>72.2</v>
      </c>
    </row>
    <row r="1074">
      <c r="A1074" s="0" t="inlineStr">
        <is>
          <t>USR-101073</t>
        </is>
      </c>
      <c r="B1074" s="23" t="n">
        <v>45799</v>
      </c>
      <c r="C1074" s="0" t="inlineStr">
        <is>
          <t>Treatment</t>
        </is>
      </c>
      <c r="D1074" s="0" t="inlineStr">
        <is>
          <t>East</t>
        </is>
      </c>
      <c r="E1074" s="0" t="inlineStr">
        <is>
          <t>Mobile</t>
        </is>
      </c>
      <c r="F1074" s="0" t="inlineStr">
        <is>
          <t>Referral</t>
        </is>
      </c>
      <c r="G1074" s="0" t="inlineStr">
        <is>
          <t>Free</t>
        </is>
      </c>
      <c r="H1074" s="0" t="n">
        <v>1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1</v>
      </c>
      <c r="N1074" s="0" t="n">
        <v>0</v>
      </c>
    </row>
    <row r="1075">
      <c r="A1075" s="0" t="inlineStr">
        <is>
          <t>USR-101074</t>
        </is>
      </c>
      <c r="B1075" s="23" t="n">
        <v>45710</v>
      </c>
      <c r="C1075" s="0" t="inlineStr">
        <is>
          <t>Treatment</t>
        </is>
      </c>
      <c r="D1075" s="0" t="inlineStr">
        <is>
          <t>South</t>
        </is>
      </c>
      <c r="E1075" s="0" t="inlineStr">
        <is>
          <t>Desktop</t>
        </is>
      </c>
      <c r="F1075" s="0" t="inlineStr">
        <is>
          <t>Organic</t>
        </is>
      </c>
      <c r="G1075" s="0" t="inlineStr">
        <is>
          <t>Free</t>
        </is>
      </c>
      <c r="H1075" s="0" t="n">
        <v>1</v>
      </c>
      <c r="I1075" s="0" t="n">
        <v>1</v>
      </c>
      <c r="J1075" s="0" t="n">
        <v>1</v>
      </c>
      <c r="K1075" s="0" t="n">
        <v>1</v>
      </c>
      <c r="L1075" s="0" t="n">
        <v>331.53</v>
      </c>
      <c r="M1075" s="0" t="n">
        <v>2</v>
      </c>
      <c r="N1075" s="0" t="n">
        <v>0</v>
      </c>
      <c r="O1075" s="0" t="n">
        <v>4</v>
      </c>
      <c r="P1075" s="0" t="n">
        <v>56.8</v>
      </c>
    </row>
    <row r="1076">
      <c r="A1076" s="0" t="inlineStr">
        <is>
          <t>USR-101075</t>
        </is>
      </c>
      <c r="B1076" s="23" t="n">
        <v>45670</v>
      </c>
      <c r="C1076" s="0" t="inlineStr">
        <is>
          <t>Treatment</t>
        </is>
      </c>
      <c r="D1076" s="0" t="inlineStr">
        <is>
          <t>East</t>
        </is>
      </c>
      <c r="E1076" s="0" t="inlineStr">
        <is>
          <t>Mobile</t>
        </is>
      </c>
      <c r="F1076" s="0" t="inlineStr">
        <is>
          <t>Paid Search</t>
        </is>
      </c>
      <c r="G1076" s="0" t="inlineStr">
        <is>
          <t>Basic</t>
        </is>
      </c>
      <c r="H1076" s="0" t="n">
        <v>1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P1076" s="0" t="n">
        <v>62.5</v>
      </c>
    </row>
    <row r="1077">
      <c r="A1077" s="0" t="inlineStr">
        <is>
          <t>USR-101076</t>
        </is>
      </c>
      <c r="B1077" s="23" t="n">
        <v>45796</v>
      </c>
      <c r="C1077" s="0" t="inlineStr">
        <is>
          <t>Treatment</t>
        </is>
      </c>
      <c r="D1077" s="0" t="inlineStr">
        <is>
          <t>South</t>
        </is>
      </c>
      <c r="E1077" s="0" t="inlineStr">
        <is>
          <t>Mobile</t>
        </is>
      </c>
      <c r="F1077" s="0" t="inlineStr">
        <is>
          <t>Organic</t>
        </is>
      </c>
      <c r="G1077" s="0" t="inlineStr">
        <is>
          <t>Free</t>
        </is>
      </c>
      <c r="H1077" s="0" t="n">
        <v>1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P1077" s="0" t="n">
        <v>63.4</v>
      </c>
    </row>
    <row r="1078">
      <c r="A1078" s="0" t="inlineStr">
        <is>
          <t>USR-101077</t>
        </is>
      </c>
      <c r="B1078" s="23" t="n">
        <v>45724</v>
      </c>
      <c r="C1078" s="0" t="inlineStr">
        <is>
          <t>Treatment</t>
        </is>
      </c>
      <c r="D1078" s="0" t="inlineStr">
        <is>
          <t>North</t>
        </is>
      </c>
      <c r="E1078" s="0" t="inlineStr">
        <is>
          <t>Tablet</t>
        </is>
      </c>
      <c r="F1078" s="0" t="inlineStr">
        <is>
          <t>Organic</t>
        </is>
      </c>
      <c r="G1078" s="0" t="inlineStr">
        <is>
          <t>Basic</t>
        </is>
      </c>
      <c r="H1078" s="0" t="n">
        <v>1</v>
      </c>
      <c r="I1078" s="0" t="n">
        <v>1</v>
      </c>
      <c r="J1078" s="0" t="n">
        <v>1</v>
      </c>
      <c r="K1078" s="0" t="n">
        <v>1</v>
      </c>
      <c r="L1078" s="0" t="n">
        <v>774.78</v>
      </c>
      <c r="M1078" s="0" t="n">
        <v>0</v>
      </c>
      <c r="N1078" s="0" t="n">
        <v>0</v>
      </c>
      <c r="O1078" s="0" t="n">
        <v>3</v>
      </c>
      <c r="P1078" s="0" t="n">
        <v>46.8</v>
      </c>
    </row>
    <row r="1079">
      <c r="A1079" s="0" t="inlineStr">
        <is>
          <t>USR-101078</t>
        </is>
      </c>
      <c r="B1079" s="23" t="n">
        <v>45767</v>
      </c>
      <c r="C1079" s="0" t="inlineStr">
        <is>
          <t>Treatment</t>
        </is>
      </c>
      <c r="D1079" s="0" t="inlineStr">
        <is>
          <t>South</t>
        </is>
      </c>
      <c r="E1079" s="0" t="inlineStr">
        <is>
          <t>Mobile</t>
        </is>
      </c>
      <c r="F1079" s="0" t="inlineStr">
        <is>
          <t>Organic</t>
        </is>
      </c>
      <c r="G1079" s="0" t="inlineStr">
        <is>
          <t>Free</t>
        </is>
      </c>
      <c r="H1079" s="0" t="n">
        <v>1</v>
      </c>
      <c r="I1079" s="0" t="n">
        <v>1</v>
      </c>
      <c r="J1079" s="0" t="n">
        <v>1</v>
      </c>
      <c r="K1079" s="0" t="n">
        <v>1</v>
      </c>
      <c r="L1079" s="0" t="n">
        <v>422.02</v>
      </c>
      <c r="M1079" s="0" t="n">
        <v>0</v>
      </c>
      <c r="N1079" s="0" t="n">
        <v>0</v>
      </c>
      <c r="O1079" s="0" t="n">
        <v>8</v>
      </c>
      <c r="P1079" s="0" t="n">
        <v>86.5</v>
      </c>
    </row>
    <row r="1080">
      <c r="A1080" s="0" t="inlineStr">
        <is>
          <t>USR-101079</t>
        </is>
      </c>
      <c r="B1080" s="23" t="n">
        <v>45785</v>
      </c>
      <c r="C1080" s="0" t="inlineStr">
        <is>
          <t>Treatment</t>
        </is>
      </c>
      <c r="D1080" s="0" t="inlineStr">
        <is>
          <t>West</t>
        </is>
      </c>
      <c r="E1080" s="0" t="inlineStr">
        <is>
          <t>Mobile</t>
        </is>
      </c>
      <c r="F1080" s="0" t="inlineStr">
        <is>
          <t>Email</t>
        </is>
      </c>
      <c r="G1080" s="0" t="inlineStr">
        <is>
          <t>Basic</t>
        </is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1</v>
      </c>
      <c r="N1080" s="0" t="n">
        <v>0</v>
      </c>
      <c r="P1080" s="0" t="n">
        <v>75.09999999999999</v>
      </c>
    </row>
    <row r="1081">
      <c r="A1081" s="0" t="inlineStr">
        <is>
          <t>USR-101080</t>
        </is>
      </c>
      <c r="B1081" s="23" t="n">
        <v>45787</v>
      </c>
      <c r="C1081" s="0" t="inlineStr">
        <is>
          <t>Treatment</t>
        </is>
      </c>
      <c r="D1081" s="0" t="inlineStr">
        <is>
          <t>South</t>
        </is>
      </c>
      <c r="E1081" s="0" t="inlineStr">
        <is>
          <t>Mobile</t>
        </is>
      </c>
      <c r="F1081" s="0" t="inlineStr">
        <is>
          <t>Organic</t>
        </is>
      </c>
      <c r="G1081" s="0" t="inlineStr">
        <is>
          <t>Basic</t>
        </is>
      </c>
      <c r="H1081" s="0" t="n">
        <v>1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P1081" s="0" t="n">
        <v>64.5</v>
      </c>
    </row>
    <row r="1082">
      <c r="A1082" s="0" t="inlineStr">
        <is>
          <t>USR-101081</t>
        </is>
      </c>
      <c r="B1082" s="23" t="n">
        <v>45744</v>
      </c>
      <c r="C1082" s="0" t="inlineStr">
        <is>
          <t>Treatment</t>
        </is>
      </c>
      <c r="D1082" s="0" t="inlineStr">
        <is>
          <t>East</t>
        </is>
      </c>
      <c r="E1082" s="0" t="inlineStr">
        <is>
          <t>Mobile</t>
        </is>
      </c>
      <c r="F1082" s="0" t="inlineStr">
        <is>
          <t>Organic</t>
        </is>
      </c>
      <c r="G1082" s="0" t="inlineStr">
        <is>
          <t>Free</t>
        </is>
      </c>
      <c r="H1082" s="0" t="n">
        <v>1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P1082" s="0" t="n">
        <v>54.2</v>
      </c>
    </row>
    <row r="1083">
      <c r="A1083" s="0" t="inlineStr">
        <is>
          <t>USR-101082</t>
        </is>
      </c>
      <c r="B1083" s="23" t="n">
        <v>45777</v>
      </c>
      <c r="C1083" s="0" t="inlineStr">
        <is>
          <t>Treatment</t>
        </is>
      </c>
      <c r="D1083" s="0" t="inlineStr">
        <is>
          <t>East</t>
        </is>
      </c>
      <c r="E1083" s="0" t="inlineStr">
        <is>
          <t>Mobile</t>
        </is>
      </c>
      <c r="F1083" s="0" t="inlineStr">
        <is>
          <t>Paid Search</t>
        </is>
      </c>
      <c r="G1083" s="0" t="inlineStr">
        <is>
          <t>Premium</t>
        </is>
      </c>
      <c r="H1083" s="0" t="n">
        <v>1</v>
      </c>
      <c r="I1083" s="0" t="n">
        <v>1</v>
      </c>
      <c r="J1083" s="0" t="n">
        <v>1</v>
      </c>
      <c r="K1083" s="0" t="n">
        <v>0</v>
      </c>
      <c r="L1083" s="0" t="n">
        <v>0</v>
      </c>
      <c r="M1083" s="0" t="n">
        <v>0</v>
      </c>
      <c r="N1083" s="0" t="n">
        <v>0</v>
      </c>
      <c r="P1083" s="0" t="n">
        <v>84.09999999999999</v>
      </c>
    </row>
    <row r="1084">
      <c r="A1084" s="0" t="inlineStr">
        <is>
          <t>USR-101083</t>
        </is>
      </c>
      <c r="B1084" s="23" t="n">
        <v>45696</v>
      </c>
      <c r="C1084" s="0" t="inlineStr">
        <is>
          <t>Treatment</t>
        </is>
      </c>
      <c r="D1084" s="0" t="inlineStr">
        <is>
          <t>North</t>
        </is>
      </c>
      <c r="E1084" s="0" t="inlineStr">
        <is>
          <t>Mobile</t>
        </is>
      </c>
      <c r="F1084" s="0" t="inlineStr">
        <is>
          <t>Organic</t>
        </is>
      </c>
      <c r="G1084" s="0" t="inlineStr">
        <is>
          <t>Basic</t>
        </is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1</v>
      </c>
      <c r="N1084" s="0" t="n">
        <v>0</v>
      </c>
      <c r="P1084" s="0" t="n">
        <v>49.1</v>
      </c>
    </row>
    <row r="1085">
      <c r="A1085" s="0" t="inlineStr">
        <is>
          <t>USR-101084</t>
        </is>
      </c>
      <c r="B1085" s="23" t="n">
        <v>45723</v>
      </c>
      <c r="C1085" s="0" t="inlineStr">
        <is>
          <t>Treatment</t>
        </is>
      </c>
      <c r="D1085" s="0" t="inlineStr">
        <is>
          <t>South</t>
        </is>
      </c>
      <c r="E1085" s="0" t="inlineStr">
        <is>
          <t>Mobile</t>
        </is>
      </c>
      <c r="F1085" s="0" t="inlineStr">
        <is>
          <t>Referral</t>
        </is>
      </c>
      <c r="G1085" s="0" t="inlineStr">
        <is>
          <t>Premium</t>
        </is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P1085" s="0" t="n">
        <v>92.7</v>
      </c>
    </row>
    <row r="1086">
      <c r="A1086" s="0" t="inlineStr">
        <is>
          <t>USR-101085</t>
        </is>
      </c>
      <c r="B1086" s="23" t="n">
        <v>45798</v>
      </c>
      <c r="C1086" s="0" t="inlineStr">
        <is>
          <t>Treatment</t>
        </is>
      </c>
      <c r="D1086" s="0" t="inlineStr">
        <is>
          <t>South</t>
        </is>
      </c>
      <c r="E1086" s="0" t="inlineStr">
        <is>
          <t>Mobile</t>
        </is>
      </c>
      <c r="F1086" s="0" t="inlineStr">
        <is>
          <t>Social</t>
        </is>
      </c>
      <c r="G1086" s="0" t="inlineStr">
        <is>
          <t>Basic</t>
        </is>
      </c>
      <c r="H1086" s="0" t="n">
        <v>1</v>
      </c>
      <c r="I1086" s="0" t="n">
        <v>1</v>
      </c>
      <c r="J1086" s="0" t="n">
        <v>1</v>
      </c>
      <c r="K1086" s="0" t="n">
        <v>0</v>
      </c>
      <c r="L1086" s="0" t="n">
        <v>0</v>
      </c>
      <c r="M1086" s="0" t="n">
        <v>1</v>
      </c>
      <c r="N1086" s="0" t="n">
        <v>0</v>
      </c>
      <c r="P1086" s="0" t="n">
        <v>58.7</v>
      </c>
    </row>
    <row r="1087">
      <c r="A1087" s="0" t="inlineStr">
        <is>
          <t>USR-101086</t>
        </is>
      </c>
      <c r="B1087" s="23" t="n">
        <v>45759</v>
      </c>
      <c r="C1087" s="0" t="inlineStr">
        <is>
          <t>Treatment</t>
        </is>
      </c>
      <c r="D1087" s="0" t="inlineStr">
        <is>
          <t>South</t>
        </is>
      </c>
      <c r="E1087" s="0" t="inlineStr">
        <is>
          <t>Mobile</t>
        </is>
      </c>
      <c r="F1087" s="0" t="inlineStr">
        <is>
          <t>Social</t>
        </is>
      </c>
      <c r="G1087" s="0" t="inlineStr">
        <is>
          <t>Free</t>
        </is>
      </c>
      <c r="H1087" s="0" t="n">
        <v>1</v>
      </c>
      <c r="I1087" s="0" t="n">
        <v>1</v>
      </c>
      <c r="J1087" s="0" t="n">
        <v>1</v>
      </c>
      <c r="K1087" s="0" t="n">
        <v>0</v>
      </c>
      <c r="L1087" s="0" t="n">
        <v>0</v>
      </c>
      <c r="M1087" s="0" t="n">
        <v>0</v>
      </c>
      <c r="N1087" s="0" t="n">
        <v>0</v>
      </c>
      <c r="P1087" s="0" t="n">
        <v>59.3</v>
      </c>
    </row>
    <row r="1088">
      <c r="A1088" s="0" t="inlineStr">
        <is>
          <t>USR-101087</t>
        </is>
      </c>
      <c r="B1088" s="23" t="n">
        <v>45690</v>
      </c>
      <c r="C1088" s="0" t="inlineStr">
        <is>
          <t>Treatment</t>
        </is>
      </c>
      <c r="D1088" s="0" t="inlineStr">
        <is>
          <t>South</t>
        </is>
      </c>
      <c r="E1088" s="0" t="inlineStr">
        <is>
          <t>Mobile</t>
        </is>
      </c>
      <c r="F1088" s="0" t="inlineStr">
        <is>
          <t>Paid Search</t>
        </is>
      </c>
      <c r="G1088" s="0" t="inlineStr">
        <is>
          <t>Free</t>
        </is>
      </c>
      <c r="H1088" s="0" t="n">
        <v>1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P1088" s="0" t="n">
        <v>62</v>
      </c>
    </row>
    <row r="1089">
      <c r="A1089" s="0" t="inlineStr">
        <is>
          <t>USR-101088</t>
        </is>
      </c>
      <c r="B1089" s="23" t="n">
        <v>45769</v>
      </c>
      <c r="C1089" s="0" t="inlineStr">
        <is>
          <t>Treatment</t>
        </is>
      </c>
      <c r="D1089" s="0" t="inlineStr">
        <is>
          <t>North</t>
        </is>
      </c>
      <c r="E1089" s="0" t="inlineStr">
        <is>
          <t>Tablet</t>
        </is>
      </c>
      <c r="F1089" s="0" t="inlineStr">
        <is>
          <t>Referral</t>
        </is>
      </c>
      <c r="G1089" s="0" t="inlineStr">
        <is>
          <t>Free</t>
        </is>
      </c>
      <c r="H1089" s="0" t="n">
        <v>1</v>
      </c>
      <c r="I1089" s="0" t="n">
        <v>1</v>
      </c>
      <c r="J1089" s="0" t="n">
        <v>1</v>
      </c>
      <c r="K1089" s="0" t="n">
        <v>0</v>
      </c>
      <c r="L1089" s="0" t="n">
        <v>0</v>
      </c>
      <c r="M1089" s="0" t="n">
        <v>1</v>
      </c>
      <c r="N1089" s="0" t="n">
        <v>0</v>
      </c>
      <c r="P1089" s="0" t="n">
        <v>60.3</v>
      </c>
    </row>
    <row r="1090">
      <c r="A1090" s="0" t="inlineStr">
        <is>
          <t>USR-101089</t>
        </is>
      </c>
      <c r="B1090" s="23" t="n">
        <v>45696</v>
      </c>
      <c r="C1090" s="0" t="inlineStr">
        <is>
          <t>Treatment</t>
        </is>
      </c>
      <c r="D1090" s="0" t="inlineStr">
        <is>
          <t>North</t>
        </is>
      </c>
      <c r="E1090" s="0" t="inlineStr">
        <is>
          <t>Mobile</t>
        </is>
      </c>
      <c r="F1090" s="0" t="inlineStr">
        <is>
          <t>Social</t>
        </is>
      </c>
      <c r="G1090" s="0" t="inlineStr">
        <is>
          <t>Basic</t>
        </is>
      </c>
      <c r="H1090" s="0" t="n">
        <v>1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P1090" s="0" t="n">
        <v>70.5</v>
      </c>
    </row>
    <row r="1091">
      <c r="A1091" s="0" t="inlineStr">
        <is>
          <t>USR-101090</t>
        </is>
      </c>
      <c r="B1091" s="23" t="n">
        <v>45681</v>
      </c>
      <c r="C1091" s="0" t="inlineStr">
        <is>
          <t>Treatment</t>
        </is>
      </c>
      <c r="D1091" s="0" t="inlineStr">
        <is>
          <t>South</t>
        </is>
      </c>
      <c r="E1091" s="0" t="inlineStr">
        <is>
          <t>Desktop</t>
        </is>
      </c>
      <c r="F1091" s="0" t="inlineStr">
        <is>
          <t>Email</t>
        </is>
      </c>
      <c r="G1091" s="0" t="inlineStr">
        <is>
          <t>Free</t>
        </is>
      </c>
      <c r="H1091" s="0" t="n">
        <v>1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P1091" s="0" t="n">
        <v>36.8</v>
      </c>
    </row>
    <row r="1092">
      <c r="A1092" s="0" t="inlineStr">
        <is>
          <t>USR-101091</t>
        </is>
      </c>
      <c r="B1092" s="23" t="n">
        <v>45789</v>
      </c>
      <c r="C1092" s="0" t="inlineStr">
        <is>
          <t>Treatment</t>
        </is>
      </c>
      <c r="D1092" s="0" t="inlineStr">
        <is>
          <t>South</t>
        </is>
      </c>
      <c r="E1092" s="0" t="inlineStr">
        <is>
          <t>Mobile</t>
        </is>
      </c>
      <c r="F1092" s="0" t="inlineStr">
        <is>
          <t>Paid Search</t>
        </is>
      </c>
      <c r="G1092" s="0" t="inlineStr">
        <is>
          <t>Basic</t>
        </is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0</v>
      </c>
      <c r="P1092" s="0" t="n">
        <v>73.2</v>
      </c>
    </row>
    <row r="1093">
      <c r="A1093" s="0" t="inlineStr">
        <is>
          <t>USR-101092</t>
        </is>
      </c>
      <c r="B1093" s="23" t="n">
        <v>45746</v>
      </c>
      <c r="C1093" s="0" t="inlineStr">
        <is>
          <t>Treatment</t>
        </is>
      </c>
      <c r="D1093" s="0" t="inlineStr">
        <is>
          <t>North</t>
        </is>
      </c>
      <c r="E1093" s="0" t="inlineStr">
        <is>
          <t>Mobile</t>
        </is>
      </c>
      <c r="F1093" s="0" t="inlineStr">
        <is>
          <t>Organic</t>
        </is>
      </c>
      <c r="G1093" s="0" t="inlineStr">
        <is>
          <t>Basic</t>
        </is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P1093" s="0" t="n">
        <v>70.09999999999999</v>
      </c>
    </row>
    <row r="1094">
      <c r="A1094" s="0" t="inlineStr">
        <is>
          <t>USR-101093</t>
        </is>
      </c>
      <c r="B1094" s="23" t="n">
        <v>45659</v>
      </c>
      <c r="C1094" s="0" t="inlineStr">
        <is>
          <t>Treatment</t>
        </is>
      </c>
      <c r="D1094" s="0" t="inlineStr">
        <is>
          <t>South</t>
        </is>
      </c>
      <c r="E1094" s="0" t="inlineStr">
        <is>
          <t>Desktop</t>
        </is>
      </c>
      <c r="F1094" s="0" t="inlineStr">
        <is>
          <t>Paid Search</t>
        </is>
      </c>
      <c r="G1094" s="0" t="inlineStr">
        <is>
          <t>Basic</t>
        </is>
      </c>
      <c r="H1094" s="0" t="n">
        <v>1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P1094" s="0" t="n">
        <v>76.40000000000001</v>
      </c>
    </row>
    <row r="1095">
      <c r="A1095" s="0" t="inlineStr">
        <is>
          <t>USR-101094</t>
        </is>
      </c>
      <c r="B1095" s="23" t="n">
        <v>45737</v>
      </c>
      <c r="C1095" s="0" t="inlineStr">
        <is>
          <t>Treatment</t>
        </is>
      </c>
      <c r="D1095" s="0" t="inlineStr">
        <is>
          <t>South</t>
        </is>
      </c>
      <c r="E1095" s="0" t="inlineStr">
        <is>
          <t>Tablet</t>
        </is>
      </c>
      <c r="F1095" s="0" t="inlineStr">
        <is>
          <t>Email</t>
        </is>
      </c>
      <c r="G1095" s="0" t="inlineStr">
        <is>
          <t>Basic</t>
        </is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P1095" s="0" t="n">
        <v>46.4</v>
      </c>
    </row>
    <row r="1096">
      <c r="A1096" s="0" t="inlineStr">
        <is>
          <t>USR-101095</t>
        </is>
      </c>
      <c r="B1096" s="23" t="n">
        <v>45682</v>
      </c>
      <c r="C1096" s="0" t="inlineStr">
        <is>
          <t>Treatment</t>
        </is>
      </c>
      <c r="D1096" s="0" t="inlineStr">
        <is>
          <t>West</t>
        </is>
      </c>
      <c r="E1096" s="0" t="inlineStr">
        <is>
          <t>Mobile</t>
        </is>
      </c>
      <c r="F1096" s="0" t="inlineStr">
        <is>
          <t>Organic</t>
        </is>
      </c>
      <c r="G1096" s="0" t="inlineStr">
        <is>
          <t>Free</t>
        </is>
      </c>
      <c r="H1096" s="0" t="n">
        <v>1</v>
      </c>
      <c r="I1096" s="0" t="n">
        <v>1</v>
      </c>
      <c r="J1096" s="0" t="n">
        <v>1</v>
      </c>
      <c r="K1096" s="0" t="n">
        <v>0</v>
      </c>
      <c r="L1096" s="0" t="n">
        <v>0</v>
      </c>
      <c r="M1096" s="0" t="n">
        <v>1</v>
      </c>
      <c r="N1096" s="0" t="n">
        <v>0</v>
      </c>
      <c r="P1096" s="0" t="n">
        <v>81.3</v>
      </c>
    </row>
    <row r="1097">
      <c r="A1097" s="0" t="inlineStr">
        <is>
          <t>USR-101096</t>
        </is>
      </c>
      <c r="B1097" s="23" t="n">
        <v>45669</v>
      </c>
      <c r="C1097" s="0" t="inlineStr">
        <is>
          <t>Treatment</t>
        </is>
      </c>
      <c r="D1097" s="0" t="inlineStr">
        <is>
          <t>South</t>
        </is>
      </c>
      <c r="E1097" s="0" t="inlineStr">
        <is>
          <t>Tablet</t>
        </is>
      </c>
      <c r="F1097" s="0" t="inlineStr">
        <is>
          <t>Social</t>
        </is>
      </c>
      <c r="G1097" s="0" t="inlineStr">
        <is>
          <t>Free</t>
        </is>
      </c>
      <c r="H1097" s="0" t="n">
        <v>1</v>
      </c>
      <c r="I1097" s="0" t="n">
        <v>1</v>
      </c>
      <c r="J1097" s="0" t="n">
        <v>1</v>
      </c>
      <c r="K1097" s="0" t="n">
        <v>0</v>
      </c>
      <c r="L1097" s="0" t="n">
        <v>0</v>
      </c>
      <c r="M1097" s="0" t="n">
        <v>0</v>
      </c>
      <c r="N1097" s="0" t="n">
        <v>0</v>
      </c>
      <c r="P1097" s="0" t="n">
        <v>55.3</v>
      </c>
    </row>
    <row r="1098">
      <c r="A1098" s="0" t="inlineStr">
        <is>
          <t>USR-101097</t>
        </is>
      </c>
      <c r="B1098" s="23" t="n">
        <v>45734</v>
      </c>
      <c r="C1098" s="0" t="inlineStr">
        <is>
          <t>Treatment</t>
        </is>
      </c>
      <c r="D1098" s="0" t="inlineStr">
        <is>
          <t>East</t>
        </is>
      </c>
      <c r="E1098" s="0" t="inlineStr">
        <is>
          <t>Desktop</t>
        </is>
      </c>
      <c r="F1098" s="0" t="inlineStr">
        <is>
          <t>Referral</t>
        </is>
      </c>
      <c r="G1098" s="0" t="inlineStr">
        <is>
          <t>Free</t>
        </is>
      </c>
      <c r="H1098" s="0" t="n">
        <v>1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P1098" s="0" t="n">
        <v>44.7</v>
      </c>
    </row>
    <row r="1099">
      <c r="A1099" s="0" t="inlineStr">
        <is>
          <t>USR-101098</t>
        </is>
      </c>
      <c r="B1099" s="23" t="n">
        <v>45742</v>
      </c>
      <c r="C1099" s="0" t="inlineStr">
        <is>
          <t>Treatment</t>
        </is>
      </c>
      <c r="D1099" s="0" t="inlineStr">
        <is>
          <t>East</t>
        </is>
      </c>
      <c r="E1099" s="0" t="inlineStr">
        <is>
          <t>Mobile</t>
        </is>
      </c>
      <c r="F1099" s="0" t="inlineStr">
        <is>
          <t>Paid Search</t>
        </is>
      </c>
      <c r="G1099" s="0" t="inlineStr">
        <is>
          <t>Basic</t>
        </is>
      </c>
      <c r="H1099" s="0" t="n">
        <v>1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P1099" s="0" t="n">
        <v>67.2</v>
      </c>
    </row>
    <row r="1100">
      <c r="A1100" s="0" t="inlineStr">
        <is>
          <t>USR-101099</t>
        </is>
      </c>
      <c r="B1100" s="23" t="n">
        <v>45766</v>
      </c>
      <c r="C1100" s="0" t="inlineStr">
        <is>
          <t>Treatment</t>
        </is>
      </c>
      <c r="D1100" s="0" t="inlineStr">
        <is>
          <t>North</t>
        </is>
      </c>
      <c r="E1100" s="0" t="inlineStr">
        <is>
          <t>Mobile</t>
        </is>
      </c>
      <c r="F1100" s="0" t="inlineStr">
        <is>
          <t>Paid Search</t>
        </is>
      </c>
      <c r="G1100" s="0" t="inlineStr">
        <is>
          <t>Basic</t>
        </is>
      </c>
      <c r="H1100" s="0" t="n">
        <v>1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</row>
    <row r="1101">
      <c r="A1101" s="0" t="inlineStr">
        <is>
          <t>USR-101100</t>
        </is>
      </c>
      <c r="B1101" s="23" t="n">
        <v>45764</v>
      </c>
      <c r="C1101" s="0" t="inlineStr">
        <is>
          <t>Treatment</t>
        </is>
      </c>
      <c r="D1101" s="0" t="inlineStr">
        <is>
          <t>East</t>
        </is>
      </c>
      <c r="E1101" s="0" t="inlineStr">
        <is>
          <t>Mobile</t>
        </is>
      </c>
      <c r="F1101" s="0" t="inlineStr">
        <is>
          <t>Organic</t>
        </is>
      </c>
      <c r="G1101" s="0" t="inlineStr">
        <is>
          <t>Premium</t>
        </is>
      </c>
      <c r="H1101" s="0" t="n">
        <v>1</v>
      </c>
      <c r="I1101" s="0" t="n">
        <v>1</v>
      </c>
      <c r="J1101" s="0" t="n">
        <v>1</v>
      </c>
      <c r="K1101" s="0" t="n">
        <v>0</v>
      </c>
      <c r="L1101" s="0" t="n">
        <v>0</v>
      </c>
      <c r="M1101" s="0" t="n">
        <v>1</v>
      </c>
      <c r="N1101" s="0" t="n">
        <v>0</v>
      </c>
      <c r="P1101" s="0" t="n">
        <v>70.8</v>
      </c>
    </row>
    <row r="1102">
      <c r="A1102" s="0" t="inlineStr">
        <is>
          <t>USR-101101</t>
        </is>
      </c>
      <c r="B1102" s="23" t="n">
        <v>45803</v>
      </c>
      <c r="C1102" s="0" t="inlineStr">
        <is>
          <t>Treatment</t>
        </is>
      </c>
      <c r="D1102" s="0" t="inlineStr">
        <is>
          <t>South</t>
        </is>
      </c>
      <c r="E1102" s="0" t="inlineStr">
        <is>
          <t>Mobile</t>
        </is>
      </c>
      <c r="F1102" s="0" t="inlineStr">
        <is>
          <t>Paid Search</t>
        </is>
      </c>
      <c r="G1102" s="0" t="inlineStr">
        <is>
          <t>Free</t>
        </is>
      </c>
      <c r="H1102" s="0" t="n">
        <v>1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P1102" s="0" t="n">
        <v>71.3</v>
      </c>
    </row>
    <row r="1103">
      <c r="A1103" s="0" t="inlineStr">
        <is>
          <t>USR-101102</t>
        </is>
      </c>
      <c r="B1103" s="23" t="n">
        <v>45761</v>
      </c>
      <c r="C1103" s="0" t="inlineStr">
        <is>
          <t>Treatment</t>
        </is>
      </c>
      <c r="D1103" s="0" t="inlineStr">
        <is>
          <t>North</t>
        </is>
      </c>
      <c r="E1103" s="0" t="inlineStr">
        <is>
          <t>Mobile</t>
        </is>
      </c>
      <c r="F1103" s="0" t="inlineStr">
        <is>
          <t>Social</t>
        </is>
      </c>
      <c r="G1103" s="0" t="inlineStr">
        <is>
          <t>Premium</t>
        </is>
      </c>
      <c r="H1103" s="0" t="n">
        <v>1</v>
      </c>
      <c r="I1103" s="0" t="n">
        <v>1</v>
      </c>
      <c r="J1103" s="0" t="n">
        <v>1</v>
      </c>
      <c r="K1103" s="0" t="n">
        <v>0</v>
      </c>
      <c r="L1103" s="0" t="n">
        <v>0</v>
      </c>
      <c r="M1103" s="0" t="n">
        <v>0</v>
      </c>
      <c r="N1103" s="0" t="n">
        <v>0</v>
      </c>
      <c r="P1103" s="0" t="n">
        <v>69.40000000000001</v>
      </c>
    </row>
    <row r="1104">
      <c r="A1104" s="0" t="inlineStr">
        <is>
          <t>USR-101103</t>
        </is>
      </c>
      <c r="B1104" s="23" t="n">
        <v>45680</v>
      </c>
      <c r="C1104" s="0" t="inlineStr">
        <is>
          <t>Treatment</t>
        </is>
      </c>
      <c r="D1104" s="0" t="inlineStr">
        <is>
          <t>South</t>
        </is>
      </c>
      <c r="E1104" s="0" t="inlineStr">
        <is>
          <t>Mobile</t>
        </is>
      </c>
      <c r="F1104" s="0" t="inlineStr">
        <is>
          <t>Organic</t>
        </is>
      </c>
      <c r="G1104" s="0" t="inlineStr">
        <is>
          <t>Basic</t>
        </is>
      </c>
      <c r="H1104" s="0" t="n">
        <v>1</v>
      </c>
      <c r="I1104" s="0" t="n">
        <v>1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P1104" s="0" t="n">
        <v>58.9</v>
      </c>
    </row>
    <row r="1105">
      <c r="A1105" s="0" t="inlineStr">
        <is>
          <t>USR-101104</t>
        </is>
      </c>
      <c r="B1105" s="23" t="n">
        <v>45663</v>
      </c>
      <c r="C1105" s="0" t="inlineStr">
        <is>
          <t>Treatment</t>
        </is>
      </c>
      <c r="D1105" s="0" t="inlineStr">
        <is>
          <t>East</t>
        </is>
      </c>
      <c r="E1105" s="0" t="inlineStr">
        <is>
          <t>Mobile</t>
        </is>
      </c>
      <c r="F1105" s="0" t="inlineStr">
        <is>
          <t>Referral</t>
        </is>
      </c>
      <c r="G1105" s="0" t="inlineStr">
        <is>
          <t>Free</t>
        </is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P1105" s="0" t="n">
        <v>70.7</v>
      </c>
    </row>
    <row r="1106">
      <c r="A1106" s="0" t="inlineStr">
        <is>
          <t>USR-101105</t>
        </is>
      </c>
      <c r="B1106" s="23" t="n">
        <v>45808</v>
      </c>
      <c r="C1106" s="0" t="inlineStr">
        <is>
          <t>Treatment</t>
        </is>
      </c>
      <c r="D1106" s="0" t="inlineStr">
        <is>
          <t>West</t>
        </is>
      </c>
      <c r="E1106" s="0" t="inlineStr">
        <is>
          <t>Mobile</t>
        </is>
      </c>
      <c r="F1106" s="0" t="inlineStr">
        <is>
          <t>Email</t>
        </is>
      </c>
      <c r="G1106" s="0" t="inlineStr">
        <is>
          <t>Basic</t>
        </is>
      </c>
      <c r="H1106" s="0" t="n">
        <v>1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P1106" s="0" t="n">
        <v>60.5</v>
      </c>
    </row>
    <row r="1107">
      <c r="A1107" s="0" t="inlineStr">
        <is>
          <t>USR-101106</t>
        </is>
      </c>
      <c r="B1107" s="23" t="n">
        <v>45796</v>
      </c>
      <c r="C1107" s="0" t="inlineStr">
        <is>
          <t>Treatment</t>
        </is>
      </c>
      <c r="D1107" s="0" t="inlineStr">
        <is>
          <t>North</t>
        </is>
      </c>
      <c r="E1107" s="0" t="inlineStr">
        <is>
          <t>Mobile</t>
        </is>
      </c>
      <c r="F1107" s="0" t="inlineStr">
        <is>
          <t>Organic</t>
        </is>
      </c>
      <c r="G1107" s="0" t="inlineStr">
        <is>
          <t>Basic</t>
        </is>
      </c>
      <c r="H1107" s="0" t="n">
        <v>1</v>
      </c>
      <c r="I1107" s="0" t="n">
        <v>1</v>
      </c>
      <c r="J1107" s="0" t="n">
        <v>1</v>
      </c>
      <c r="K1107" s="0" t="n">
        <v>0</v>
      </c>
      <c r="L1107" s="0" t="n">
        <v>0</v>
      </c>
      <c r="M1107" s="0" t="n">
        <v>0</v>
      </c>
      <c r="N1107" s="0" t="n">
        <v>0</v>
      </c>
      <c r="P1107" s="0" t="n">
        <v>77.3</v>
      </c>
    </row>
    <row r="1108">
      <c r="A1108" s="0" t="inlineStr">
        <is>
          <t>USR-101107</t>
        </is>
      </c>
      <c r="B1108" s="23" t="n">
        <v>45713</v>
      </c>
      <c r="C1108" s="0" t="inlineStr">
        <is>
          <t>Treatment</t>
        </is>
      </c>
      <c r="D1108" s="0" t="inlineStr">
        <is>
          <t>North</t>
        </is>
      </c>
      <c r="E1108" s="0" t="inlineStr">
        <is>
          <t>Mobile</t>
        </is>
      </c>
      <c r="F1108" s="0" t="inlineStr">
        <is>
          <t>Organic</t>
        </is>
      </c>
      <c r="G1108" s="0" t="inlineStr">
        <is>
          <t>Free</t>
        </is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1</v>
      </c>
      <c r="N1108" s="0" t="n">
        <v>0</v>
      </c>
      <c r="P1108" s="0" t="n">
        <v>39.5</v>
      </c>
    </row>
    <row r="1109">
      <c r="A1109" s="0" t="inlineStr">
        <is>
          <t>USR-101108</t>
        </is>
      </c>
      <c r="B1109" s="23" t="n">
        <v>45667</v>
      </c>
      <c r="C1109" s="0" t="inlineStr">
        <is>
          <t>Treatment</t>
        </is>
      </c>
      <c r="D1109" s="0" t="inlineStr">
        <is>
          <t>South</t>
        </is>
      </c>
      <c r="E1109" s="0" t="inlineStr">
        <is>
          <t>Tablet</t>
        </is>
      </c>
      <c r="F1109" s="0" t="inlineStr">
        <is>
          <t>Organic</t>
        </is>
      </c>
      <c r="G1109" s="0" t="inlineStr">
        <is>
          <t>Basic</t>
        </is>
      </c>
      <c r="H1109" s="0" t="n">
        <v>1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P1109" s="0" t="n">
        <v>68.09999999999999</v>
      </c>
    </row>
    <row r="1110">
      <c r="A1110" s="0" t="inlineStr">
        <is>
          <t>USR-101109</t>
        </is>
      </c>
      <c r="B1110" s="23" t="n">
        <v>45790</v>
      </c>
      <c r="C1110" s="0" t="inlineStr">
        <is>
          <t>Treatment</t>
        </is>
      </c>
      <c r="D1110" s="0" t="inlineStr">
        <is>
          <t>North</t>
        </is>
      </c>
      <c r="E1110" s="0" t="inlineStr">
        <is>
          <t>Tablet</t>
        </is>
      </c>
      <c r="F1110" s="0" t="inlineStr">
        <is>
          <t>Paid Search</t>
        </is>
      </c>
      <c r="G1110" s="0" t="inlineStr">
        <is>
          <t>Free</t>
        </is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P1110" s="0" t="n">
        <v>80.3</v>
      </c>
    </row>
    <row r="1111">
      <c r="A1111" s="0" t="inlineStr">
        <is>
          <t>USR-101110</t>
        </is>
      </c>
      <c r="B1111" s="23" t="n">
        <v>45774</v>
      </c>
      <c r="C1111" s="0" t="inlineStr">
        <is>
          <t>Treatment</t>
        </is>
      </c>
      <c r="D1111" s="0" t="inlineStr">
        <is>
          <t>West</t>
        </is>
      </c>
      <c r="E1111" s="0" t="inlineStr">
        <is>
          <t>Desktop</t>
        </is>
      </c>
      <c r="F1111" s="0" t="inlineStr">
        <is>
          <t>Organic</t>
        </is>
      </c>
      <c r="G1111" s="0" t="inlineStr">
        <is>
          <t>Premium</t>
        </is>
      </c>
      <c r="H1111" s="0" t="n">
        <v>1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P1111" s="0" t="n">
        <v>77.7</v>
      </c>
    </row>
    <row r="1112">
      <c r="A1112" s="0" t="inlineStr">
        <is>
          <t>USR-101111</t>
        </is>
      </c>
      <c r="B1112" s="23" t="n">
        <v>45750</v>
      </c>
      <c r="C1112" s="0" t="inlineStr">
        <is>
          <t>Treatment</t>
        </is>
      </c>
      <c r="D1112" s="0" t="inlineStr">
        <is>
          <t>South</t>
        </is>
      </c>
      <c r="E1112" s="0" t="inlineStr">
        <is>
          <t>Mobile</t>
        </is>
      </c>
      <c r="F1112" s="0" t="inlineStr">
        <is>
          <t>Organic</t>
        </is>
      </c>
      <c r="G1112" s="0" t="inlineStr">
        <is>
          <t>Free</t>
        </is>
      </c>
      <c r="H1112" s="0" t="n">
        <v>1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1</v>
      </c>
      <c r="N1112" s="0" t="n">
        <v>0</v>
      </c>
      <c r="P1112" s="0" t="n">
        <v>66.2</v>
      </c>
    </row>
    <row r="1113">
      <c r="A1113" s="0" t="inlineStr">
        <is>
          <t>USR-101112</t>
        </is>
      </c>
      <c r="B1113" s="23" t="n">
        <v>45742</v>
      </c>
      <c r="C1113" s="0" t="inlineStr">
        <is>
          <t>Treatment</t>
        </is>
      </c>
      <c r="D1113" s="0" t="inlineStr">
        <is>
          <t>South</t>
        </is>
      </c>
      <c r="E1113" s="0" t="inlineStr">
        <is>
          <t>Mobile</t>
        </is>
      </c>
      <c r="F1113" s="0" t="inlineStr">
        <is>
          <t>Organic</t>
        </is>
      </c>
      <c r="G1113" s="0" t="inlineStr">
        <is>
          <t>Free</t>
        </is>
      </c>
      <c r="H1113" s="0" t="n">
        <v>1</v>
      </c>
      <c r="I1113" s="0" t="n">
        <v>1</v>
      </c>
      <c r="J1113" s="0" t="n">
        <v>1</v>
      </c>
      <c r="K1113" s="0" t="n">
        <v>0</v>
      </c>
      <c r="L1113" s="0" t="n">
        <v>0</v>
      </c>
      <c r="M1113" s="0" t="n">
        <v>1</v>
      </c>
      <c r="N1113" s="0" t="n">
        <v>0</v>
      </c>
      <c r="P1113" s="0" t="n">
        <v>43.9</v>
      </c>
    </row>
    <row r="1114">
      <c r="A1114" s="0" t="inlineStr">
        <is>
          <t>USR-101113</t>
        </is>
      </c>
      <c r="B1114" s="23" t="n">
        <v>45688</v>
      </c>
      <c r="C1114" s="0" t="inlineStr">
        <is>
          <t>Treatment</t>
        </is>
      </c>
      <c r="D1114" s="0" t="inlineStr">
        <is>
          <t>South</t>
        </is>
      </c>
      <c r="E1114" s="0" t="inlineStr">
        <is>
          <t>Mobile</t>
        </is>
      </c>
      <c r="F1114" s="0" t="inlineStr">
        <is>
          <t>Organic</t>
        </is>
      </c>
      <c r="G1114" s="0" t="inlineStr">
        <is>
          <t>Basic</t>
        </is>
      </c>
      <c r="H1114" s="0" t="n">
        <v>1</v>
      </c>
      <c r="I1114" s="0" t="n">
        <v>1</v>
      </c>
      <c r="J1114" s="0" t="n">
        <v>1</v>
      </c>
      <c r="K1114" s="0" t="n">
        <v>0</v>
      </c>
      <c r="L1114" s="0" t="n">
        <v>0</v>
      </c>
      <c r="M1114" s="0" t="n">
        <v>2</v>
      </c>
      <c r="N1114" s="0" t="n">
        <v>0</v>
      </c>
      <c r="P1114" s="0" t="n">
        <v>59.1</v>
      </c>
    </row>
    <row r="1115">
      <c r="A1115" s="0" t="inlineStr">
        <is>
          <t>USR-101114</t>
        </is>
      </c>
      <c r="B1115" s="23" t="n">
        <v>45682</v>
      </c>
      <c r="C1115" s="0" t="inlineStr">
        <is>
          <t>Treatment</t>
        </is>
      </c>
      <c r="D1115" s="0" t="inlineStr">
        <is>
          <t>South</t>
        </is>
      </c>
      <c r="E1115" s="0" t="inlineStr">
        <is>
          <t>Mobile</t>
        </is>
      </c>
      <c r="F1115" s="0" t="inlineStr">
        <is>
          <t>Social</t>
        </is>
      </c>
      <c r="G1115" s="0" t="inlineStr">
        <is>
          <t>Free</t>
        </is>
      </c>
      <c r="H1115" s="0" t="n">
        <v>1</v>
      </c>
      <c r="I1115" s="0" t="n">
        <v>1</v>
      </c>
      <c r="J1115" s="0" t="n">
        <v>1</v>
      </c>
      <c r="K1115" s="0" t="n">
        <v>1</v>
      </c>
      <c r="L1115" s="0" t="n">
        <v>416.94</v>
      </c>
      <c r="M1115" s="0" t="n">
        <v>1</v>
      </c>
      <c r="N1115" s="0" t="n">
        <v>0</v>
      </c>
      <c r="O1115" s="0" t="n">
        <v>11</v>
      </c>
      <c r="P1115" s="0" t="n">
        <v>67</v>
      </c>
    </row>
    <row r="1116">
      <c r="A1116" s="0" t="inlineStr">
        <is>
          <t>USR-101115</t>
        </is>
      </c>
      <c r="B1116" s="23" t="n">
        <v>45694</v>
      </c>
      <c r="C1116" s="0" t="inlineStr">
        <is>
          <t>Treatment</t>
        </is>
      </c>
      <c r="D1116" s="0" t="inlineStr">
        <is>
          <t>West</t>
        </is>
      </c>
      <c r="E1116" s="0" t="inlineStr">
        <is>
          <t>Mobile</t>
        </is>
      </c>
      <c r="F1116" s="0" t="inlineStr">
        <is>
          <t>Referral</t>
        </is>
      </c>
      <c r="G1116" s="0" t="inlineStr">
        <is>
          <t>Basic</t>
        </is>
      </c>
      <c r="H1116" s="0" t="n">
        <v>1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P1116" s="0" t="n">
        <v>47.9</v>
      </c>
    </row>
    <row r="1117">
      <c r="A1117" s="0" t="inlineStr">
        <is>
          <t>USR-101116</t>
        </is>
      </c>
      <c r="B1117" s="23" t="n">
        <v>45726</v>
      </c>
      <c r="C1117" s="0" t="inlineStr">
        <is>
          <t>Treatment</t>
        </is>
      </c>
      <c r="D1117" s="0" t="inlineStr">
        <is>
          <t>East</t>
        </is>
      </c>
      <c r="E1117" s="0" t="inlineStr">
        <is>
          <t>Mobile</t>
        </is>
      </c>
      <c r="F1117" s="0" t="inlineStr">
        <is>
          <t>Paid Search</t>
        </is>
      </c>
      <c r="G1117" s="0" t="inlineStr">
        <is>
          <t>Free</t>
        </is>
      </c>
      <c r="H1117" s="0" t="n">
        <v>1</v>
      </c>
      <c r="I1117" s="0" t="n">
        <v>1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P1117" s="0" t="n">
        <v>41.5</v>
      </c>
    </row>
    <row r="1118">
      <c r="A1118" s="0" t="inlineStr">
        <is>
          <t>USR-101117</t>
        </is>
      </c>
      <c r="B1118" s="23" t="n">
        <v>45683</v>
      </c>
      <c r="C1118" s="0" t="inlineStr">
        <is>
          <t>Treatment</t>
        </is>
      </c>
      <c r="D1118" s="0" t="inlineStr">
        <is>
          <t>West</t>
        </is>
      </c>
      <c r="E1118" s="0" t="inlineStr">
        <is>
          <t>Mobile</t>
        </is>
      </c>
      <c r="F1118" s="0" t="inlineStr">
        <is>
          <t>Organic</t>
        </is>
      </c>
      <c r="G1118" s="0" t="inlineStr">
        <is>
          <t>Basic</t>
        </is>
      </c>
      <c r="H1118" s="0" t="n">
        <v>1</v>
      </c>
      <c r="I1118" s="0" t="n">
        <v>1</v>
      </c>
      <c r="J1118" s="0" t="n">
        <v>1</v>
      </c>
      <c r="K1118" s="0" t="n">
        <v>0</v>
      </c>
      <c r="L1118" s="0" t="n">
        <v>0</v>
      </c>
      <c r="M1118" s="0" t="n">
        <v>3</v>
      </c>
      <c r="N1118" s="0" t="n">
        <v>0</v>
      </c>
      <c r="P1118" s="0" t="n">
        <v>30.6</v>
      </c>
    </row>
    <row r="1119">
      <c r="A1119" s="0" t="inlineStr">
        <is>
          <t>USR-101118</t>
        </is>
      </c>
      <c r="B1119" s="23" t="n">
        <v>45658</v>
      </c>
      <c r="C1119" s="0" t="inlineStr">
        <is>
          <t>Treatment</t>
        </is>
      </c>
      <c r="D1119" s="0" t="inlineStr">
        <is>
          <t>East</t>
        </is>
      </c>
      <c r="E1119" s="0" t="inlineStr">
        <is>
          <t>Mobile</t>
        </is>
      </c>
      <c r="F1119" s="0" t="inlineStr">
        <is>
          <t>Paid Search</t>
        </is>
      </c>
      <c r="G1119" s="0" t="inlineStr">
        <is>
          <t>Free</t>
        </is>
      </c>
      <c r="H1119" s="0" t="n">
        <v>1</v>
      </c>
      <c r="I1119" s="0" t="n">
        <v>1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P1119" s="0" t="n">
        <v>91.5</v>
      </c>
    </row>
    <row r="1120">
      <c r="A1120" s="0" t="inlineStr">
        <is>
          <t>USR-101119</t>
        </is>
      </c>
      <c r="B1120" s="23" t="n">
        <v>45775</v>
      </c>
      <c r="C1120" s="0" t="inlineStr">
        <is>
          <t>Treatment</t>
        </is>
      </c>
      <c r="D1120" s="0" t="inlineStr">
        <is>
          <t>North</t>
        </is>
      </c>
      <c r="E1120" s="0" t="inlineStr">
        <is>
          <t>Desktop</t>
        </is>
      </c>
      <c r="F1120" s="0" t="inlineStr">
        <is>
          <t>Social</t>
        </is>
      </c>
      <c r="G1120" s="0" t="inlineStr">
        <is>
          <t>Basic</t>
        </is>
      </c>
      <c r="H1120" s="0" t="n">
        <v>1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P1120" s="0" t="n">
        <v>80.8</v>
      </c>
    </row>
    <row r="1121">
      <c r="A1121" s="0" t="inlineStr">
        <is>
          <t>USR-101120</t>
        </is>
      </c>
      <c r="B1121" s="23" t="n">
        <v>45751</v>
      </c>
      <c r="C1121" s="0" t="inlineStr">
        <is>
          <t>Treatment</t>
        </is>
      </c>
      <c r="D1121" s="0" t="inlineStr">
        <is>
          <t>North</t>
        </is>
      </c>
      <c r="E1121" s="0" t="inlineStr">
        <is>
          <t>Mobile</t>
        </is>
      </c>
      <c r="F1121" s="0" t="inlineStr">
        <is>
          <t>Organic</t>
        </is>
      </c>
      <c r="G1121" s="0" t="inlineStr">
        <is>
          <t>Premium</t>
        </is>
      </c>
      <c r="H1121" s="0" t="n">
        <v>1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P1121" s="0" t="n">
        <v>68.09999999999999</v>
      </c>
    </row>
    <row r="1122">
      <c r="A1122" s="0" t="inlineStr">
        <is>
          <t>USR-101121</t>
        </is>
      </c>
      <c r="B1122" s="23" t="n">
        <v>45718</v>
      </c>
      <c r="C1122" s="0" t="inlineStr">
        <is>
          <t>Treatment</t>
        </is>
      </c>
      <c r="D1122" s="0" t="inlineStr">
        <is>
          <t>East</t>
        </is>
      </c>
      <c r="E1122" s="0" t="inlineStr">
        <is>
          <t>Mobile</t>
        </is>
      </c>
      <c r="F1122" s="0" t="inlineStr">
        <is>
          <t>Paid Search</t>
        </is>
      </c>
      <c r="G1122" s="0" t="inlineStr">
        <is>
          <t>Free</t>
        </is>
      </c>
      <c r="H1122" s="0" t="n">
        <v>1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P1122" s="0" t="n">
        <v>80.3</v>
      </c>
    </row>
    <row r="1123">
      <c r="A1123" s="0" t="inlineStr">
        <is>
          <t>USR-101122</t>
        </is>
      </c>
      <c r="B1123" s="23" t="n">
        <v>45735</v>
      </c>
      <c r="C1123" s="0" t="inlineStr">
        <is>
          <t>Treatment</t>
        </is>
      </c>
      <c r="D1123" s="0" t="inlineStr">
        <is>
          <t>South</t>
        </is>
      </c>
      <c r="E1123" s="0" t="inlineStr">
        <is>
          <t>Tablet</t>
        </is>
      </c>
      <c r="F1123" s="0" t="inlineStr">
        <is>
          <t>Organic</t>
        </is>
      </c>
      <c r="G1123" s="0" t="inlineStr">
        <is>
          <t>Basic</t>
        </is>
      </c>
      <c r="H1123" s="0" t="n">
        <v>1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P1123" s="0" t="n">
        <v>44.4</v>
      </c>
    </row>
    <row r="1124">
      <c r="A1124" s="0" t="inlineStr">
        <is>
          <t>USR-101123</t>
        </is>
      </c>
      <c r="B1124" s="23" t="n">
        <v>45677</v>
      </c>
      <c r="C1124" s="0" t="inlineStr">
        <is>
          <t>Treatment</t>
        </is>
      </c>
      <c r="D1124" s="0" t="inlineStr">
        <is>
          <t>South</t>
        </is>
      </c>
      <c r="E1124" s="0" t="inlineStr">
        <is>
          <t>Desktop</t>
        </is>
      </c>
      <c r="F1124" s="0" t="inlineStr">
        <is>
          <t>Organic</t>
        </is>
      </c>
      <c r="G1124" s="0" t="inlineStr">
        <is>
          <t>Basic</t>
        </is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P1124" s="0" t="n">
        <v>51.9</v>
      </c>
    </row>
    <row r="1125">
      <c r="A1125" s="0" t="inlineStr">
        <is>
          <t>USR-101124</t>
        </is>
      </c>
      <c r="B1125" s="23" t="n">
        <v>45750</v>
      </c>
      <c r="C1125" s="0" t="inlineStr">
        <is>
          <t>Treatment</t>
        </is>
      </c>
      <c r="D1125" s="0" t="inlineStr">
        <is>
          <t>East</t>
        </is>
      </c>
      <c r="E1125" s="0" t="inlineStr">
        <is>
          <t>Mobile</t>
        </is>
      </c>
      <c r="F1125" s="0" t="inlineStr">
        <is>
          <t>Paid Search</t>
        </is>
      </c>
      <c r="G1125" s="0" t="inlineStr">
        <is>
          <t>Free</t>
        </is>
      </c>
      <c r="H1125" s="0" t="n">
        <v>1</v>
      </c>
      <c r="I1125" s="0" t="n">
        <v>1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P1125" s="0" t="n">
        <v>49.8</v>
      </c>
    </row>
    <row r="1126">
      <c r="A1126" s="0" t="inlineStr">
        <is>
          <t>USR-101125</t>
        </is>
      </c>
      <c r="B1126" s="23" t="n">
        <v>45668</v>
      </c>
      <c r="C1126" s="0" t="inlineStr">
        <is>
          <t>Treatment</t>
        </is>
      </c>
      <c r="D1126" s="0" t="inlineStr">
        <is>
          <t>East</t>
        </is>
      </c>
      <c r="E1126" s="0" t="inlineStr">
        <is>
          <t>Desktop</t>
        </is>
      </c>
      <c r="F1126" s="0" t="inlineStr">
        <is>
          <t>Social</t>
        </is>
      </c>
      <c r="G1126" s="0" t="inlineStr">
        <is>
          <t>Free</t>
        </is>
      </c>
      <c r="H1126" s="0" t="n">
        <v>1</v>
      </c>
      <c r="I1126" s="0" t="n">
        <v>1</v>
      </c>
      <c r="J1126" s="0" t="n">
        <v>1</v>
      </c>
      <c r="K1126" s="0" t="n">
        <v>0</v>
      </c>
      <c r="L1126" s="0" t="n">
        <v>0</v>
      </c>
      <c r="M1126" s="0" t="n">
        <v>3</v>
      </c>
      <c r="N1126" s="0" t="n">
        <v>0</v>
      </c>
      <c r="P1126" s="0" t="n">
        <v>62.1</v>
      </c>
    </row>
    <row r="1127">
      <c r="A1127" s="0" t="inlineStr">
        <is>
          <t>USR-101126</t>
        </is>
      </c>
      <c r="B1127" s="23" t="n">
        <v>45690</v>
      </c>
      <c r="C1127" s="0" t="inlineStr">
        <is>
          <t>Treatment</t>
        </is>
      </c>
      <c r="D1127" s="0" t="inlineStr">
        <is>
          <t>West</t>
        </is>
      </c>
      <c r="E1127" s="0" t="inlineStr">
        <is>
          <t>Desktop</t>
        </is>
      </c>
      <c r="F1127" s="0" t="inlineStr">
        <is>
          <t>Social</t>
        </is>
      </c>
      <c r="G1127" s="0" t="inlineStr">
        <is>
          <t>Basic</t>
        </is>
      </c>
      <c r="H1127" s="0" t="n">
        <v>1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P1127" s="0" t="n">
        <v>91.3</v>
      </c>
    </row>
    <row r="1128">
      <c r="A1128" s="0" t="inlineStr">
        <is>
          <t>USR-101127</t>
        </is>
      </c>
      <c r="B1128" s="23" t="n">
        <v>45748</v>
      </c>
      <c r="C1128" s="0" t="inlineStr">
        <is>
          <t>Treatment</t>
        </is>
      </c>
      <c r="D1128" s="0" t="inlineStr">
        <is>
          <t>South</t>
        </is>
      </c>
      <c r="E1128" s="0" t="inlineStr">
        <is>
          <t>Mobile</t>
        </is>
      </c>
      <c r="F1128" s="0" t="inlineStr">
        <is>
          <t>Organic</t>
        </is>
      </c>
      <c r="G1128" s="0" t="inlineStr">
        <is>
          <t>Basic</t>
        </is>
      </c>
      <c r="H1128" s="0" t="n">
        <v>1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P1128" s="0" t="n">
        <v>66.40000000000001</v>
      </c>
    </row>
    <row r="1129">
      <c r="A1129" s="0" t="inlineStr">
        <is>
          <t>USR-101128</t>
        </is>
      </c>
      <c r="B1129" s="23" t="n">
        <v>45799</v>
      </c>
      <c r="C1129" s="0" t="inlineStr">
        <is>
          <t>Treatment</t>
        </is>
      </c>
      <c r="D1129" s="0" t="inlineStr">
        <is>
          <t>East</t>
        </is>
      </c>
      <c r="E1129" s="0" t="inlineStr">
        <is>
          <t>Mobile</t>
        </is>
      </c>
      <c r="F1129" s="0" t="inlineStr">
        <is>
          <t>Organic</t>
        </is>
      </c>
      <c r="G1129" s="0" t="inlineStr">
        <is>
          <t>Basic</t>
        </is>
      </c>
      <c r="H1129" s="0" t="n">
        <v>1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P1129" s="0" t="n">
        <v>41.5</v>
      </c>
    </row>
    <row r="1130">
      <c r="A1130" s="0" t="inlineStr">
        <is>
          <t>USR-101129</t>
        </is>
      </c>
      <c r="B1130" s="23" t="n">
        <v>45708</v>
      </c>
      <c r="C1130" s="0" t="inlineStr">
        <is>
          <t>Treatment</t>
        </is>
      </c>
      <c r="D1130" s="0" t="inlineStr">
        <is>
          <t>West</t>
        </is>
      </c>
      <c r="E1130" s="0" t="inlineStr">
        <is>
          <t>Mobile</t>
        </is>
      </c>
      <c r="F1130" s="0" t="inlineStr">
        <is>
          <t>Organic</t>
        </is>
      </c>
      <c r="G1130" s="0" t="inlineStr">
        <is>
          <t>Basic</t>
        </is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P1130" s="0" t="n">
        <v>77.09999999999999</v>
      </c>
    </row>
    <row r="1131">
      <c r="A1131" s="0" t="inlineStr">
        <is>
          <t>USR-101130</t>
        </is>
      </c>
      <c r="B1131" s="23" t="n">
        <v>45737</v>
      </c>
      <c r="C1131" s="0" t="inlineStr">
        <is>
          <t>Treatment</t>
        </is>
      </c>
      <c r="D1131" s="0" t="inlineStr">
        <is>
          <t>West</t>
        </is>
      </c>
      <c r="E1131" s="0" t="inlineStr">
        <is>
          <t>Mobile</t>
        </is>
      </c>
      <c r="F1131" s="0" t="inlineStr">
        <is>
          <t>Organic</t>
        </is>
      </c>
      <c r="G1131" s="0" t="inlineStr">
        <is>
          <t>Free</t>
        </is>
      </c>
      <c r="H1131" s="0" t="n">
        <v>1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P1131" s="0" t="n">
        <v>63.2</v>
      </c>
    </row>
    <row r="1132">
      <c r="A1132" s="0" t="inlineStr">
        <is>
          <t>USR-101131</t>
        </is>
      </c>
      <c r="B1132" s="23" t="n">
        <v>45778</v>
      </c>
      <c r="C1132" s="0" t="inlineStr">
        <is>
          <t>Treatment</t>
        </is>
      </c>
      <c r="D1132" s="0" t="inlineStr">
        <is>
          <t>West</t>
        </is>
      </c>
      <c r="E1132" s="0" t="inlineStr">
        <is>
          <t>Desktop</t>
        </is>
      </c>
      <c r="F1132" s="0" t="inlineStr">
        <is>
          <t>Referral</t>
        </is>
      </c>
      <c r="G1132" s="0" t="inlineStr">
        <is>
          <t>Free</t>
        </is>
      </c>
      <c r="H1132" s="0" t="n">
        <v>1</v>
      </c>
      <c r="I1132" s="0" t="n">
        <v>1</v>
      </c>
      <c r="J1132" s="0" t="n">
        <v>1</v>
      </c>
      <c r="K1132" s="0" t="n">
        <v>0</v>
      </c>
      <c r="L1132" s="0" t="n">
        <v>0</v>
      </c>
      <c r="M1132" s="0" t="n">
        <v>3</v>
      </c>
      <c r="N1132" s="0" t="n">
        <v>0</v>
      </c>
      <c r="P1132" s="0" t="n">
        <v>75.7</v>
      </c>
    </row>
    <row r="1133">
      <c r="A1133" s="0" t="inlineStr">
        <is>
          <t>USR-101132</t>
        </is>
      </c>
      <c r="B1133" s="23" t="n">
        <v>45663</v>
      </c>
      <c r="C1133" s="0" t="inlineStr">
        <is>
          <t>Treatment</t>
        </is>
      </c>
      <c r="D1133" s="0" t="inlineStr">
        <is>
          <t>West</t>
        </is>
      </c>
      <c r="E1133" s="0" t="inlineStr">
        <is>
          <t>Mobile</t>
        </is>
      </c>
      <c r="F1133" s="0" t="inlineStr">
        <is>
          <t>Paid Search</t>
        </is>
      </c>
      <c r="G1133" s="0" t="inlineStr">
        <is>
          <t>Basic</t>
        </is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P1133" s="0" t="n">
        <v>62.9</v>
      </c>
    </row>
    <row r="1134">
      <c r="A1134" s="0" t="inlineStr">
        <is>
          <t>USR-101133</t>
        </is>
      </c>
      <c r="B1134" s="23" t="n">
        <v>45759</v>
      </c>
      <c r="C1134" s="0" t="inlineStr">
        <is>
          <t>Treatment</t>
        </is>
      </c>
      <c r="D1134" s="0" t="inlineStr">
        <is>
          <t>North</t>
        </is>
      </c>
      <c r="E1134" s="0" t="inlineStr">
        <is>
          <t>Desktop</t>
        </is>
      </c>
      <c r="F1134" s="0" t="inlineStr">
        <is>
          <t>Paid Search</t>
        </is>
      </c>
      <c r="G1134" s="0" t="inlineStr">
        <is>
          <t>Premium</t>
        </is>
      </c>
      <c r="H1134" s="0" t="n">
        <v>1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3</v>
      </c>
      <c r="N1134" s="0" t="n">
        <v>0</v>
      </c>
      <c r="P1134" s="0" t="n">
        <v>64.59999999999999</v>
      </c>
    </row>
    <row r="1135">
      <c r="A1135" s="0" t="inlineStr">
        <is>
          <t>USR-101134</t>
        </is>
      </c>
      <c r="B1135" s="23" t="n">
        <v>45765</v>
      </c>
      <c r="C1135" s="0" t="inlineStr">
        <is>
          <t>Treatment</t>
        </is>
      </c>
      <c r="D1135" s="0" t="inlineStr">
        <is>
          <t>North</t>
        </is>
      </c>
      <c r="E1135" s="0" t="inlineStr">
        <is>
          <t>Mobile</t>
        </is>
      </c>
      <c r="F1135" s="0" t="inlineStr">
        <is>
          <t>Unknown</t>
        </is>
      </c>
      <c r="G1135" s="0" t="inlineStr">
        <is>
          <t>Basic</t>
        </is>
      </c>
      <c r="H1135" s="0" t="n">
        <v>1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P1135" s="0" t="n">
        <v>76.59999999999999</v>
      </c>
    </row>
    <row r="1136">
      <c r="A1136" s="0" t="inlineStr">
        <is>
          <t>USR-101135</t>
        </is>
      </c>
      <c r="B1136" s="23" t="n">
        <v>45740</v>
      </c>
      <c r="C1136" s="0" t="inlineStr">
        <is>
          <t>Treatment</t>
        </is>
      </c>
      <c r="D1136" s="0" t="inlineStr">
        <is>
          <t>East</t>
        </is>
      </c>
      <c r="E1136" s="0" t="inlineStr">
        <is>
          <t>Mobile</t>
        </is>
      </c>
      <c r="F1136" s="0" t="inlineStr">
        <is>
          <t>Social</t>
        </is>
      </c>
      <c r="G1136" s="0" t="inlineStr">
        <is>
          <t>Basic</t>
        </is>
      </c>
      <c r="H1136" s="0" t="n">
        <v>1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P1136" s="0" t="n">
        <v>74.8</v>
      </c>
    </row>
    <row r="1137">
      <c r="A1137" s="0" t="inlineStr">
        <is>
          <t>USR-101136</t>
        </is>
      </c>
      <c r="B1137" s="23" t="n">
        <v>45734</v>
      </c>
      <c r="C1137" s="0" t="inlineStr">
        <is>
          <t>Treatment</t>
        </is>
      </c>
      <c r="D1137" s="0" t="inlineStr">
        <is>
          <t>East</t>
        </is>
      </c>
      <c r="E1137" s="0" t="inlineStr">
        <is>
          <t>Desktop</t>
        </is>
      </c>
      <c r="F1137" s="0" t="inlineStr">
        <is>
          <t>Email</t>
        </is>
      </c>
      <c r="G1137" s="0" t="inlineStr">
        <is>
          <t>Premium</t>
        </is>
      </c>
      <c r="H1137" s="0" t="n">
        <v>1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2</v>
      </c>
      <c r="N1137" s="0" t="n">
        <v>0</v>
      </c>
      <c r="P1137" s="0" t="n">
        <v>38.1</v>
      </c>
    </row>
    <row r="1138">
      <c r="A1138" s="0" t="inlineStr">
        <is>
          <t>USR-101137</t>
        </is>
      </c>
      <c r="B1138" s="23" t="n">
        <v>45777</v>
      </c>
      <c r="C1138" s="0" t="inlineStr">
        <is>
          <t>Treatment</t>
        </is>
      </c>
      <c r="D1138" s="0" t="inlineStr">
        <is>
          <t>South</t>
        </is>
      </c>
      <c r="E1138" s="0" t="inlineStr">
        <is>
          <t>Tablet</t>
        </is>
      </c>
      <c r="F1138" s="0" t="inlineStr">
        <is>
          <t>Paid Search</t>
        </is>
      </c>
      <c r="G1138" s="0" t="inlineStr">
        <is>
          <t>Basic</t>
        </is>
      </c>
      <c r="H1138" s="0" t="n">
        <v>1</v>
      </c>
      <c r="I1138" s="0" t="n">
        <v>1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P1138" s="0" t="n">
        <v>60.2</v>
      </c>
    </row>
    <row r="1139">
      <c r="A1139" s="0" t="inlineStr">
        <is>
          <t>USR-101138</t>
        </is>
      </c>
      <c r="B1139" s="23" t="n">
        <v>45682</v>
      </c>
      <c r="C1139" s="0" t="inlineStr">
        <is>
          <t>Treatment</t>
        </is>
      </c>
      <c r="D1139" s="0" t="inlineStr">
        <is>
          <t>West</t>
        </is>
      </c>
      <c r="E1139" s="0" t="inlineStr">
        <is>
          <t>Mobile</t>
        </is>
      </c>
      <c r="F1139" s="0" t="inlineStr">
        <is>
          <t>Email</t>
        </is>
      </c>
      <c r="G1139" s="0" t="inlineStr">
        <is>
          <t>Free</t>
        </is>
      </c>
      <c r="H1139" s="0" t="n">
        <v>1</v>
      </c>
      <c r="I1139" s="0" t="n">
        <v>1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P1139" s="0" t="n">
        <v>73.5</v>
      </c>
    </row>
    <row r="1140">
      <c r="A1140" s="0" t="inlineStr">
        <is>
          <t>USR-101139</t>
        </is>
      </c>
      <c r="B1140" s="23" t="n">
        <v>45757</v>
      </c>
      <c r="C1140" s="0" t="inlineStr">
        <is>
          <t>Treatment</t>
        </is>
      </c>
      <c r="D1140" s="0" t="inlineStr">
        <is>
          <t>South</t>
        </is>
      </c>
      <c r="E1140" s="0" t="inlineStr">
        <is>
          <t>Mobile</t>
        </is>
      </c>
      <c r="F1140" s="0" t="inlineStr">
        <is>
          <t>Organic</t>
        </is>
      </c>
      <c r="G1140" s="0" t="inlineStr">
        <is>
          <t>Free</t>
        </is>
      </c>
      <c r="H1140" s="0" t="n">
        <v>1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P1140" s="0" t="n">
        <v>70.90000000000001</v>
      </c>
    </row>
    <row r="1141">
      <c r="A1141" s="0" t="inlineStr">
        <is>
          <t>USR-101140</t>
        </is>
      </c>
      <c r="B1141" s="23" t="n">
        <v>45667</v>
      </c>
      <c r="C1141" s="0" t="inlineStr">
        <is>
          <t>Treatment</t>
        </is>
      </c>
      <c r="D1141" s="0" t="inlineStr">
        <is>
          <t>West</t>
        </is>
      </c>
      <c r="E1141" s="0" t="inlineStr">
        <is>
          <t>Mobile</t>
        </is>
      </c>
      <c r="F1141" s="0" t="inlineStr">
        <is>
          <t>Social</t>
        </is>
      </c>
      <c r="G1141" s="0" t="inlineStr">
        <is>
          <t>Free</t>
        </is>
      </c>
      <c r="H1141" s="0" t="n">
        <v>1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P1141" s="0" t="n">
        <v>63.7</v>
      </c>
    </row>
    <row r="1142">
      <c r="A1142" s="0" t="inlineStr">
        <is>
          <t>USR-101141</t>
        </is>
      </c>
      <c r="B1142" s="23" t="n">
        <v>45699</v>
      </c>
      <c r="C1142" s="0" t="inlineStr">
        <is>
          <t>Treatment</t>
        </is>
      </c>
      <c r="D1142" s="0" t="inlineStr">
        <is>
          <t>South</t>
        </is>
      </c>
      <c r="E1142" s="0" t="inlineStr">
        <is>
          <t>Mobile</t>
        </is>
      </c>
      <c r="F1142" s="0" t="inlineStr">
        <is>
          <t>Paid Search</t>
        </is>
      </c>
      <c r="G1142" s="0" t="inlineStr">
        <is>
          <t>Free</t>
        </is>
      </c>
      <c r="H1142" s="0" t="n">
        <v>1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P1142" s="0" t="n">
        <v>86.5</v>
      </c>
    </row>
    <row r="1143">
      <c r="A1143" s="0" t="inlineStr">
        <is>
          <t>USR-101142</t>
        </is>
      </c>
      <c r="B1143" s="23" t="n">
        <v>45778</v>
      </c>
      <c r="C1143" s="0" t="inlineStr">
        <is>
          <t>Treatment</t>
        </is>
      </c>
      <c r="D1143" s="0" t="inlineStr">
        <is>
          <t>East</t>
        </is>
      </c>
      <c r="E1143" s="0" t="inlineStr">
        <is>
          <t>Mobile</t>
        </is>
      </c>
      <c r="F1143" s="0" t="inlineStr">
        <is>
          <t>Social</t>
        </is>
      </c>
      <c r="G1143" s="0" t="inlineStr">
        <is>
          <t>Basic</t>
        </is>
      </c>
      <c r="H1143" s="0" t="n">
        <v>1</v>
      </c>
      <c r="I1143" s="0" t="n">
        <v>1</v>
      </c>
      <c r="J1143" s="0" t="n">
        <v>1</v>
      </c>
      <c r="K1143" s="0" t="n">
        <v>1</v>
      </c>
      <c r="L1143" s="0" t="n">
        <v>921.72</v>
      </c>
      <c r="M1143" s="0" t="n">
        <v>3</v>
      </c>
      <c r="N1143" s="0" t="n">
        <v>0</v>
      </c>
      <c r="O1143" s="0" t="n">
        <v>7</v>
      </c>
      <c r="P1143" s="0" t="n">
        <v>74.59999999999999</v>
      </c>
    </row>
    <row r="1144">
      <c r="A1144" s="0" t="inlineStr">
        <is>
          <t>USR-101143</t>
        </is>
      </c>
      <c r="B1144" s="23" t="n">
        <v>45675</v>
      </c>
      <c r="C1144" s="0" t="inlineStr">
        <is>
          <t>Treatment</t>
        </is>
      </c>
      <c r="D1144" s="0" t="inlineStr">
        <is>
          <t>East</t>
        </is>
      </c>
      <c r="E1144" s="0" t="inlineStr">
        <is>
          <t>Mobile</t>
        </is>
      </c>
      <c r="F1144" s="0" t="inlineStr">
        <is>
          <t>Organic</t>
        </is>
      </c>
      <c r="G1144" s="0" t="inlineStr">
        <is>
          <t>Free</t>
        </is>
      </c>
      <c r="H1144" s="0" t="n">
        <v>1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P1144" s="0" t="n">
        <v>46.6</v>
      </c>
    </row>
    <row r="1145">
      <c r="A1145" s="0" t="inlineStr">
        <is>
          <t>USR-101144</t>
        </is>
      </c>
      <c r="B1145" s="23" t="n">
        <v>45659</v>
      </c>
      <c r="C1145" s="0" t="inlineStr">
        <is>
          <t>Treatment</t>
        </is>
      </c>
      <c r="D1145" s="0" t="inlineStr">
        <is>
          <t>North</t>
        </is>
      </c>
      <c r="E1145" s="0" t="inlineStr">
        <is>
          <t>Mobile</t>
        </is>
      </c>
      <c r="F1145" s="0" t="inlineStr">
        <is>
          <t>Paid Search</t>
        </is>
      </c>
      <c r="G1145" s="0" t="inlineStr">
        <is>
          <t>Free</t>
        </is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P1145" s="0" t="n">
        <v>61.2</v>
      </c>
    </row>
    <row r="1146">
      <c r="A1146" s="0" t="inlineStr">
        <is>
          <t>USR-101145</t>
        </is>
      </c>
      <c r="B1146" s="23" t="n">
        <v>45788</v>
      </c>
      <c r="C1146" s="0" t="inlineStr">
        <is>
          <t>Treatment</t>
        </is>
      </c>
      <c r="D1146" s="0" t="inlineStr">
        <is>
          <t>West</t>
        </is>
      </c>
      <c r="E1146" s="0" t="inlineStr">
        <is>
          <t>Mobile</t>
        </is>
      </c>
      <c r="F1146" s="0" t="inlineStr">
        <is>
          <t>Organic</t>
        </is>
      </c>
      <c r="G1146" s="0" t="inlineStr">
        <is>
          <t>Free</t>
        </is>
      </c>
      <c r="H1146" s="0" t="n">
        <v>1</v>
      </c>
      <c r="I1146" s="0" t="n">
        <v>1</v>
      </c>
      <c r="J1146" s="0" t="n">
        <v>1</v>
      </c>
      <c r="K1146" s="0" t="n">
        <v>1</v>
      </c>
      <c r="L1146" s="0" t="n">
        <v>290.39</v>
      </c>
      <c r="M1146" s="0" t="n">
        <v>0</v>
      </c>
      <c r="N1146" s="0" t="n">
        <v>0</v>
      </c>
      <c r="O1146" s="0" t="n">
        <v>4</v>
      </c>
      <c r="P1146" s="0" t="n">
        <v>54.4</v>
      </c>
    </row>
    <row r="1147">
      <c r="A1147" s="0" t="inlineStr">
        <is>
          <t>USR-101146</t>
        </is>
      </c>
      <c r="B1147" s="23" t="n">
        <v>45738</v>
      </c>
      <c r="C1147" s="0" t="inlineStr">
        <is>
          <t>Treatment</t>
        </is>
      </c>
      <c r="D1147" s="0" t="inlineStr">
        <is>
          <t>North</t>
        </is>
      </c>
      <c r="E1147" s="0" t="inlineStr">
        <is>
          <t>Mobile</t>
        </is>
      </c>
      <c r="F1147" s="0" t="inlineStr">
        <is>
          <t>Referral</t>
        </is>
      </c>
      <c r="G1147" s="0" t="inlineStr">
        <is>
          <t>Free</t>
        </is>
      </c>
      <c r="H1147" s="0" t="n">
        <v>1</v>
      </c>
      <c r="I1147" s="0" t="n">
        <v>1</v>
      </c>
      <c r="J1147" s="0" t="n">
        <v>1</v>
      </c>
      <c r="K1147" s="0" t="n">
        <v>0</v>
      </c>
      <c r="L1147" s="0" t="n">
        <v>0</v>
      </c>
      <c r="M1147" s="0" t="n">
        <v>0</v>
      </c>
      <c r="N1147" s="0" t="n">
        <v>0</v>
      </c>
      <c r="P1147" s="0" t="n">
        <v>72</v>
      </c>
    </row>
    <row r="1148">
      <c r="A1148" s="0" t="inlineStr">
        <is>
          <t>USR-101147</t>
        </is>
      </c>
      <c r="B1148" s="23" t="n">
        <v>45779</v>
      </c>
      <c r="C1148" s="0" t="inlineStr">
        <is>
          <t>Treatment</t>
        </is>
      </c>
      <c r="D1148" s="0" t="inlineStr">
        <is>
          <t>South</t>
        </is>
      </c>
      <c r="E1148" s="0" t="inlineStr">
        <is>
          <t>Mobile</t>
        </is>
      </c>
      <c r="F1148" s="0" t="inlineStr">
        <is>
          <t>Social</t>
        </is>
      </c>
      <c r="G1148" s="0" t="inlineStr">
        <is>
          <t>Premium</t>
        </is>
      </c>
      <c r="H1148" s="0" t="n">
        <v>1</v>
      </c>
      <c r="I1148" s="0" t="n">
        <v>1</v>
      </c>
      <c r="J1148" s="0" t="n">
        <v>1</v>
      </c>
      <c r="K1148" s="0" t="n">
        <v>1</v>
      </c>
      <c r="L1148" s="0" t="n">
        <v>1858.85</v>
      </c>
      <c r="M1148" s="0" t="n">
        <v>0</v>
      </c>
      <c r="N1148" s="0" t="n">
        <v>0</v>
      </c>
      <c r="O1148" s="0" t="n">
        <v>8</v>
      </c>
      <c r="P1148" s="0" t="n">
        <v>88.59999999999999</v>
      </c>
    </row>
    <row r="1149">
      <c r="A1149" s="0" t="inlineStr">
        <is>
          <t>USR-101148</t>
        </is>
      </c>
      <c r="B1149" s="23" t="n">
        <v>45803</v>
      </c>
      <c r="C1149" s="0" t="inlineStr">
        <is>
          <t>Treatment</t>
        </is>
      </c>
      <c r="D1149" s="0" t="inlineStr">
        <is>
          <t>East</t>
        </is>
      </c>
      <c r="E1149" s="0" t="inlineStr">
        <is>
          <t>Desktop</t>
        </is>
      </c>
      <c r="F1149" s="0" t="inlineStr">
        <is>
          <t>Unknown</t>
        </is>
      </c>
      <c r="G1149" s="0" t="inlineStr">
        <is>
          <t>Basic</t>
        </is>
      </c>
      <c r="H1149" s="0" t="n">
        <v>1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P1149" s="0" t="n">
        <v>77.59999999999999</v>
      </c>
    </row>
    <row r="1150">
      <c r="A1150" s="0" t="inlineStr">
        <is>
          <t>USR-101149</t>
        </is>
      </c>
      <c r="B1150" s="23" t="n">
        <v>45729</v>
      </c>
      <c r="C1150" s="0" t="inlineStr">
        <is>
          <t>Treatment</t>
        </is>
      </c>
      <c r="D1150" s="0" t="inlineStr">
        <is>
          <t>South</t>
        </is>
      </c>
      <c r="E1150" s="0" t="inlineStr">
        <is>
          <t>Mobile</t>
        </is>
      </c>
      <c r="F1150" s="0" t="inlineStr">
        <is>
          <t>Organic</t>
        </is>
      </c>
      <c r="G1150" s="0" t="inlineStr">
        <is>
          <t>Basic</t>
        </is>
      </c>
      <c r="H1150" s="0" t="n">
        <v>1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1</v>
      </c>
      <c r="N1150" s="0" t="n">
        <v>0</v>
      </c>
      <c r="P1150" s="0" t="n">
        <v>44.3</v>
      </c>
    </row>
    <row r="1151">
      <c r="A1151" s="0" t="inlineStr">
        <is>
          <t>USR-101150</t>
        </is>
      </c>
      <c r="B1151" s="23" t="n">
        <v>45794</v>
      </c>
      <c r="C1151" s="0" t="inlineStr">
        <is>
          <t>Treatment</t>
        </is>
      </c>
      <c r="D1151" s="0" t="inlineStr">
        <is>
          <t>South</t>
        </is>
      </c>
      <c r="E1151" s="0" t="inlineStr">
        <is>
          <t>Desktop</t>
        </is>
      </c>
      <c r="F1151" s="0" t="inlineStr">
        <is>
          <t>Paid Search</t>
        </is>
      </c>
      <c r="G1151" s="0" t="inlineStr">
        <is>
          <t>Free</t>
        </is>
      </c>
      <c r="H1151" s="0" t="n">
        <v>1</v>
      </c>
      <c r="I1151" s="0" t="n">
        <v>1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P1151" s="0" t="n">
        <v>49</v>
      </c>
    </row>
    <row r="1152">
      <c r="A1152" s="0" t="inlineStr">
        <is>
          <t>USR-101151</t>
        </is>
      </c>
      <c r="B1152" s="23" t="n">
        <v>45729</v>
      </c>
      <c r="C1152" s="0" t="inlineStr">
        <is>
          <t>Treatment</t>
        </is>
      </c>
      <c r="D1152" s="0" t="inlineStr">
        <is>
          <t>North</t>
        </is>
      </c>
      <c r="E1152" s="0" t="inlineStr">
        <is>
          <t>Desktop</t>
        </is>
      </c>
      <c r="F1152" s="0" t="inlineStr">
        <is>
          <t>Referral</t>
        </is>
      </c>
      <c r="G1152" s="0" t="inlineStr">
        <is>
          <t>Premium</t>
        </is>
      </c>
      <c r="H1152" s="0" t="n">
        <v>1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P1152" s="0" t="n">
        <v>53.9</v>
      </c>
    </row>
    <row r="1153">
      <c r="A1153" s="0" t="inlineStr">
        <is>
          <t>USR-101152</t>
        </is>
      </c>
      <c r="B1153" s="23" t="n">
        <v>45699</v>
      </c>
      <c r="C1153" s="0" t="inlineStr">
        <is>
          <t>Treatment</t>
        </is>
      </c>
      <c r="D1153" s="0" t="inlineStr">
        <is>
          <t>East</t>
        </is>
      </c>
      <c r="E1153" s="0" t="inlineStr">
        <is>
          <t>Desktop</t>
        </is>
      </c>
      <c r="F1153" s="0" t="inlineStr">
        <is>
          <t>Organic</t>
        </is>
      </c>
      <c r="G1153" s="0" t="inlineStr">
        <is>
          <t>Basic</t>
        </is>
      </c>
      <c r="H1153" s="0" t="n">
        <v>1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1</v>
      </c>
      <c r="N1153" s="0" t="n">
        <v>0</v>
      </c>
      <c r="P1153" s="0" t="n">
        <v>69</v>
      </c>
    </row>
    <row r="1154">
      <c r="A1154" s="0" t="inlineStr">
        <is>
          <t>USR-101153</t>
        </is>
      </c>
      <c r="B1154" s="23" t="n">
        <v>45717</v>
      </c>
      <c r="C1154" s="0" t="inlineStr">
        <is>
          <t>Treatment</t>
        </is>
      </c>
      <c r="D1154" s="0" t="inlineStr">
        <is>
          <t>West</t>
        </is>
      </c>
      <c r="E1154" s="0" t="inlineStr">
        <is>
          <t>Mobile</t>
        </is>
      </c>
      <c r="F1154" s="0" t="inlineStr">
        <is>
          <t>Social</t>
        </is>
      </c>
      <c r="G1154" s="0" t="inlineStr">
        <is>
          <t>Free</t>
        </is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P1154" s="0" t="n">
        <v>37.4</v>
      </c>
    </row>
    <row r="1155">
      <c r="A1155" s="0" t="inlineStr">
        <is>
          <t>USR-101154</t>
        </is>
      </c>
      <c r="B1155" s="23" t="n">
        <v>45762</v>
      </c>
      <c r="C1155" s="0" t="inlineStr">
        <is>
          <t>Treatment</t>
        </is>
      </c>
      <c r="D1155" s="0" t="inlineStr">
        <is>
          <t>West</t>
        </is>
      </c>
      <c r="E1155" s="0" t="inlineStr">
        <is>
          <t>Mobile</t>
        </is>
      </c>
      <c r="F1155" s="0" t="inlineStr">
        <is>
          <t>Organic</t>
        </is>
      </c>
      <c r="G1155" s="0" t="inlineStr">
        <is>
          <t>Basic</t>
        </is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P1155" s="0" t="n">
        <v>59</v>
      </c>
    </row>
    <row r="1156">
      <c r="A1156" s="0" t="inlineStr">
        <is>
          <t>USR-101155</t>
        </is>
      </c>
      <c r="B1156" s="23" t="n">
        <v>45690</v>
      </c>
      <c r="C1156" s="0" t="inlineStr">
        <is>
          <t>Treatment</t>
        </is>
      </c>
      <c r="D1156" s="0" t="inlineStr">
        <is>
          <t>East</t>
        </is>
      </c>
      <c r="E1156" s="0" t="inlineStr">
        <is>
          <t>Mobile</t>
        </is>
      </c>
      <c r="F1156" s="0" t="inlineStr">
        <is>
          <t>Organic</t>
        </is>
      </c>
      <c r="G1156" s="0" t="inlineStr">
        <is>
          <t>Premium</t>
        </is>
      </c>
      <c r="H1156" s="0" t="n">
        <v>1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P1156" s="0" t="n">
        <v>60.8</v>
      </c>
    </row>
    <row r="1157">
      <c r="A1157" s="0" t="inlineStr">
        <is>
          <t>USR-101156</t>
        </is>
      </c>
      <c r="B1157" s="23" t="n">
        <v>45796</v>
      </c>
      <c r="C1157" s="0" t="inlineStr">
        <is>
          <t>Treatment</t>
        </is>
      </c>
      <c r="D1157" s="0" t="inlineStr">
        <is>
          <t>South</t>
        </is>
      </c>
      <c r="E1157" s="0" t="inlineStr">
        <is>
          <t>Mobile</t>
        </is>
      </c>
      <c r="F1157" s="0" t="inlineStr">
        <is>
          <t>Email</t>
        </is>
      </c>
      <c r="G1157" s="0" t="inlineStr">
        <is>
          <t>Free</t>
        </is>
      </c>
      <c r="H1157" s="0" t="n">
        <v>1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P1157" s="0" t="n">
        <v>57.5</v>
      </c>
    </row>
    <row r="1158">
      <c r="A1158" s="0" t="inlineStr">
        <is>
          <t>USR-101157</t>
        </is>
      </c>
      <c r="B1158" s="23" t="n">
        <v>45662</v>
      </c>
      <c r="C1158" s="0" t="inlineStr">
        <is>
          <t>Treatment</t>
        </is>
      </c>
      <c r="D1158" s="0" t="inlineStr">
        <is>
          <t>West</t>
        </is>
      </c>
      <c r="E1158" s="0" t="inlineStr">
        <is>
          <t>Mobile</t>
        </is>
      </c>
      <c r="F1158" s="0" t="inlineStr">
        <is>
          <t>Referral</t>
        </is>
      </c>
      <c r="G1158" s="0" t="inlineStr">
        <is>
          <t>Free</t>
        </is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P1158" s="0" t="n">
        <v>84.2</v>
      </c>
    </row>
    <row r="1159">
      <c r="A1159" s="0" t="inlineStr">
        <is>
          <t>USR-101158</t>
        </is>
      </c>
      <c r="B1159" s="23" t="n">
        <v>45724</v>
      </c>
      <c r="C1159" s="0" t="inlineStr">
        <is>
          <t>Treatment</t>
        </is>
      </c>
      <c r="D1159" s="0" t="inlineStr">
        <is>
          <t>South</t>
        </is>
      </c>
      <c r="E1159" s="0" t="inlineStr">
        <is>
          <t>Mobile</t>
        </is>
      </c>
      <c r="F1159" s="0" t="inlineStr">
        <is>
          <t>Paid Search</t>
        </is>
      </c>
      <c r="G1159" s="0" t="inlineStr">
        <is>
          <t>Free</t>
        </is>
      </c>
      <c r="H1159" s="0" t="n">
        <v>1</v>
      </c>
      <c r="I1159" s="0" t="n">
        <v>1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P1159" s="0" t="n">
        <v>27.4</v>
      </c>
    </row>
    <row r="1160">
      <c r="A1160" s="0" t="inlineStr">
        <is>
          <t>USR-101159</t>
        </is>
      </c>
      <c r="B1160" s="23" t="n">
        <v>45728</v>
      </c>
      <c r="C1160" s="0" t="inlineStr">
        <is>
          <t>Treatment</t>
        </is>
      </c>
      <c r="D1160" s="0" t="inlineStr">
        <is>
          <t>West</t>
        </is>
      </c>
      <c r="E1160" s="0" t="inlineStr">
        <is>
          <t>Mobile</t>
        </is>
      </c>
      <c r="F1160" s="0" t="inlineStr">
        <is>
          <t>Email</t>
        </is>
      </c>
      <c r="G1160" s="0" t="inlineStr">
        <is>
          <t>Basic</t>
        </is>
      </c>
      <c r="H1160" s="0" t="n">
        <v>1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1</v>
      </c>
      <c r="N1160" s="0" t="n">
        <v>0</v>
      </c>
      <c r="P1160" s="0" t="n">
        <v>67.59999999999999</v>
      </c>
    </row>
    <row r="1161">
      <c r="A1161" s="0" t="inlineStr">
        <is>
          <t>USR-101160</t>
        </is>
      </c>
      <c r="B1161" s="23" t="n">
        <v>45681</v>
      </c>
      <c r="C1161" s="0" t="inlineStr">
        <is>
          <t>Treatment</t>
        </is>
      </c>
      <c r="D1161" s="0" t="inlineStr">
        <is>
          <t>West</t>
        </is>
      </c>
      <c r="E1161" s="0" t="inlineStr">
        <is>
          <t>Mobile</t>
        </is>
      </c>
      <c r="F1161" s="0" t="inlineStr">
        <is>
          <t>Organic</t>
        </is>
      </c>
      <c r="G1161" s="0" t="inlineStr">
        <is>
          <t>Free</t>
        </is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P1161" s="0" t="n">
        <v>68.40000000000001</v>
      </c>
    </row>
    <row r="1162">
      <c r="A1162" s="0" t="inlineStr">
        <is>
          <t>USR-101161</t>
        </is>
      </c>
      <c r="B1162" s="23" t="n">
        <v>45799</v>
      </c>
      <c r="C1162" s="0" t="inlineStr">
        <is>
          <t>Treatment</t>
        </is>
      </c>
      <c r="D1162" s="0" t="inlineStr">
        <is>
          <t>South</t>
        </is>
      </c>
      <c r="E1162" s="0" t="inlineStr">
        <is>
          <t>Mobile</t>
        </is>
      </c>
      <c r="F1162" s="0" t="inlineStr">
        <is>
          <t>Paid Search</t>
        </is>
      </c>
      <c r="G1162" s="0" t="inlineStr">
        <is>
          <t>Basic</t>
        </is>
      </c>
      <c r="H1162" s="0" t="n">
        <v>1</v>
      </c>
      <c r="I1162" s="0" t="n">
        <v>1</v>
      </c>
      <c r="J1162" s="0" t="n">
        <v>1</v>
      </c>
      <c r="K1162" s="0" t="n">
        <v>0</v>
      </c>
      <c r="L1162" s="0" t="n">
        <v>0</v>
      </c>
      <c r="M1162" s="0" t="n">
        <v>0</v>
      </c>
      <c r="N1162" s="0" t="n">
        <v>0</v>
      </c>
      <c r="P1162" s="0" t="n">
        <v>66.5</v>
      </c>
    </row>
    <row r="1163">
      <c r="A1163" s="0" t="inlineStr">
        <is>
          <t>USR-101162</t>
        </is>
      </c>
      <c r="B1163" s="23" t="n">
        <v>45743</v>
      </c>
      <c r="C1163" s="0" t="inlineStr">
        <is>
          <t>Treatment</t>
        </is>
      </c>
      <c r="D1163" s="0" t="inlineStr">
        <is>
          <t>South</t>
        </is>
      </c>
      <c r="E1163" s="0" t="inlineStr">
        <is>
          <t>Mobile</t>
        </is>
      </c>
      <c r="F1163" s="0" t="inlineStr">
        <is>
          <t>Paid Search</t>
        </is>
      </c>
      <c r="G1163" s="0" t="inlineStr">
        <is>
          <t>Free</t>
        </is>
      </c>
      <c r="H1163" s="0" t="n">
        <v>1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P1163" s="0" t="n">
        <v>38.2</v>
      </c>
    </row>
    <row r="1164">
      <c r="A1164" s="0" t="inlineStr">
        <is>
          <t>USR-101163</t>
        </is>
      </c>
      <c r="B1164" s="23" t="n">
        <v>45659</v>
      </c>
      <c r="C1164" s="0" t="inlineStr">
        <is>
          <t>Treatment</t>
        </is>
      </c>
      <c r="D1164" s="0" t="inlineStr">
        <is>
          <t>West</t>
        </is>
      </c>
      <c r="E1164" s="0" t="inlineStr">
        <is>
          <t>Mobile</t>
        </is>
      </c>
      <c r="F1164" s="0" t="inlineStr">
        <is>
          <t>Social</t>
        </is>
      </c>
      <c r="G1164" s="0" t="inlineStr">
        <is>
          <t>Free</t>
        </is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0</v>
      </c>
      <c r="P1164" s="0" t="n">
        <v>66.7</v>
      </c>
    </row>
    <row r="1165">
      <c r="A1165" s="0" t="inlineStr">
        <is>
          <t>USR-101164</t>
        </is>
      </c>
      <c r="B1165" s="23" t="n">
        <v>45712</v>
      </c>
      <c r="C1165" s="0" t="inlineStr">
        <is>
          <t>Treatment</t>
        </is>
      </c>
      <c r="D1165" s="0" t="inlineStr">
        <is>
          <t>North</t>
        </is>
      </c>
      <c r="E1165" s="0" t="inlineStr">
        <is>
          <t>Mobile</t>
        </is>
      </c>
      <c r="F1165" s="0" t="inlineStr">
        <is>
          <t>Paid Search</t>
        </is>
      </c>
      <c r="G1165" s="0" t="inlineStr">
        <is>
          <t>Free</t>
        </is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0</v>
      </c>
      <c r="P1165" s="0" t="n">
        <v>73.7</v>
      </c>
    </row>
    <row r="1166">
      <c r="A1166" s="0" t="inlineStr">
        <is>
          <t>USR-101165</t>
        </is>
      </c>
      <c r="B1166" s="23" t="n">
        <v>45717</v>
      </c>
      <c r="C1166" s="0" t="inlineStr">
        <is>
          <t>Treatment</t>
        </is>
      </c>
      <c r="D1166" s="0" t="inlineStr">
        <is>
          <t>West</t>
        </is>
      </c>
      <c r="E1166" s="0" t="inlineStr">
        <is>
          <t>Desktop</t>
        </is>
      </c>
      <c r="F1166" s="0" t="inlineStr">
        <is>
          <t>Organic</t>
        </is>
      </c>
      <c r="G1166" s="0" t="inlineStr">
        <is>
          <t>Basic</t>
        </is>
      </c>
      <c r="H1166" s="0" t="n">
        <v>1</v>
      </c>
      <c r="I1166" s="0" t="n">
        <v>1</v>
      </c>
      <c r="J1166" s="0" t="n">
        <v>1</v>
      </c>
      <c r="K1166" s="0" t="n">
        <v>0</v>
      </c>
      <c r="L1166" s="0" t="n">
        <v>0</v>
      </c>
      <c r="M1166" s="0" t="n">
        <v>0</v>
      </c>
      <c r="N1166" s="0" t="n">
        <v>0</v>
      </c>
      <c r="P1166" s="0" t="n">
        <v>63.9</v>
      </c>
    </row>
    <row r="1167">
      <c r="A1167" s="0" t="inlineStr">
        <is>
          <t>USR-101166</t>
        </is>
      </c>
      <c r="B1167" s="23" t="n">
        <v>45742</v>
      </c>
      <c r="C1167" s="0" t="inlineStr">
        <is>
          <t>Treatment</t>
        </is>
      </c>
      <c r="D1167" s="0" t="inlineStr">
        <is>
          <t>South</t>
        </is>
      </c>
      <c r="E1167" s="0" t="inlineStr">
        <is>
          <t>Tablet</t>
        </is>
      </c>
      <c r="F1167" s="0" t="inlineStr">
        <is>
          <t>Organic</t>
        </is>
      </c>
      <c r="G1167" s="0" t="inlineStr">
        <is>
          <t>Basic</t>
        </is>
      </c>
      <c r="H1167" s="0" t="n">
        <v>1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0</v>
      </c>
      <c r="P1167" s="0" t="n">
        <v>82.59999999999999</v>
      </c>
    </row>
    <row r="1168">
      <c r="A1168" s="0" t="inlineStr">
        <is>
          <t>USR-101167</t>
        </is>
      </c>
      <c r="B1168" s="23" t="n">
        <v>45802</v>
      </c>
      <c r="C1168" s="0" t="inlineStr">
        <is>
          <t>Treatment</t>
        </is>
      </c>
      <c r="D1168" s="0" t="inlineStr">
        <is>
          <t>East</t>
        </is>
      </c>
      <c r="E1168" s="0" t="inlineStr">
        <is>
          <t>Mobile</t>
        </is>
      </c>
      <c r="F1168" s="0" t="inlineStr">
        <is>
          <t>Paid Search</t>
        </is>
      </c>
      <c r="G1168" s="0" t="inlineStr">
        <is>
          <t>Free</t>
        </is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0</v>
      </c>
      <c r="P1168" s="0" t="n">
        <v>58.3</v>
      </c>
    </row>
    <row r="1169">
      <c r="A1169" s="0" t="inlineStr">
        <is>
          <t>USR-101168</t>
        </is>
      </c>
      <c r="B1169" s="23" t="n">
        <v>45713</v>
      </c>
      <c r="C1169" s="0" t="inlineStr">
        <is>
          <t>Treatment</t>
        </is>
      </c>
      <c r="D1169" s="0" t="inlineStr">
        <is>
          <t>West</t>
        </is>
      </c>
      <c r="E1169" s="0" t="inlineStr">
        <is>
          <t>Mobile</t>
        </is>
      </c>
      <c r="F1169" s="0" t="inlineStr">
        <is>
          <t>Referral</t>
        </is>
      </c>
      <c r="G1169" s="0" t="inlineStr">
        <is>
          <t>Premium</t>
        </is>
      </c>
      <c r="H1169" s="0" t="n">
        <v>1</v>
      </c>
      <c r="I1169" s="0" t="n">
        <v>1</v>
      </c>
      <c r="J1169" s="0" t="n">
        <v>1</v>
      </c>
      <c r="K1169" s="0" t="n">
        <v>1</v>
      </c>
      <c r="L1169" s="0" t="n">
        <v>1547.06</v>
      </c>
      <c r="M1169" s="0" t="n">
        <v>0</v>
      </c>
      <c r="N1169" s="0" t="n">
        <v>1</v>
      </c>
      <c r="O1169" s="0" t="n">
        <v>2</v>
      </c>
      <c r="P1169" s="0" t="n">
        <v>72.90000000000001</v>
      </c>
    </row>
    <row r="1170">
      <c r="A1170" s="0" t="inlineStr">
        <is>
          <t>USR-101169</t>
        </is>
      </c>
      <c r="B1170" s="23" t="n">
        <v>45739</v>
      </c>
      <c r="C1170" s="0" t="inlineStr">
        <is>
          <t>Treatment</t>
        </is>
      </c>
      <c r="D1170" s="0" t="inlineStr">
        <is>
          <t>South</t>
        </is>
      </c>
      <c r="E1170" s="0" t="inlineStr">
        <is>
          <t>Mobile</t>
        </is>
      </c>
      <c r="F1170" s="0" t="inlineStr">
        <is>
          <t>Social</t>
        </is>
      </c>
      <c r="G1170" s="0" t="inlineStr">
        <is>
          <t>Free</t>
        </is>
      </c>
      <c r="H1170" s="0" t="n">
        <v>1</v>
      </c>
      <c r="I1170" s="0" t="n">
        <v>1</v>
      </c>
      <c r="J1170" s="0" t="n">
        <v>1</v>
      </c>
      <c r="K1170" s="0" t="n">
        <v>0</v>
      </c>
      <c r="L1170" s="0" t="n">
        <v>0</v>
      </c>
      <c r="M1170" s="0" t="n">
        <v>2</v>
      </c>
      <c r="N1170" s="0" t="n">
        <v>0</v>
      </c>
      <c r="P1170" s="0" t="n">
        <v>53.5</v>
      </c>
    </row>
    <row r="1171">
      <c r="A1171" s="0" t="inlineStr">
        <is>
          <t>USR-101170</t>
        </is>
      </c>
      <c r="B1171" s="23" t="n">
        <v>45768</v>
      </c>
      <c r="C1171" s="0" t="inlineStr">
        <is>
          <t>Treatment</t>
        </is>
      </c>
      <c r="D1171" s="0" t="inlineStr">
        <is>
          <t>West</t>
        </is>
      </c>
      <c r="E1171" s="0" t="inlineStr">
        <is>
          <t>Mobile</t>
        </is>
      </c>
      <c r="F1171" s="0" t="inlineStr">
        <is>
          <t>Referral</t>
        </is>
      </c>
      <c r="G1171" s="0" t="inlineStr">
        <is>
          <t>Free</t>
        </is>
      </c>
      <c r="H1171" s="0" t="n">
        <v>1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P1171" s="0" t="n">
        <v>54.8</v>
      </c>
    </row>
    <row r="1172">
      <c r="A1172" s="0" t="inlineStr">
        <is>
          <t>USR-101171</t>
        </is>
      </c>
      <c r="B1172" s="23" t="n">
        <v>45798</v>
      </c>
      <c r="C1172" s="0" t="inlineStr">
        <is>
          <t>Treatment</t>
        </is>
      </c>
      <c r="D1172" s="0" t="inlineStr">
        <is>
          <t>North</t>
        </is>
      </c>
      <c r="E1172" s="0" t="inlineStr">
        <is>
          <t>Mobile</t>
        </is>
      </c>
      <c r="F1172" s="0" t="inlineStr">
        <is>
          <t>Organic</t>
        </is>
      </c>
      <c r="G1172" s="0" t="inlineStr">
        <is>
          <t>Premium</t>
        </is>
      </c>
      <c r="H1172" s="0" t="n">
        <v>1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P1172" s="0" t="n">
        <v>69.5</v>
      </c>
    </row>
    <row r="1173">
      <c r="A1173" s="0" t="inlineStr">
        <is>
          <t>USR-101172</t>
        </is>
      </c>
      <c r="B1173" s="23" t="n">
        <v>45772</v>
      </c>
      <c r="C1173" s="0" t="inlineStr">
        <is>
          <t>Treatment</t>
        </is>
      </c>
      <c r="D1173" s="0" t="inlineStr">
        <is>
          <t>North</t>
        </is>
      </c>
      <c r="E1173" s="0" t="inlineStr">
        <is>
          <t>Desktop</t>
        </is>
      </c>
      <c r="F1173" s="0" t="inlineStr">
        <is>
          <t>Social</t>
        </is>
      </c>
      <c r="G1173" s="0" t="inlineStr">
        <is>
          <t>Free</t>
        </is>
      </c>
      <c r="H1173" s="0" t="n">
        <v>1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1</v>
      </c>
      <c r="N1173" s="0" t="n">
        <v>0</v>
      </c>
      <c r="P1173" s="0" t="n">
        <v>71.3</v>
      </c>
    </row>
    <row r="1174">
      <c r="A1174" s="0" t="inlineStr">
        <is>
          <t>USR-101173</t>
        </is>
      </c>
      <c r="B1174" s="23" t="n">
        <v>45800</v>
      </c>
      <c r="C1174" s="0" t="inlineStr">
        <is>
          <t>Treatment</t>
        </is>
      </c>
      <c r="D1174" s="0" t="inlineStr">
        <is>
          <t>West</t>
        </is>
      </c>
      <c r="E1174" s="0" t="inlineStr">
        <is>
          <t>Mobile</t>
        </is>
      </c>
      <c r="F1174" s="0" t="inlineStr">
        <is>
          <t>Referral</t>
        </is>
      </c>
      <c r="G1174" s="0" t="inlineStr">
        <is>
          <t>Basic</t>
        </is>
      </c>
      <c r="H1174" s="0" t="n">
        <v>1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1</v>
      </c>
      <c r="N1174" s="0" t="n">
        <v>0</v>
      </c>
      <c r="P1174" s="0" t="n">
        <v>57.5</v>
      </c>
    </row>
    <row r="1175">
      <c r="A1175" s="0" t="inlineStr">
        <is>
          <t>USR-101174</t>
        </is>
      </c>
      <c r="B1175" s="23" t="n">
        <v>45734</v>
      </c>
      <c r="C1175" s="0" t="inlineStr">
        <is>
          <t>Treatment</t>
        </is>
      </c>
      <c r="D1175" s="0" t="inlineStr">
        <is>
          <t>South</t>
        </is>
      </c>
      <c r="E1175" s="0" t="inlineStr">
        <is>
          <t>Mobile</t>
        </is>
      </c>
      <c r="F1175" s="0" t="inlineStr">
        <is>
          <t>Email</t>
        </is>
      </c>
      <c r="G1175" s="0" t="inlineStr">
        <is>
          <t>Free</t>
        </is>
      </c>
      <c r="H1175" s="0" t="n">
        <v>1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4</v>
      </c>
      <c r="N1175" s="0" t="n">
        <v>0</v>
      </c>
      <c r="P1175" s="0" t="n">
        <v>50.9</v>
      </c>
    </row>
    <row r="1176">
      <c r="A1176" s="0" t="inlineStr">
        <is>
          <t>USR-101175</t>
        </is>
      </c>
      <c r="B1176" s="23" t="n">
        <v>45660</v>
      </c>
      <c r="C1176" s="0" t="inlineStr">
        <is>
          <t>Treatment</t>
        </is>
      </c>
      <c r="D1176" s="0" t="inlineStr">
        <is>
          <t>South</t>
        </is>
      </c>
      <c r="E1176" s="0" t="inlineStr">
        <is>
          <t>Tablet</t>
        </is>
      </c>
      <c r="F1176" s="0" t="inlineStr">
        <is>
          <t>Organic</t>
        </is>
      </c>
      <c r="G1176" s="0" t="inlineStr">
        <is>
          <t>Free</t>
        </is>
      </c>
      <c r="H1176" s="0" t="n">
        <v>1</v>
      </c>
      <c r="I1176" s="0" t="n">
        <v>1</v>
      </c>
      <c r="J1176" s="0" t="n">
        <v>1</v>
      </c>
      <c r="K1176" s="0" t="n">
        <v>0</v>
      </c>
      <c r="L1176" s="0" t="n">
        <v>0</v>
      </c>
      <c r="M1176" s="0" t="n">
        <v>0</v>
      </c>
      <c r="N1176" s="0" t="n">
        <v>0</v>
      </c>
      <c r="P1176" s="0" t="n">
        <v>69.3</v>
      </c>
    </row>
    <row r="1177">
      <c r="A1177" s="0" t="inlineStr">
        <is>
          <t>USR-101176</t>
        </is>
      </c>
      <c r="B1177" s="23" t="n">
        <v>45696</v>
      </c>
      <c r="C1177" s="0" t="inlineStr">
        <is>
          <t>Treatment</t>
        </is>
      </c>
      <c r="D1177" s="0" t="inlineStr">
        <is>
          <t>West</t>
        </is>
      </c>
      <c r="E1177" s="0" t="inlineStr">
        <is>
          <t>Desktop</t>
        </is>
      </c>
      <c r="F1177" s="0" t="inlineStr">
        <is>
          <t>Organic</t>
        </is>
      </c>
      <c r="G1177" s="0" t="inlineStr">
        <is>
          <t>Free</t>
        </is>
      </c>
      <c r="H1177" s="0" t="n">
        <v>1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P1177" s="0" t="n">
        <v>50.1</v>
      </c>
    </row>
    <row r="1178">
      <c r="A1178" s="0" t="inlineStr">
        <is>
          <t>USR-101177</t>
        </is>
      </c>
      <c r="B1178" s="23" t="n">
        <v>45692</v>
      </c>
      <c r="C1178" s="0" t="inlineStr">
        <is>
          <t>Treatment</t>
        </is>
      </c>
      <c r="D1178" s="0" t="inlineStr">
        <is>
          <t>East</t>
        </is>
      </c>
      <c r="E1178" s="0" t="inlineStr">
        <is>
          <t>Unknown</t>
        </is>
      </c>
      <c r="F1178" s="0" t="inlineStr">
        <is>
          <t>Paid Search</t>
        </is>
      </c>
      <c r="G1178" s="0" t="inlineStr">
        <is>
          <t>Basic</t>
        </is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P1178" s="0" t="n">
        <v>69.7</v>
      </c>
    </row>
    <row r="1179">
      <c r="A1179" s="0" t="inlineStr">
        <is>
          <t>USR-101178</t>
        </is>
      </c>
      <c r="B1179" s="23" t="n">
        <v>45673</v>
      </c>
      <c r="C1179" s="0" t="inlineStr">
        <is>
          <t>Treatment</t>
        </is>
      </c>
      <c r="D1179" s="0" t="inlineStr">
        <is>
          <t>North</t>
        </is>
      </c>
      <c r="E1179" s="0" t="inlineStr">
        <is>
          <t>Mobile</t>
        </is>
      </c>
      <c r="F1179" s="0" t="inlineStr">
        <is>
          <t>Paid Search</t>
        </is>
      </c>
      <c r="G1179" s="0" t="inlineStr">
        <is>
          <t>Free</t>
        </is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P1179" s="0" t="n">
        <v>63.5</v>
      </c>
    </row>
    <row r="1180">
      <c r="A1180" s="0" t="inlineStr">
        <is>
          <t>USR-101179</t>
        </is>
      </c>
      <c r="B1180" s="23" t="n">
        <v>45751</v>
      </c>
      <c r="C1180" s="0" t="inlineStr">
        <is>
          <t>Treatment</t>
        </is>
      </c>
      <c r="D1180" s="0" t="inlineStr">
        <is>
          <t>West</t>
        </is>
      </c>
      <c r="E1180" s="0" t="inlineStr">
        <is>
          <t>Desktop</t>
        </is>
      </c>
      <c r="F1180" s="0" t="inlineStr">
        <is>
          <t>Paid Search</t>
        </is>
      </c>
      <c r="G1180" s="0" t="inlineStr">
        <is>
          <t>Free</t>
        </is>
      </c>
      <c r="H1180" s="0" t="n">
        <v>1</v>
      </c>
      <c r="I1180" s="0" t="n">
        <v>1</v>
      </c>
      <c r="J1180" s="0" t="n">
        <v>1</v>
      </c>
      <c r="K1180" s="0" t="n">
        <v>1</v>
      </c>
      <c r="L1180" s="0" t="n">
        <v>265.59</v>
      </c>
      <c r="M1180" s="0" t="n">
        <v>1</v>
      </c>
      <c r="N1180" s="0" t="n">
        <v>0</v>
      </c>
      <c r="O1180" s="0" t="n">
        <v>8</v>
      </c>
      <c r="P1180" s="0" t="n">
        <v>80.40000000000001</v>
      </c>
    </row>
    <row r="1181">
      <c r="A1181" s="0" t="inlineStr">
        <is>
          <t>USR-101180</t>
        </is>
      </c>
      <c r="B1181" s="23" t="n">
        <v>45680</v>
      </c>
      <c r="C1181" s="0" t="inlineStr">
        <is>
          <t>Treatment</t>
        </is>
      </c>
      <c r="D1181" s="0" t="inlineStr">
        <is>
          <t>North</t>
        </is>
      </c>
      <c r="E1181" s="0" t="inlineStr">
        <is>
          <t>Desktop</t>
        </is>
      </c>
      <c r="F1181" s="0" t="inlineStr">
        <is>
          <t>Paid Search</t>
        </is>
      </c>
      <c r="G1181" s="0" t="inlineStr">
        <is>
          <t>Free</t>
        </is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P1181" s="0" t="n">
        <v>58.9</v>
      </c>
    </row>
    <row r="1182">
      <c r="A1182" s="0" t="inlineStr">
        <is>
          <t>USR-101181</t>
        </is>
      </c>
      <c r="B1182" s="23" t="n">
        <v>45738</v>
      </c>
      <c r="C1182" s="0" t="inlineStr">
        <is>
          <t>Treatment</t>
        </is>
      </c>
      <c r="D1182" s="0" t="inlineStr">
        <is>
          <t>South</t>
        </is>
      </c>
      <c r="E1182" s="0" t="inlineStr">
        <is>
          <t>Desktop</t>
        </is>
      </c>
      <c r="F1182" s="0" t="inlineStr">
        <is>
          <t>Paid Search</t>
        </is>
      </c>
      <c r="G1182" s="0" t="inlineStr">
        <is>
          <t>Free</t>
        </is>
      </c>
      <c r="H1182" s="0" t="n">
        <v>1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P1182" s="0" t="n">
        <v>56.8</v>
      </c>
    </row>
    <row r="1183">
      <c r="A1183" s="0" t="inlineStr">
        <is>
          <t>USR-101182</t>
        </is>
      </c>
      <c r="B1183" s="23" t="n">
        <v>45690</v>
      </c>
      <c r="C1183" s="0" t="inlineStr">
        <is>
          <t>Treatment</t>
        </is>
      </c>
      <c r="D1183" s="0" t="inlineStr">
        <is>
          <t>East</t>
        </is>
      </c>
      <c r="E1183" s="0" t="inlineStr">
        <is>
          <t>Tablet</t>
        </is>
      </c>
      <c r="F1183" s="0" t="inlineStr">
        <is>
          <t>Social</t>
        </is>
      </c>
      <c r="G1183" s="0" t="inlineStr">
        <is>
          <t>Premium</t>
        </is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P1183" s="0" t="n">
        <v>73.90000000000001</v>
      </c>
    </row>
    <row r="1184">
      <c r="A1184" s="0" t="inlineStr">
        <is>
          <t>USR-101183</t>
        </is>
      </c>
      <c r="B1184" s="23" t="n">
        <v>45688</v>
      </c>
      <c r="C1184" s="0" t="inlineStr">
        <is>
          <t>Treatment</t>
        </is>
      </c>
      <c r="D1184" s="0" t="inlineStr">
        <is>
          <t>North</t>
        </is>
      </c>
      <c r="E1184" s="0" t="inlineStr">
        <is>
          <t>Desktop</t>
        </is>
      </c>
      <c r="F1184" s="0" t="inlineStr">
        <is>
          <t>Paid Search</t>
        </is>
      </c>
      <c r="G1184" s="0" t="inlineStr">
        <is>
          <t>Free</t>
        </is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P1184" s="0" t="n">
        <v>76.3</v>
      </c>
    </row>
    <row r="1185">
      <c r="A1185" s="0" t="inlineStr">
        <is>
          <t>USR-101184</t>
        </is>
      </c>
      <c r="B1185" s="23" t="n">
        <v>45804</v>
      </c>
      <c r="C1185" s="0" t="inlineStr">
        <is>
          <t>Treatment</t>
        </is>
      </c>
      <c r="D1185" s="0" t="inlineStr">
        <is>
          <t>West</t>
        </is>
      </c>
      <c r="E1185" s="0" t="inlineStr">
        <is>
          <t>Mobile</t>
        </is>
      </c>
      <c r="F1185" s="0" t="inlineStr">
        <is>
          <t>Organic</t>
        </is>
      </c>
      <c r="G1185" s="0" t="inlineStr">
        <is>
          <t>Basic</t>
        </is>
      </c>
      <c r="H1185" s="0" t="n">
        <v>1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P1185" s="0" t="n">
        <v>56.9</v>
      </c>
    </row>
    <row r="1186">
      <c r="A1186" s="0" t="inlineStr">
        <is>
          <t>USR-101185</t>
        </is>
      </c>
      <c r="B1186" s="23" t="n">
        <v>45784</v>
      </c>
      <c r="C1186" s="0" t="inlineStr">
        <is>
          <t>Treatment</t>
        </is>
      </c>
      <c r="D1186" s="0" t="inlineStr">
        <is>
          <t>North</t>
        </is>
      </c>
      <c r="E1186" s="0" t="inlineStr">
        <is>
          <t>Mobile</t>
        </is>
      </c>
      <c r="F1186" s="0" t="inlineStr">
        <is>
          <t>Organic</t>
        </is>
      </c>
      <c r="G1186" s="0" t="inlineStr">
        <is>
          <t>Premium</t>
        </is>
      </c>
      <c r="H1186" s="0" t="n">
        <v>1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2</v>
      </c>
      <c r="N1186" s="0" t="n">
        <v>0</v>
      </c>
      <c r="P1186" s="0" t="n">
        <v>49.4</v>
      </c>
    </row>
    <row r="1187">
      <c r="A1187" s="0" t="inlineStr">
        <is>
          <t>USR-101186</t>
        </is>
      </c>
      <c r="B1187" s="23" t="n">
        <v>45785</v>
      </c>
      <c r="C1187" s="0" t="inlineStr">
        <is>
          <t>Treatment</t>
        </is>
      </c>
      <c r="D1187" s="0" t="inlineStr">
        <is>
          <t>North</t>
        </is>
      </c>
      <c r="E1187" s="0" t="inlineStr">
        <is>
          <t>Desktop</t>
        </is>
      </c>
      <c r="F1187" s="0" t="inlineStr">
        <is>
          <t>Paid Search</t>
        </is>
      </c>
      <c r="G1187" s="0" t="inlineStr">
        <is>
          <t>Basic</t>
        </is>
      </c>
      <c r="H1187" s="0" t="n">
        <v>1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P1187" s="0" t="n">
        <v>86.7</v>
      </c>
    </row>
    <row r="1188">
      <c r="A1188" s="0" t="inlineStr">
        <is>
          <t>USR-101187</t>
        </is>
      </c>
      <c r="B1188" s="23" t="n">
        <v>45672</v>
      </c>
      <c r="C1188" s="0" t="inlineStr">
        <is>
          <t>Treatment</t>
        </is>
      </c>
      <c r="D1188" s="0" t="inlineStr">
        <is>
          <t>West</t>
        </is>
      </c>
      <c r="E1188" s="0" t="inlineStr">
        <is>
          <t>Desktop</t>
        </is>
      </c>
      <c r="F1188" s="0" t="inlineStr">
        <is>
          <t>Email</t>
        </is>
      </c>
      <c r="G1188" s="0" t="inlineStr">
        <is>
          <t>Free</t>
        </is>
      </c>
      <c r="H1188" s="0" t="n">
        <v>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3</v>
      </c>
      <c r="N1188" s="0" t="n">
        <v>0</v>
      </c>
      <c r="P1188" s="0" t="n">
        <v>69</v>
      </c>
    </row>
    <row r="1189">
      <c r="A1189" s="0" t="inlineStr">
        <is>
          <t>USR-101188</t>
        </is>
      </c>
      <c r="B1189" s="23" t="n">
        <v>45675</v>
      </c>
      <c r="C1189" s="0" t="inlineStr">
        <is>
          <t>Treatment</t>
        </is>
      </c>
      <c r="D1189" s="0" t="inlineStr">
        <is>
          <t>North</t>
        </is>
      </c>
      <c r="E1189" s="0" t="inlineStr">
        <is>
          <t>Mobile</t>
        </is>
      </c>
      <c r="F1189" s="0" t="inlineStr">
        <is>
          <t>Paid Search</t>
        </is>
      </c>
      <c r="G1189" s="0" t="inlineStr">
        <is>
          <t>Free</t>
        </is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P1189" s="0" t="n">
        <v>84.5</v>
      </c>
    </row>
    <row r="1190">
      <c r="A1190" s="0" t="inlineStr">
        <is>
          <t>USR-101189</t>
        </is>
      </c>
      <c r="B1190" s="23" t="n">
        <v>45763</v>
      </c>
      <c r="C1190" s="0" t="inlineStr">
        <is>
          <t>Treatment</t>
        </is>
      </c>
      <c r="D1190" s="0" t="inlineStr">
        <is>
          <t>East</t>
        </is>
      </c>
      <c r="E1190" s="0" t="inlineStr">
        <is>
          <t>Unknown</t>
        </is>
      </c>
      <c r="F1190" s="0" t="inlineStr">
        <is>
          <t>Referral</t>
        </is>
      </c>
      <c r="G1190" s="0" t="inlineStr">
        <is>
          <t>Free</t>
        </is>
      </c>
      <c r="H1190" s="0" t="n">
        <v>1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P1190" s="0" t="n">
        <v>66.3</v>
      </c>
    </row>
    <row r="1191">
      <c r="A1191" s="0" t="inlineStr">
        <is>
          <t>USR-101190</t>
        </is>
      </c>
      <c r="B1191" s="23" t="n">
        <v>45704</v>
      </c>
      <c r="C1191" s="0" t="inlineStr">
        <is>
          <t>Treatment</t>
        </is>
      </c>
      <c r="D1191" s="0" t="inlineStr">
        <is>
          <t>East</t>
        </is>
      </c>
      <c r="E1191" s="0" t="inlineStr">
        <is>
          <t>Desktop</t>
        </is>
      </c>
      <c r="F1191" s="0" t="inlineStr">
        <is>
          <t>Paid Search</t>
        </is>
      </c>
      <c r="G1191" s="0" t="inlineStr">
        <is>
          <t>Free</t>
        </is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P1191" s="0" t="n">
        <v>52.2</v>
      </c>
    </row>
    <row r="1192">
      <c r="A1192" s="0" t="inlineStr">
        <is>
          <t>USR-101191</t>
        </is>
      </c>
      <c r="B1192" s="23" t="n">
        <v>45764</v>
      </c>
      <c r="C1192" s="0" t="inlineStr">
        <is>
          <t>Treatment</t>
        </is>
      </c>
      <c r="D1192" s="0" t="inlineStr">
        <is>
          <t>South</t>
        </is>
      </c>
      <c r="E1192" s="0" t="inlineStr">
        <is>
          <t>Desktop</t>
        </is>
      </c>
      <c r="F1192" s="0" t="inlineStr">
        <is>
          <t>Referral</t>
        </is>
      </c>
      <c r="G1192" s="0" t="inlineStr">
        <is>
          <t>Premium</t>
        </is>
      </c>
      <c r="H1192" s="0" t="n">
        <v>1</v>
      </c>
      <c r="I1192" s="0" t="n">
        <v>1</v>
      </c>
      <c r="J1192" s="0" t="n">
        <v>1</v>
      </c>
      <c r="K1192" s="0" t="n">
        <v>0</v>
      </c>
      <c r="L1192" s="0" t="n">
        <v>0</v>
      </c>
      <c r="M1192" s="0" t="n">
        <v>0</v>
      </c>
      <c r="N1192" s="0" t="n">
        <v>0</v>
      </c>
      <c r="P1192" s="0" t="n">
        <v>81.2</v>
      </c>
    </row>
    <row r="1193">
      <c r="A1193" s="0" t="inlineStr">
        <is>
          <t>USR-101192</t>
        </is>
      </c>
      <c r="B1193" s="23" t="n">
        <v>45777</v>
      </c>
      <c r="C1193" s="0" t="inlineStr">
        <is>
          <t>Treatment</t>
        </is>
      </c>
      <c r="D1193" s="0" t="inlineStr">
        <is>
          <t>South</t>
        </is>
      </c>
      <c r="E1193" s="0" t="inlineStr">
        <is>
          <t>Mobile</t>
        </is>
      </c>
      <c r="F1193" s="0" t="inlineStr">
        <is>
          <t>Organic</t>
        </is>
      </c>
      <c r="G1193" s="0" t="inlineStr">
        <is>
          <t>Basic</t>
        </is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P1193" s="0" t="n">
        <v>53.9</v>
      </c>
    </row>
    <row r="1194">
      <c r="A1194" s="0" t="inlineStr">
        <is>
          <t>USR-101193</t>
        </is>
      </c>
      <c r="B1194" s="23" t="n">
        <v>45686</v>
      </c>
      <c r="C1194" s="0" t="inlineStr">
        <is>
          <t>Treatment</t>
        </is>
      </c>
      <c r="D1194" s="0" t="inlineStr">
        <is>
          <t>West</t>
        </is>
      </c>
      <c r="E1194" s="0" t="inlineStr">
        <is>
          <t>Mobile</t>
        </is>
      </c>
      <c r="F1194" s="0" t="inlineStr">
        <is>
          <t>Social</t>
        </is>
      </c>
      <c r="G1194" s="0" t="inlineStr">
        <is>
          <t>Premium</t>
        </is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P1194" s="0" t="n">
        <v>39.1</v>
      </c>
    </row>
    <row r="1195">
      <c r="A1195" s="0" t="inlineStr">
        <is>
          <t>USR-101194</t>
        </is>
      </c>
      <c r="B1195" s="23" t="n">
        <v>45668</v>
      </c>
      <c r="C1195" s="0" t="inlineStr">
        <is>
          <t>Treatment</t>
        </is>
      </c>
      <c r="D1195" s="0" t="inlineStr">
        <is>
          <t>North</t>
        </is>
      </c>
      <c r="E1195" s="0" t="inlineStr">
        <is>
          <t>Mobile</t>
        </is>
      </c>
      <c r="F1195" s="0" t="inlineStr">
        <is>
          <t>Social</t>
        </is>
      </c>
      <c r="G1195" s="0" t="inlineStr">
        <is>
          <t>Basic</t>
        </is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P1195" s="0" t="n">
        <v>57.3</v>
      </c>
    </row>
    <row r="1196">
      <c r="A1196" s="0" t="inlineStr">
        <is>
          <t>USR-101195</t>
        </is>
      </c>
      <c r="B1196" s="23" t="n">
        <v>45755</v>
      </c>
      <c r="C1196" s="0" t="inlineStr">
        <is>
          <t>Treatment</t>
        </is>
      </c>
      <c r="D1196" s="0" t="inlineStr">
        <is>
          <t>East</t>
        </is>
      </c>
      <c r="E1196" s="0" t="inlineStr">
        <is>
          <t>Desktop</t>
        </is>
      </c>
      <c r="F1196" s="0" t="inlineStr">
        <is>
          <t>Paid Search</t>
        </is>
      </c>
      <c r="G1196" s="0" t="inlineStr">
        <is>
          <t>Premium</t>
        </is>
      </c>
      <c r="H1196" s="0" t="n">
        <v>1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1</v>
      </c>
      <c r="N1196" s="0" t="n">
        <v>0</v>
      </c>
      <c r="P1196" s="0" t="n">
        <v>65.90000000000001</v>
      </c>
    </row>
    <row r="1197">
      <c r="A1197" s="0" t="inlineStr">
        <is>
          <t>USR-101196</t>
        </is>
      </c>
      <c r="B1197" s="23" t="n">
        <v>45710</v>
      </c>
      <c r="C1197" s="0" t="inlineStr">
        <is>
          <t>Treatment</t>
        </is>
      </c>
      <c r="D1197" s="0" t="inlineStr">
        <is>
          <t>North</t>
        </is>
      </c>
      <c r="E1197" s="0" t="inlineStr">
        <is>
          <t>Unknown</t>
        </is>
      </c>
      <c r="F1197" s="0" t="inlineStr">
        <is>
          <t>Social</t>
        </is>
      </c>
      <c r="G1197" s="0" t="inlineStr">
        <is>
          <t>Free</t>
        </is>
      </c>
      <c r="H1197" s="0" t="n">
        <v>1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1</v>
      </c>
      <c r="N1197" s="0" t="n">
        <v>0</v>
      </c>
      <c r="P1197" s="0" t="n">
        <v>34.2</v>
      </c>
    </row>
    <row r="1198">
      <c r="A1198" s="0" t="inlineStr">
        <is>
          <t>USR-101197</t>
        </is>
      </c>
      <c r="B1198" s="23" t="n">
        <v>45739</v>
      </c>
      <c r="C1198" s="0" t="inlineStr">
        <is>
          <t>Treatment</t>
        </is>
      </c>
      <c r="D1198" s="0" t="inlineStr">
        <is>
          <t>South</t>
        </is>
      </c>
      <c r="E1198" s="0" t="inlineStr">
        <is>
          <t>Mobile</t>
        </is>
      </c>
      <c r="F1198" s="0" t="inlineStr">
        <is>
          <t>Organic</t>
        </is>
      </c>
      <c r="G1198" s="0" t="inlineStr">
        <is>
          <t>Free</t>
        </is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P1198" s="0" t="n">
        <v>47.2</v>
      </c>
    </row>
    <row r="1199">
      <c r="A1199" s="0" t="inlineStr">
        <is>
          <t>USR-101198</t>
        </is>
      </c>
      <c r="B1199" s="23" t="n">
        <v>45800</v>
      </c>
      <c r="C1199" s="0" t="inlineStr">
        <is>
          <t>Treatment</t>
        </is>
      </c>
      <c r="D1199" s="0" t="inlineStr">
        <is>
          <t>South</t>
        </is>
      </c>
      <c r="E1199" s="0" t="inlineStr">
        <is>
          <t>Tablet</t>
        </is>
      </c>
      <c r="F1199" s="0" t="inlineStr">
        <is>
          <t>Paid Search</t>
        </is>
      </c>
      <c r="G1199" s="0" t="inlineStr">
        <is>
          <t>Free</t>
        </is>
      </c>
      <c r="H1199" s="0" t="n">
        <v>1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0</v>
      </c>
      <c r="P1199" s="0" t="n">
        <v>55</v>
      </c>
    </row>
    <row r="1200">
      <c r="A1200" s="0" t="inlineStr">
        <is>
          <t>USR-101199</t>
        </is>
      </c>
      <c r="B1200" s="23" t="n">
        <v>45774</v>
      </c>
      <c r="C1200" s="0" t="inlineStr">
        <is>
          <t>Treatment</t>
        </is>
      </c>
      <c r="D1200" s="0" t="inlineStr">
        <is>
          <t>West</t>
        </is>
      </c>
      <c r="E1200" s="0" t="inlineStr">
        <is>
          <t>Mobile</t>
        </is>
      </c>
      <c r="F1200" s="0" t="inlineStr">
        <is>
          <t>Referral</t>
        </is>
      </c>
      <c r="G1200" s="0" t="inlineStr">
        <is>
          <t>Basic</t>
        </is>
      </c>
      <c r="H1200" s="0" t="n">
        <v>1</v>
      </c>
      <c r="I1200" s="0" t="n">
        <v>1</v>
      </c>
      <c r="J1200" s="0" t="n">
        <v>1</v>
      </c>
      <c r="K1200" s="0" t="n">
        <v>0</v>
      </c>
      <c r="L1200" s="0" t="n">
        <v>0</v>
      </c>
      <c r="M1200" s="0" t="n">
        <v>0</v>
      </c>
      <c r="N1200" s="0" t="n">
        <v>0</v>
      </c>
      <c r="P1200" s="0" t="n">
        <v>76.40000000000001</v>
      </c>
    </row>
    <row r="1201">
      <c r="A1201" s="0" t="inlineStr">
        <is>
          <t>USR-101200</t>
        </is>
      </c>
      <c r="B1201" s="23" t="n">
        <v>45803</v>
      </c>
      <c r="C1201" s="0" t="inlineStr">
        <is>
          <t>Treatment</t>
        </is>
      </c>
      <c r="D1201" s="0" t="inlineStr">
        <is>
          <t>North</t>
        </is>
      </c>
      <c r="E1201" s="0" t="inlineStr">
        <is>
          <t>Mobile</t>
        </is>
      </c>
      <c r="F1201" s="0" t="inlineStr">
        <is>
          <t>Referral</t>
        </is>
      </c>
      <c r="G1201" s="0" t="inlineStr">
        <is>
          <t>Free</t>
        </is>
      </c>
      <c r="H1201" s="0" t="n">
        <v>1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P1201" s="0" t="n">
        <v>70.8</v>
      </c>
    </row>
    <row r="1202">
      <c r="A1202" s="0" t="inlineStr">
        <is>
          <t>USR-101201</t>
        </is>
      </c>
      <c r="B1202" s="23" t="n">
        <v>45722</v>
      </c>
      <c r="C1202" s="0" t="inlineStr">
        <is>
          <t>Treatment</t>
        </is>
      </c>
      <c r="D1202" s="0" t="inlineStr">
        <is>
          <t>East</t>
        </is>
      </c>
      <c r="E1202" s="0" t="inlineStr">
        <is>
          <t>Mobile</t>
        </is>
      </c>
      <c r="F1202" s="0" t="inlineStr">
        <is>
          <t>Paid Search</t>
        </is>
      </c>
      <c r="G1202" s="0" t="inlineStr">
        <is>
          <t>Basic</t>
        </is>
      </c>
      <c r="H1202" s="0" t="n">
        <v>1</v>
      </c>
      <c r="I1202" s="0" t="n">
        <v>1</v>
      </c>
      <c r="J1202" s="0" t="n">
        <v>0</v>
      </c>
      <c r="K1202" s="0" t="n">
        <v>0</v>
      </c>
      <c r="L1202" s="0" t="n">
        <v>0</v>
      </c>
      <c r="M1202" s="0" t="n">
        <v>1</v>
      </c>
      <c r="N1202" s="0" t="n">
        <v>0</v>
      </c>
      <c r="P1202" s="0" t="n">
        <v>58</v>
      </c>
    </row>
    <row r="1203">
      <c r="A1203" s="0" t="inlineStr">
        <is>
          <t>USR-101202</t>
        </is>
      </c>
      <c r="B1203" s="23" t="n">
        <v>45750</v>
      </c>
      <c r="C1203" s="0" t="inlineStr">
        <is>
          <t>Treatment</t>
        </is>
      </c>
      <c r="D1203" s="0" t="inlineStr">
        <is>
          <t>West</t>
        </is>
      </c>
      <c r="E1203" s="0" t="inlineStr">
        <is>
          <t>Mobile</t>
        </is>
      </c>
      <c r="F1203" s="0" t="inlineStr">
        <is>
          <t>Organic</t>
        </is>
      </c>
      <c r="G1203" s="0" t="inlineStr">
        <is>
          <t>Basic</t>
        </is>
      </c>
      <c r="H1203" s="0" t="n">
        <v>1</v>
      </c>
      <c r="I1203" s="0" t="n">
        <v>1</v>
      </c>
      <c r="J1203" s="0" t="n">
        <v>1</v>
      </c>
      <c r="K1203" s="0" t="n">
        <v>0</v>
      </c>
      <c r="L1203" s="0" t="n">
        <v>0</v>
      </c>
      <c r="M1203" s="0" t="n">
        <v>1</v>
      </c>
      <c r="N1203" s="0" t="n">
        <v>0</v>
      </c>
      <c r="P1203" s="0" t="n">
        <v>70.8</v>
      </c>
    </row>
    <row r="1204">
      <c r="A1204" s="0" t="inlineStr">
        <is>
          <t>USR-101203</t>
        </is>
      </c>
      <c r="B1204" s="23" t="n">
        <v>45689</v>
      </c>
      <c r="C1204" s="0" t="inlineStr">
        <is>
          <t>Treatment</t>
        </is>
      </c>
      <c r="D1204" s="0" t="inlineStr">
        <is>
          <t>East</t>
        </is>
      </c>
      <c r="E1204" s="0" t="inlineStr">
        <is>
          <t>Desktop</t>
        </is>
      </c>
      <c r="F1204" s="0" t="inlineStr">
        <is>
          <t>Paid Search</t>
        </is>
      </c>
      <c r="G1204" s="0" t="inlineStr">
        <is>
          <t>Free</t>
        </is>
      </c>
      <c r="H1204" s="0" t="n">
        <v>1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3</v>
      </c>
      <c r="N1204" s="0" t="n">
        <v>0</v>
      </c>
      <c r="P1204" s="0" t="n">
        <v>60</v>
      </c>
    </row>
    <row r="1205">
      <c r="A1205" s="0" t="inlineStr">
        <is>
          <t>USR-101204</t>
        </is>
      </c>
      <c r="B1205" s="23" t="n">
        <v>45778</v>
      </c>
      <c r="C1205" s="0" t="inlineStr">
        <is>
          <t>Treatment</t>
        </is>
      </c>
      <c r="D1205" s="0" t="inlineStr">
        <is>
          <t>West</t>
        </is>
      </c>
      <c r="E1205" s="0" t="inlineStr">
        <is>
          <t>Mobile</t>
        </is>
      </c>
      <c r="F1205" s="0" t="inlineStr">
        <is>
          <t>Referral</t>
        </is>
      </c>
      <c r="G1205" s="0" t="inlineStr">
        <is>
          <t>Premium</t>
        </is>
      </c>
      <c r="H1205" s="0" t="n">
        <v>1</v>
      </c>
      <c r="I1205" s="0" t="n">
        <v>1</v>
      </c>
      <c r="J1205" s="0" t="n">
        <v>1</v>
      </c>
      <c r="K1205" s="0" t="n">
        <v>0</v>
      </c>
      <c r="L1205" s="0" t="n">
        <v>0</v>
      </c>
      <c r="M1205" s="0" t="n">
        <v>3</v>
      </c>
      <c r="N1205" s="0" t="n">
        <v>0</v>
      </c>
      <c r="P1205" s="0" t="n">
        <v>58.1</v>
      </c>
    </row>
    <row r="1206">
      <c r="A1206" s="0" t="inlineStr">
        <is>
          <t>USR-101205</t>
        </is>
      </c>
      <c r="B1206" s="23" t="n">
        <v>45760</v>
      </c>
      <c r="C1206" s="0" t="inlineStr">
        <is>
          <t>Treatment</t>
        </is>
      </c>
      <c r="D1206" s="0" t="inlineStr">
        <is>
          <t>North</t>
        </is>
      </c>
      <c r="E1206" s="0" t="inlineStr">
        <is>
          <t>Mobile</t>
        </is>
      </c>
      <c r="F1206" s="0" t="inlineStr">
        <is>
          <t>Social</t>
        </is>
      </c>
      <c r="G1206" s="0" t="inlineStr">
        <is>
          <t>Premium</t>
        </is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P1206" s="0" t="n">
        <v>59.7</v>
      </c>
    </row>
    <row r="1207">
      <c r="A1207" s="0" t="inlineStr">
        <is>
          <t>USR-101206</t>
        </is>
      </c>
      <c r="B1207" s="23" t="n">
        <v>45682</v>
      </c>
      <c r="C1207" s="0" t="inlineStr">
        <is>
          <t>Treatment</t>
        </is>
      </c>
      <c r="D1207" s="0" t="inlineStr">
        <is>
          <t>East</t>
        </is>
      </c>
      <c r="E1207" s="0" t="inlineStr">
        <is>
          <t>Mobile</t>
        </is>
      </c>
      <c r="F1207" s="0" t="inlineStr">
        <is>
          <t>Social</t>
        </is>
      </c>
      <c r="G1207" s="0" t="inlineStr">
        <is>
          <t>Free</t>
        </is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P1207" s="0" t="n">
        <v>47.7</v>
      </c>
    </row>
    <row r="1208">
      <c r="A1208" s="0" t="inlineStr">
        <is>
          <t>USR-101207</t>
        </is>
      </c>
      <c r="B1208" s="23" t="n">
        <v>45733</v>
      </c>
      <c r="C1208" s="0" t="inlineStr">
        <is>
          <t>Treatment</t>
        </is>
      </c>
      <c r="D1208" s="0" t="inlineStr">
        <is>
          <t>North</t>
        </is>
      </c>
      <c r="E1208" s="0" t="inlineStr">
        <is>
          <t>Mobile</t>
        </is>
      </c>
      <c r="F1208" s="0" t="inlineStr">
        <is>
          <t>Organic</t>
        </is>
      </c>
      <c r="G1208" s="0" t="inlineStr">
        <is>
          <t>Free</t>
        </is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P1208" s="0" t="n">
        <v>59.1</v>
      </c>
    </row>
    <row r="1209">
      <c r="A1209" s="0" t="inlineStr">
        <is>
          <t>USR-101208</t>
        </is>
      </c>
      <c r="B1209" s="23" t="n">
        <v>45709</v>
      </c>
      <c r="C1209" s="0" t="inlineStr">
        <is>
          <t>Treatment</t>
        </is>
      </c>
      <c r="D1209" s="0" t="inlineStr">
        <is>
          <t>West</t>
        </is>
      </c>
      <c r="E1209" s="0" t="inlineStr">
        <is>
          <t>Desktop</t>
        </is>
      </c>
      <c r="F1209" s="0" t="inlineStr">
        <is>
          <t>Social</t>
        </is>
      </c>
      <c r="G1209" s="0" t="inlineStr">
        <is>
          <t>Basic</t>
        </is>
      </c>
      <c r="H1209" s="0" t="n">
        <v>1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1</v>
      </c>
      <c r="N1209" s="0" t="n">
        <v>0</v>
      </c>
      <c r="P1209" s="0" t="n">
        <v>68.7</v>
      </c>
    </row>
    <row r="1210">
      <c r="A1210" s="0" t="inlineStr">
        <is>
          <t>USR-101209</t>
        </is>
      </c>
      <c r="B1210" s="23" t="n">
        <v>45755</v>
      </c>
      <c r="C1210" s="0" t="inlineStr">
        <is>
          <t>Treatment</t>
        </is>
      </c>
      <c r="D1210" s="0" t="inlineStr">
        <is>
          <t>East</t>
        </is>
      </c>
      <c r="E1210" s="0" t="inlineStr">
        <is>
          <t>Tablet</t>
        </is>
      </c>
      <c r="F1210" s="0" t="inlineStr">
        <is>
          <t>Organic</t>
        </is>
      </c>
      <c r="G1210" s="0" t="inlineStr">
        <is>
          <t>Basic</t>
        </is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P1210" s="0" t="n">
        <v>34.7</v>
      </c>
    </row>
    <row r="1211">
      <c r="A1211" s="0" t="inlineStr">
        <is>
          <t>USR-101210</t>
        </is>
      </c>
      <c r="B1211" s="23" t="n">
        <v>45712</v>
      </c>
      <c r="C1211" s="0" t="inlineStr">
        <is>
          <t>Treatment</t>
        </is>
      </c>
      <c r="D1211" s="0" t="inlineStr">
        <is>
          <t>West</t>
        </is>
      </c>
      <c r="E1211" s="0" t="inlineStr">
        <is>
          <t>Mobile</t>
        </is>
      </c>
      <c r="F1211" s="0" t="inlineStr">
        <is>
          <t>Organic</t>
        </is>
      </c>
      <c r="G1211" s="0" t="inlineStr">
        <is>
          <t>Basic</t>
        </is>
      </c>
      <c r="H1211" s="0" t="n">
        <v>1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P1211" s="0" t="n">
        <v>62</v>
      </c>
    </row>
    <row r="1212">
      <c r="A1212" s="0" t="inlineStr">
        <is>
          <t>USR-101211</t>
        </is>
      </c>
      <c r="B1212" s="23" t="n">
        <v>45806</v>
      </c>
      <c r="C1212" s="0" t="inlineStr">
        <is>
          <t>Treatment</t>
        </is>
      </c>
      <c r="D1212" s="0" t="inlineStr">
        <is>
          <t>South</t>
        </is>
      </c>
      <c r="E1212" s="0" t="inlineStr">
        <is>
          <t>Mobile</t>
        </is>
      </c>
      <c r="F1212" s="0" t="inlineStr">
        <is>
          <t>Organic</t>
        </is>
      </c>
      <c r="G1212" s="0" t="inlineStr">
        <is>
          <t>Free</t>
        </is>
      </c>
      <c r="H1212" s="0" t="n">
        <v>1</v>
      </c>
      <c r="I1212" s="0" t="n">
        <v>1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P1212" s="0" t="n">
        <v>56</v>
      </c>
    </row>
    <row r="1213">
      <c r="A1213" s="0" t="inlineStr">
        <is>
          <t>USR-101212</t>
        </is>
      </c>
      <c r="B1213" s="23" t="n">
        <v>45807</v>
      </c>
      <c r="C1213" s="0" t="inlineStr">
        <is>
          <t>Treatment</t>
        </is>
      </c>
      <c r="D1213" s="0" t="inlineStr">
        <is>
          <t>North</t>
        </is>
      </c>
      <c r="E1213" s="0" t="inlineStr">
        <is>
          <t>Mobile</t>
        </is>
      </c>
      <c r="F1213" s="0" t="inlineStr">
        <is>
          <t>Email</t>
        </is>
      </c>
      <c r="G1213" s="0" t="inlineStr">
        <is>
          <t>Basic</t>
        </is>
      </c>
      <c r="H1213" s="0" t="n">
        <v>1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0</v>
      </c>
      <c r="P1213" s="0" t="n">
        <v>65.8</v>
      </c>
    </row>
    <row r="1214">
      <c r="A1214" s="0" t="inlineStr">
        <is>
          <t>USR-101213</t>
        </is>
      </c>
      <c r="B1214" s="23" t="n">
        <v>45681</v>
      </c>
      <c r="C1214" s="0" t="inlineStr">
        <is>
          <t>Treatment</t>
        </is>
      </c>
      <c r="D1214" s="0" t="inlineStr">
        <is>
          <t>North</t>
        </is>
      </c>
      <c r="E1214" s="0" t="inlineStr">
        <is>
          <t>Desktop</t>
        </is>
      </c>
      <c r="F1214" s="0" t="inlineStr">
        <is>
          <t>Organic</t>
        </is>
      </c>
      <c r="G1214" s="0" t="inlineStr">
        <is>
          <t>Premium</t>
        </is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P1214" s="0" t="n">
        <v>54.7</v>
      </c>
    </row>
    <row r="1215">
      <c r="A1215" s="0" t="inlineStr">
        <is>
          <t>USR-101214</t>
        </is>
      </c>
      <c r="B1215" s="23" t="n">
        <v>45789</v>
      </c>
      <c r="C1215" s="0" t="inlineStr">
        <is>
          <t>Treatment</t>
        </is>
      </c>
      <c r="D1215" s="0" t="inlineStr">
        <is>
          <t>South</t>
        </is>
      </c>
      <c r="E1215" s="0" t="inlineStr">
        <is>
          <t>Mobile</t>
        </is>
      </c>
      <c r="F1215" s="0" t="inlineStr">
        <is>
          <t>Organic</t>
        </is>
      </c>
      <c r="G1215" s="0" t="inlineStr">
        <is>
          <t>Basic</t>
        </is>
      </c>
      <c r="H1215" s="0" t="n">
        <v>1</v>
      </c>
      <c r="I1215" s="0" t="n">
        <v>1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P1215" s="0" t="n">
        <v>64.09999999999999</v>
      </c>
    </row>
    <row r="1216">
      <c r="A1216" s="0" t="inlineStr">
        <is>
          <t>USR-101215</t>
        </is>
      </c>
      <c r="B1216" s="23" t="n">
        <v>45744</v>
      </c>
      <c r="C1216" s="0" t="inlineStr">
        <is>
          <t>Treatment</t>
        </is>
      </c>
      <c r="D1216" s="0" t="inlineStr">
        <is>
          <t>South</t>
        </is>
      </c>
      <c r="E1216" s="0" t="inlineStr">
        <is>
          <t>Mobile</t>
        </is>
      </c>
      <c r="F1216" s="0" t="inlineStr">
        <is>
          <t>Organic</t>
        </is>
      </c>
      <c r="G1216" s="0" t="inlineStr">
        <is>
          <t>Basic</t>
        </is>
      </c>
      <c r="H1216" s="0" t="n">
        <v>1</v>
      </c>
      <c r="I1216" s="0" t="n">
        <v>1</v>
      </c>
      <c r="J1216" s="0" t="n">
        <v>1</v>
      </c>
      <c r="K1216" s="0" t="n">
        <v>0</v>
      </c>
      <c r="L1216" s="0" t="n">
        <v>0</v>
      </c>
      <c r="M1216" s="0" t="n">
        <v>0</v>
      </c>
      <c r="N1216" s="0" t="n">
        <v>0</v>
      </c>
      <c r="P1216" s="0" t="n">
        <v>71.59999999999999</v>
      </c>
    </row>
    <row r="1217">
      <c r="A1217" s="0" t="inlineStr">
        <is>
          <t>USR-101216</t>
        </is>
      </c>
      <c r="B1217" s="23" t="n">
        <v>45761</v>
      </c>
      <c r="C1217" s="0" t="inlineStr">
        <is>
          <t>Treatment</t>
        </is>
      </c>
      <c r="D1217" s="0" t="inlineStr">
        <is>
          <t>North</t>
        </is>
      </c>
      <c r="E1217" s="0" t="inlineStr">
        <is>
          <t>Mobile</t>
        </is>
      </c>
      <c r="F1217" s="0" t="inlineStr">
        <is>
          <t>Referral</t>
        </is>
      </c>
      <c r="G1217" s="0" t="inlineStr">
        <is>
          <t>Basic</t>
        </is>
      </c>
      <c r="H1217" s="0" t="n">
        <v>1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P1217" s="0" t="n">
        <v>78.40000000000001</v>
      </c>
    </row>
    <row r="1218">
      <c r="A1218" s="0" t="inlineStr">
        <is>
          <t>USR-101217</t>
        </is>
      </c>
      <c r="B1218" s="23" t="n">
        <v>45685</v>
      </c>
      <c r="C1218" s="0" t="inlineStr">
        <is>
          <t>Treatment</t>
        </is>
      </c>
      <c r="D1218" s="0" t="inlineStr">
        <is>
          <t>East</t>
        </is>
      </c>
      <c r="E1218" s="0" t="inlineStr">
        <is>
          <t>Tablet</t>
        </is>
      </c>
      <c r="F1218" s="0" t="inlineStr">
        <is>
          <t>Referral</t>
        </is>
      </c>
      <c r="G1218" s="0" t="inlineStr">
        <is>
          <t>Basic</t>
        </is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P1218" s="0" t="n">
        <v>49.3</v>
      </c>
    </row>
    <row r="1219">
      <c r="A1219" s="0" t="inlineStr">
        <is>
          <t>USR-101218</t>
        </is>
      </c>
      <c r="B1219" s="23" t="n">
        <v>45798</v>
      </c>
      <c r="C1219" s="0" t="inlineStr">
        <is>
          <t>Treatment</t>
        </is>
      </c>
      <c r="D1219" s="0" t="inlineStr">
        <is>
          <t>North</t>
        </is>
      </c>
      <c r="E1219" s="0" t="inlineStr">
        <is>
          <t>Mobile</t>
        </is>
      </c>
      <c r="F1219" s="0" t="inlineStr">
        <is>
          <t>Organic</t>
        </is>
      </c>
      <c r="G1219" s="0" t="inlineStr">
        <is>
          <t>Basic</t>
        </is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P1219" s="0" t="n">
        <v>52.8</v>
      </c>
    </row>
    <row r="1220">
      <c r="A1220" s="0" t="inlineStr">
        <is>
          <t>USR-101219</t>
        </is>
      </c>
      <c r="B1220" s="23" t="n">
        <v>45788</v>
      </c>
      <c r="C1220" s="0" t="inlineStr">
        <is>
          <t>Treatment</t>
        </is>
      </c>
      <c r="D1220" s="0" t="inlineStr">
        <is>
          <t>West</t>
        </is>
      </c>
      <c r="E1220" s="0" t="inlineStr">
        <is>
          <t>Desktop</t>
        </is>
      </c>
      <c r="F1220" s="0" t="inlineStr">
        <is>
          <t>Organic</t>
        </is>
      </c>
      <c r="G1220" s="0" t="inlineStr">
        <is>
          <t>Free</t>
        </is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P1220" s="0" t="n">
        <v>58.5</v>
      </c>
    </row>
    <row r="1221">
      <c r="A1221" s="0" t="inlineStr">
        <is>
          <t>USR-101220</t>
        </is>
      </c>
      <c r="B1221" s="23" t="n">
        <v>45690</v>
      </c>
      <c r="C1221" s="0" t="inlineStr">
        <is>
          <t>Treatment</t>
        </is>
      </c>
      <c r="D1221" s="0" t="inlineStr">
        <is>
          <t>South</t>
        </is>
      </c>
      <c r="E1221" s="0" t="inlineStr">
        <is>
          <t>Mobile</t>
        </is>
      </c>
      <c r="F1221" s="0" t="inlineStr">
        <is>
          <t>Paid Search</t>
        </is>
      </c>
      <c r="G1221" s="0" t="inlineStr">
        <is>
          <t>Free</t>
        </is>
      </c>
      <c r="H1221" s="0" t="n">
        <v>1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P1221" s="0" t="n">
        <v>55.9</v>
      </c>
    </row>
    <row r="1222">
      <c r="A1222" s="0" t="inlineStr">
        <is>
          <t>USR-101221</t>
        </is>
      </c>
      <c r="B1222" s="23" t="n">
        <v>45714</v>
      </c>
      <c r="C1222" s="0" t="inlineStr">
        <is>
          <t>Treatment</t>
        </is>
      </c>
      <c r="D1222" s="0" t="inlineStr">
        <is>
          <t>North</t>
        </is>
      </c>
      <c r="E1222" s="0" t="inlineStr">
        <is>
          <t>Mobile</t>
        </is>
      </c>
      <c r="F1222" s="0" t="inlineStr">
        <is>
          <t>Social</t>
        </is>
      </c>
      <c r="G1222" s="0" t="inlineStr">
        <is>
          <t>Free</t>
        </is>
      </c>
      <c r="H1222" s="0" t="n">
        <v>1</v>
      </c>
      <c r="I1222" s="0" t="n">
        <v>1</v>
      </c>
      <c r="J1222" s="0" t="n">
        <v>1</v>
      </c>
      <c r="K1222" s="0" t="n">
        <v>1</v>
      </c>
      <c r="L1222" s="0" t="n">
        <v>351.43</v>
      </c>
      <c r="M1222" s="0" t="n">
        <v>1</v>
      </c>
      <c r="N1222" s="0" t="n">
        <v>0</v>
      </c>
      <c r="O1222" s="0" t="n">
        <v>6</v>
      </c>
      <c r="P1222" s="0" t="n">
        <v>74.90000000000001</v>
      </c>
    </row>
    <row r="1223">
      <c r="A1223" s="0" t="inlineStr">
        <is>
          <t>USR-101222</t>
        </is>
      </c>
      <c r="B1223" s="23" t="n">
        <v>45715</v>
      </c>
      <c r="C1223" s="0" t="inlineStr">
        <is>
          <t>Treatment</t>
        </is>
      </c>
      <c r="D1223" s="0" t="inlineStr">
        <is>
          <t>South</t>
        </is>
      </c>
      <c r="E1223" s="0" t="inlineStr">
        <is>
          <t>Desktop</t>
        </is>
      </c>
      <c r="F1223" s="0" t="inlineStr">
        <is>
          <t>Referral</t>
        </is>
      </c>
      <c r="G1223" s="0" t="inlineStr">
        <is>
          <t>Free</t>
        </is>
      </c>
      <c r="H1223" s="0" t="n">
        <v>1</v>
      </c>
      <c r="I1223" s="0" t="n">
        <v>1</v>
      </c>
      <c r="J1223" s="0" t="n">
        <v>1</v>
      </c>
      <c r="K1223" s="0" t="n">
        <v>1</v>
      </c>
      <c r="L1223" s="0" t="n">
        <v>352.42</v>
      </c>
      <c r="M1223" s="0" t="n">
        <v>0</v>
      </c>
      <c r="N1223" s="0" t="n">
        <v>0</v>
      </c>
      <c r="O1223" s="0" t="n">
        <v>4</v>
      </c>
      <c r="P1223" s="0" t="n">
        <v>58.5</v>
      </c>
    </row>
    <row r="1224">
      <c r="A1224" s="0" t="inlineStr">
        <is>
          <t>USR-101223</t>
        </is>
      </c>
      <c r="B1224" s="23" t="n">
        <v>45725</v>
      </c>
      <c r="C1224" s="0" t="inlineStr">
        <is>
          <t>Treatment</t>
        </is>
      </c>
      <c r="D1224" s="0" t="inlineStr">
        <is>
          <t>West</t>
        </is>
      </c>
      <c r="E1224" s="0" t="inlineStr">
        <is>
          <t>Mobile</t>
        </is>
      </c>
      <c r="F1224" s="0" t="inlineStr">
        <is>
          <t>Organic</t>
        </is>
      </c>
      <c r="G1224" s="0" t="inlineStr">
        <is>
          <t>Free</t>
        </is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P1224" s="0" t="n">
        <v>63.5</v>
      </c>
    </row>
    <row r="1225">
      <c r="A1225" s="0" t="inlineStr">
        <is>
          <t>USR-101224</t>
        </is>
      </c>
      <c r="B1225" s="23" t="n">
        <v>45695</v>
      </c>
      <c r="C1225" s="0" t="inlineStr">
        <is>
          <t>Treatment</t>
        </is>
      </c>
      <c r="D1225" s="0" t="inlineStr">
        <is>
          <t>North</t>
        </is>
      </c>
      <c r="E1225" s="0" t="inlineStr">
        <is>
          <t>Mobile</t>
        </is>
      </c>
      <c r="F1225" s="0" t="inlineStr">
        <is>
          <t>Paid Search</t>
        </is>
      </c>
      <c r="G1225" s="0" t="inlineStr">
        <is>
          <t>Basic</t>
        </is>
      </c>
      <c r="H1225" s="0" t="n">
        <v>1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1</v>
      </c>
      <c r="N1225" s="0" t="n">
        <v>0</v>
      </c>
      <c r="P1225" s="0" t="n">
        <v>64.8</v>
      </c>
    </row>
    <row r="1226">
      <c r="A1226" s="0" t="inlineStr">
        <is>
          <t>USR-101225</t>
        </is>
      </c>
      <c r="B1226" s="23" t="n">
        <v>45688</v>
      </c>
      <c r="C1226" s="0" t="inlineStr">
        <is>
          <t>Treatment</t>
        </is>
      </c>
      <c r="D1226" s="0" t="inlineStr">
        <is>
          <t>West</t>
        </is>
      </c>
      <c r="E1226" s="0" t="inlineStr">
        <is>
          <t>Mobile</t>
        </is>
      </c>
      <c r="F1226" s="0" t="inlineStr">
        <is>
          <t>Social</t>
        </is>
      </c>
      <c r="G1226" s="0" t="inlineStr">
        <is>
          <t>Free</t>
        </is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P1226" s="0" t="n">
        <v>63.3</v>
      </c>
    </row>
    <row r="1227">
      <c r="A1227" s="0" t="inlineStr">
        <is>
          <t>USR-101226</t>
        </is>
      </c>
      <c r="B1227" s="23" t="n">
        <v>45702</v>
      </c>
      <c r="C1227" s="0" t="inlineStr">
        <is>
          <t>Treatment</t>
        </is>
      </c>
      <c r="D1227" s="0" t="inlineStr">
        <is>
          <t>North</t>
        </is>
      </c>
      <c r="E1227" s="0" t="inlineStr">
        <is>
          <t>Tablet</t>
        </is>
      </c>
      <c r="F1227" s="0" t="inlineStr">
        <is>
          <t>Paid Search</t>
        </is>
      </c>
      <c r="G1227" s="0" t="inlineStr">
        <is>
          <t>Basic</t>
        </is>
      </c>
      <c r="H1227" s="0" t="n">
        <v>1</v>
      </c>
      <c r="I1227" s="0" t="n">
        <v>1</v>
      </c>
      <c r="J1227" s="0" t="n">
        <v>1</v>
      </c>
      <c r="K1227" s="0" t="n">
        <v>1</v>
      </c>
      <c r="L1227" s="0" t="n">
        <v>1074.16</v>
      </c>
      <c r="M1227" s="0" t="n">
        <v>0</v>
      </c>
      <c r="N1227" s="0" t="n">
        <v>0</v>
      </c>
      <c r="O1227" s="0" t="n">
        <v>8</v>
      </c>
      <c r="P1227" s="0" t="n">
        <v>83.7</v>
      </c>
    </row>
    <row r="1228">
      <c r="A1228" s="0" t="inlineStr">
        <is>
          <t>USR-101227</t>
        </is>
      </c>
      <c r="B1228" s="23" t="n">
        <v>45700</v>
      </c>
      <c r="C1228" s="0" t="inlineStr">
        <is>
          <t>Treatment</t>
        </is>
      </c>
      <c r="D1228" s="0" t="inlineStr">
        <is>
          <t>South</t>
        </is>
      </c>
      <c r="E1228" s="0" t="inlineStr">
        <is>
          <t>Desktop</t>
        </is>
      </c>
      <c r="F1228" s="0" t="inlineStr">
        <is>
          <t>Social</t>
        </is>
      </c>
      <c r="G1228" s="0" t="inlineStr">
        <is>
          <t>Basic</t>
        </is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P1228" s="0" t="n">
        <v>88.7</v>
      </c>
    </row>
    <row r="1229">
      <c r="A1229" s="0" t="inlineStr">
        <is>
          <t>USR-101228</t>
        </is>
      </c>
      <c r="B1229" s="23" t="n">
        <v>45739</v>
      </c>
      <c r="C1229" s="0" t="inlineStr">
        <is>
          <t>Treatment</t>
        </is>
      </c>
      <c r="D1229" s="0" t="inlineStr">
        <is>
          <t>East</t>
        </is>
      </c>
      <c r="E1229" s="0" t="inlineStr">
        <is>
          <t>Unknown</t>
        </is>
      </c>
      <c r="F1229" s="0" t="inlineStr">
        <is>
          <t>Paid Search</t>
        </is>
      </c>
      <c r="G1229" s="0" t="inlineStr">
        <is>
          <t>Free</t>
        </is>
      </c>
      <c r="H1229" s="0" t="n">
        <v>1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1</v>
      </c>
      <c r="N1229" s="0" t="n">
        <v>0</v>
      </c>
      <c r="P1229" s="0" t="n">
        <v>61.5</v>
      </c>
    </row>
    <row r="1230">
      <c r="A1230" s="0" t="inlineStr">
        <is>
          <t>USR-101229</t>
        </is>
      </c>
      <c r="B1230" s="23" t="n">
        <v>45734</v>
      </c>
      <c r="C1230" s="0" t="inlineStr">
        <is>
          <t>Treatment</t>
        </is>
      </c>
      <c r="D1230" s="0" t="inlineStr">
        <is>
          <t>West</t>
        </is>
      </c>
      <c r="E1230" s="0" t="inlineStr">
        <is>
          <t>Mobile</t>
        </is>
      </c>
      <c r="F1230" s="0" t="inlineStr">
        <is>
          <t>Paid Search</t>
        </is>
      </c>
      <c r="G1230" s="0" t="inlineStr">
        <is>
          <t>Free</t>
        </is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P1230" s="0" t="n">
        <v>45.3</v>
      </c>
    </row>
    <row r="1231">
      <c r="A1231" s="0" t="inlineStr">
        <is>
          <t>USR-101230</t>
        </is>
      </c>
      <c r="B1231" s="23" t="n">
        <v>45794</v>
      </c>
      <c r="C1231" s="0" t="inlineStr">
        <is>
          <t>Treatment</t>
        </is>
      </c>
      <c r="D1231" s="0" t="inlineStr">
        <is>
          <t>North</t>
        </is>
      </c>
      <c r="E1231" s="0" t="inlineStr">
        <is>
          <t>Mobile</t>
        </is>
      </c>
      <c r="F1231" s="0" t="inlineStr">
        <is>
          <t>Social</t>
        </is>
      </c>
      <c r="G1231" s="0" t="inlineStr">
        <is>
          <t>Free</t>
        </is>
      </c>
      <c r="H1231" s="0" t="n">
        <v>1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P1231" s="0" t="n">
        <v>37.3</v>
      </c>
    </row>
    <row r="1232">
      <c r="A1232" s="0" t="inlineStr">
        <is>
          <t>USR-101231</t>
        </is>
      </c>
      <c r="B1232" s="23" t="n">
        <v>45742</v>
      </c>
      <c r="C1232" s="0" t="inlineStr">
        <is>
          <t>Treatment</t>
        </is>
      </c>
      <c r="D1232" s="0" t="inlineStr">
        <is>
          <t>West</t>
        </is>
      </c>
      <c r="E1232" s="0" t="inlineStr">
        <is>
          <t>Desktop</t>
        </is>
      </c>
      <c r="F1232" s="0" t="inlineStr">
        <is>
          <t>Social</t>
        </is>
      </c>
      <c r="G1232" s="0" t="inlineStr">
        <is>
          <t>Premium</t>
        </is>
      </c>
      <c r="H1232" s="0" t="n">
        <v>1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1</v>
      </c>
      <c r="N1232" s="0" t="n">
        <v>0</v>
      </c>
      <c r="P1232" s="0" t="n">
        <v>76.09999999999999</v>
      </c>
    </row>
    <row r="1233">
      <c r="A1233" s="0" t="inlineStr">
        <is>
          <t>USR-101232</t>
        </is>
      </c>
      <c r="B1233" s="23" t="n">
        <v>45746</v>
      </c>
      <c r="C1233" s="0" t="inlineStr">
        <is>
          <t>Treatment</t>
        </is>
      </c>
      <c r="D1233" s="0" t="inlineStr">
        <is>
          <t>East</t>
        </is>
      </c>
      <c r="E1233" s="0" t="inlineStr">
        <is>
          <t>Mobile</t>
        </is>
      </c>
      <c r="F1233" s="0" t="inlineStr">
        <is>
          <t>Organic</t>
        </is>
      </c>
      <c r="G1233" s="0" t="inlineStr">
        <is>
          <t>Free</t>
        </is>
      </c>
      <c r="H1233" s="0" t="n">
        <v>1</v>
      </c>
      <c r="I1233" s="0" t="n">
        <v>1</v>
      </c>
      <c r="J1233" s="0" t="n">
        <v>1</v>
      </c>
      <c r="K1233" s="0" t="n">
        <v>0</v>
      </c>
      <c r="L1233" s="0" t="n">
        <v>0</v>
      </c>
      <c r="M1233" s="0" t="n">
        <v>1</v>
      </c>
      <c r="N1233" s="0" t="n">
        <v>0</v>
      </c>
      <c r="P1233" s="0" t="n">
        <v>72.5</v>
      </c>
    </row>
    <row r="1234">
      <c r="A1234" s="0" t="inlineStr">
        <is>
          <t>USR-101233</t>
        </is>
      </c>
      <c r="B1234" s="23" t="n">
        <v>45713</v>
      </c>
      <c r="C1234" s="0" t="inlineStr">
        <is>
          <t>Treatment</t>
        </is>
      </c>
      <c r="D1234" s="0" t="inlineStr">
        <is>
          <t>East</t>
        </is>
      </c>
      <c r="E1234" s="0" t="inlineStr">
        <is>
          <t>Desktop</t>
        </is>
      </c>
      <c r="F1234" s="0" t="inlineStr">
        <is>
          <t>Organic</t>
        </is>
      </c>
      <c r="G1234" s="0" t="inlineStr">
        <is>
          <t>Free</t>
        </is>
      </c>
      <c r="H1234" s="0" t="n">
        <v>1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P1234" s="0" t="n">
        <v>62.3</v>
      </c>
    </row>
    <row r="1235">
      <c r="A1235" s="0" t="inlineStr">
        <is>
          <t>USR-101234</t>
        </is>
      </c>
      <c r="B1235" s="23" t="n">
        <v>45717</v>
      </c>
      <c r="C1235" s="0" t="inlineStr">
        <is>
          <t>Treatment</t>
        </is>
      </c>
      <c r="D1235" s="0" t="inlineStr">
        <is>
          <t>East</t>
        </is>
      </c>
      <c r="E1235" s="0" t="inlineStr">
        <is>
          <t>Desktop</t>
        </is>
      </c>
      <c r="F1235" s="0" t="inlineStr">
        <is>
          <t>Social</t>
        </is>
      </c>
      <c r="G1235" s="0" t="inlineStr">
        <is>
          <t>Free</t>
        </is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P1235" s="0" t="n">
        <v>62.7</v>
      </c>
    </row>
    <row r="1236">
      <c r="A1236" s="0" t="inlineStr">
        <is>
          <t>USR-101235</t>
        </is>
      </c>
      <c r="B1236" s="23" t="n">
        <v>45804</v>
      </c>
      <c r="C1236" s="0" t="inlineStr">
        <is>
          <t>Treatment</t>
        </is>
      </c>
      <c r="D1236" s="0" t="inlineStr">
        <is>
          <t>North</t>
        </is>
      </c>
      <c r="E1236" s="0" t="inlineStr">
        <is>
          <t>Mobile</t>
        </is>
      </c>
      <c r="F1236" s="0" t="inlineStr">
        <is>
          <t>Paid Search</t>
        </is>
      </c>
      <c r="G1236" s="0" t="inlineStr">
        <is>
          <t>Basic</t>
        </is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P1236" s="0" t="n">
        <v>82.40000000000001</v>
      </c>
    </row>
    <row r="1237">
      <c r="A1237" s="0" t="inlineStr">
        <is>
          <t>USR-101236</t>
        </is>
      </c>
      <c r="B1237" s="23" t="n">
        <v>45693</v>
      </c>
      <c r="C1237" s="0" t="inlineStr">
        <is>
          <t>Treatment</t>
        </is>
      </c>
      <c r="D1237" s="0" t="inlineStr">
        <is>
          <t>West</t>
        </is>
      </c>
      <c r="E1237" s="0" t="inlineStr">
        <is>
          <t>Mobile</t>
        </is>
      </c>
      <c r="F1237" s="0" t="inlineStr">
        <is>
          <t>Unknown</t>
        </is>
      </c>
      <c r="G1237" s="0" t="inlineStr">
        <is>
          <t>Premium</t>
        </is>
      </c>
      <c r="H1237" s="0" t="n">
        <v>1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P1237" s="0" t="n">
        <v>78.90000000000001</v>
      </c>
    </row>
    <row r="1238">
      <c r="A1238" s="0" t="inlineStr">
        <is>
          <t>USR-101237</t>
        </is>
      </c>
      <c r="B1238" s="23" t="n">
        <v>45682</v>
      </c>
      <c r="C1238" s="0" t="inlineStr">
        <is>
          <t>Treatment</t>
        </is>
      </c>
      <c r="D1238" s="0" t="inlineStr">
        <is>
          <t>West</t>
        </is>
      </c>
      <c r="E1238" s="0" t="inlineStr">
        <is>
          <t>Desktop</t>
        </is>
      </c>
      <c r="F1238" s="0" t="inlineStr">
        <is>
          <t>Email</t>
        </is>
      </c>
      <c r="G1238" s="0" t="inlineStr">
        <is>
          <t>Free</t>
        </is>
      </c>
      <c r="H1238" s="0" t="n">
        <v>1</v>
      </c>
      <c r="I1238" s="0" t="n">
        <v>1</v>
      </c>
      <c r="J1238" s="0" t="n">
        <v>1</v>
      </c>
      <c r="K1238" s="0" t="n">
        <v>1</v>
      </c>
      <c r="L1238" s="0" t="n">
        <v>618.91</v>
      </c>
      <c r="M1238" s="0" t="n">
        <v>0</v>
      </c>
      <c r="N1238" s="0" t="n">
        <v>0</v>
      </c>
      <c r="O1238" s="0" t="n">
        <v>4</v>
      </c>
      <c r="P1238" s="0" t="n">
        <v>67.8</v>
      </c>
    </row>
    <row r="1239">
      <c r="A1239" s="0" t="inlineStr">
        <is>
          <t>USR-101238</t>
        </is>
      </c>
      <c r="B1239" s="23" t="n">
        <v>45757</v>
      </c>
      <c r="C1239" s="0" t="inlineStr">
        <is>
          <t>Treatment</t>
        </is>
      </c>
      <c r="D1239" s="0" t="inlineStr">
        <is>
          <t>East</t>
        </is>
      </c>
      <c r="E1239" s="0" t="inlineStr">
        <is>
          <t>Mobile</t>
        </is>
      </c>
      <c r="F1239" s="0" t="inlineStr">
        <is>
          <t>Organic</t>
        </is>
      </c>
      <c r="G1239" s="0" t="inlineStr">
        <is>
          <t>Premium</t>
        </is>
      </c>
      <c r="H1239" s="0" t="n">
        <v>1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P1239" s="0" t="n">
        <v>68.8</v>
      </c>
    </row>
    <row r="1240">
      <c r="A1240" s="0" t="inlineStr">
        <is>
          <t>USR-101239</t>
        </is>
      </c>
      <c r="B1240" s="23" t="n">
        <v>45667</v>
      </c>
      <c r="C1240" s="0" t="inlineStr">
        <is>
          <t>Treatment</t>
        </is>
      </c>
      <c r="D1240" s="0" t="inlineStr">
        <is>
          <t>East</t>
        </is>
      </c>
      <c r="E1240" s="0" t="inlineStr">
        <is>
          <t>Mobile</t>
        </is>
      </c>
      <c r="F1240" s="0" t="inlineStr">
        <is>
          <t>Organic</t>
        </is>
      </c>
      <c r="G1240" s="0" t="inlineStr">
        <is>
          <t>Premium</t>
        </is>
      </c>
      <c r="H1240" s="0" t="n">
        <v>1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P1240" s="0" t="n">
        <v>67.7</v>
      </c>
    </row>
    <row r="1241">
      <c r="A1241" s="0" t="inlineStr">
        <is>
          <t>USR-101240</t>
        </is>
      </c>
      <c r="B1241" s="23" t="n">
        <v>45711</v>
      </c>
      <c r="C1241" s="0" t="inlineStr">
        <is>
          <t>Treatment</t>
        </is>
      </c>
      <c r="D1241" s="0" t="inlineStr">
        <is>
          <t>East</t>
        </is>
      </c>
      <c r="E1241" s="0" t="inlineStr">
        <is>
          <t>Mobile</t>
        </is>
      </c>
      <c r="F1241" s="0" t="inlineStr">
        <is>
          <t>Unknown</t>
        </is>
      </c>
      <c r="G1241" s="0" t="inlineStr">
        <is>
          <t>Free</t>
        </is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P1241" s="0" t="n">
        <v>88</v>
      </c>
    </row>
    <row r="1242">
      <c r="A1242" s="0" t="inlineStr">
        <is>
          <t>USR-101241</t>
        </is>
      </c>
      <c r="B1242" s="23" t="n">
        <v>45800</v>
      </c>
      <c r="C1242" s="0" t="inlineStr">
        <is>
          <t>Treatment</t>
        </is>
      </c>
      <c r="D1242" s="0" t="inlineStr">
        <is>
          <t>West</t>
        </is>
      </c>
      <c r="E1242" s="0" t="inlineStr">
        <is>
          <t>Desktop</t>
        </is>
      </c>
      <c r="F1242" s="0" t="inlineStr">
        <is>
          <t>Organic</t>
        </is>
      </c>
      <c r="G1242" s="0" t="inlineStr">
        <is>
          <t>Basic</t>
        </is>
      </c>
      <c r="H1242" s="0" t="n">
        <v>1</v>
      </c>
      <c r="I1242" s="0" t="n">
        <v>1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P1242" s="0" t="n">
        <v>80.09999999999999</v>
      </c>
    </row>
    <row r="1243">
      <c r="A1243" s="0" t="inlineStr">
        <is>
          <t>USR-101242</t>
        </is>
      </c>
      <c r="B1243" s="23" t="n">
        <v>45724</v>
      </c>
      <c r="C1243" s="0" t="inlineStr">
        <is>
          <t>Treatment</t>
        </is>
      </c>
      <c r="D1243" s="0" t="inlineStr">
        <is>
          <t>North</t>
        </is>
      </c>
      <c r="E1243" s="0" t="inlineStr">
        <is>
          <t>Tablet</t>
        </is>
      </c>
      <c r="F1243" s="0" t="inlineStr">
        <is>
          <t>Email</t>
        </is>
      </c>
      <c r="G1243" s="0" t="inlineStr">
        <is>
          <t>Basic</t>
        </is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1</v>
      </c>
      <c r="N1243" s="0" t="n">
        <v>0</v>
      </c>
      <c r="P1243" s="0" t="n">
        <v>48.2</v>
      </c>
    </row>
    <row r="1244">
      <c r="A1244" s="0" t="inlineStr">
        <is>
          <t>USR-101243</t>
        </is>
      </c>
      <c r="B1244" s="23" t="n">
        <v>45798</v>
      </c>
      <c r="C1244" s="0" t="inlineStr">
        <is>
          <t>Treatment</t>
        </is>
      </c>
      <c r="D1244" s="0" t="inlineStr">
        <is>
          <t>East</t>
        </is>
      </c>
      <c r="E1244" s="0" t="inlineStr">
        <is>
          <t>Mobile</t>
        </is>
      </c>
      <c r="F1244" s="0" t="inlineStr">
        <is>
          <t>Organic</t>
        </is>
      </c>
      <c r="G1244" s="0" t="inlineStr">
        <is>
          <t>Basic</t>
        </is>
      </c>
      <c r="H1244" s="0" t="n">
        <v>1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P1244" s="0" t="n">
        <v>52.7</v>
      </c>
    </row>
    <row r="1245">
      <c r="A1245" s="0" t="inlineStr">
        <is>
          <t>USR-101244</t>
        </is>
      </c>
      <c r="B1245" s="23" t="n">
        <v>45769</v>
      </c>
      <c r="C1245" s="0" t="inlineStr">
        <is>
          <t>Treatment</t>
        </is>
      </c>
      <c r="D1245" s="0" t="inlineStr">
        <is>
          <t>North</t>
        </is>
      </c>
      <c r="E1245" s="0" t="inlineStr">
        <is>
          <t>Mobile</t>
        </is>
      </c>
      <c r="F1245" s="0" t="inlineStr">
        <is>
          <t>Email</t>
        </is>
      </c>
      <c r="G1245" s="0" t="inlineStr">
        <is>
          <t>Basic</t>
        </is>
      </c>
      <c r="H1245" s="0" t="n">
        <v>1</v>
      </c>
      <c r="I1245" s="0" t="n">
        <v>1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P1245" s="0" t="n">
        <v>59.9</v>
      </c>
    </row>
    <row r="1246">
      <c r="A1246" s="0" t="inlineStr">
        <is>
          <t>USR-101245</t>
        </is>
      </c>
      <c r="B1246" s="23" t="n">
        <v>45763</v>
      </c>
      <c r="C1246" s="0" t="inlineStr">
        <is>
          <t>Treatment</t>
        </is>
      </c>
      <c r="D1246" s="0" t="inlineStr">
        <is>
          <t>North</t>
        </is>
      </c>
      <c r="E1246" s="0" t="inlineStr">
        <is>
          <t>Mobile</t>
        </is>
      </c>
      <c r="F1246" s="0" t="inlineStr">
        <is>
          <t>Email</t>
        </is>
      </c>
      <c r="G1246" s="0" t="inlineStr">
        <is>
          <t>Premium</t>
        </is>
      </c>
      <c r="H1246" s="0" t="n">
        <v>1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P1246" s="0" t="n">
        <v>49.5</v>
      </c>
    </row>
    <row r="1247">
      <c r="A1247" s="0" t="inlineStr">
        <is>
          <t>USR-101246</t>
        </is>
      </c>
      <c r="B1247" s="23" t="n">
        <v>45785</v>
      </c>
      <c r="C1247" s="0" t="inlineStr">
        <is>
          <t>Treatment</t>
        </is>
      </c>
      <c r="D1247" s="0" t="inlineStr">
        <is>
          <t>North</t>
        </is>
      </c>
      <c r="E1247" s="0" t="inlineStr">
        <is>
          <t>Tablet</t>
        </is>
      </c>
      <c r="F1247" s="0" t="inlineStr">
        <is>
          <t>Organic</t>
        </is>
      </c>
      <c r="G1247" s="0" t="inlineStr">
        <is>
          <t>Free</t>
        </is>
      </c>
      <c r="H1247" s="0" t="n">
        <v>1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P1247" s="0" t="n">
        <v>41.5</v>
      </c>
    </row>
    <row r="1248">
      <c r="A1248" s="0" t="inlineStr">
        <is>
          <t>USR-101247</t>
        </is>
      </c>
      <c r="B1248" s="23" t="n">
        <v>45799</v>
      </c>
      <c r="C1248" s="0" t="inlineStr">
        <is>
          <t>Treatment</t>
        </is>
      </c>
      <c r="D1248" s="0" t="inlineStr">
        <is>
          <t>North</t>
        </is>
      </c>
      <c r="E1248" s="0" t="inlineStr">
        <is>
          <t>Mobile</t>
        </is>
      </c>
      <c r="F1248" s="0" t="inlineStr">
        <is>
          <t>Paid Search</t>
        </is>
      </c>
      <c r="G1248" s="0" t="inlineStr">
        <is>
          <t>Basic</t>
        </is>
      </c>
      <c r="H1248" s="0" t="n">
        <v>1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P1248" s="0" t="n">
        <v>71.2</v>
      </c>
    </row>
    <row r="1249">
      <c r="A1249" s="0" t="inlineStr">
        <is>
          <t>USR-101248</t>
        </is>
      </c>
      <c r="B1249" s="23" t="n">
        <v>45737</v>
      </c>
      <c r="C1249" s="0" t="inlineStr">
        <is>
          <t>Treatment</t>
        </is>
      </c>
      <c r="D1249" s="0" t="inlineStr">
        <is>
          <t>North</t>
        </is>
      </c>
      <c r="E1249" s="0" t="inlineStr">
        <is>
          <t>Mobile</t>
        </is>
      </c>
      <c r="F1249" s="0" t="inlineStr">
        <is>
          <t>Referral</t>
        </is>
      </c>
      <c r="G1249" s="0" t="inlineStr">
        <is>
          <t>Basic</t>
        </is>
      </c>
      <c r="H1249" s="0" t="n">
        <v>1</v>
      </c>
      <c r="I1249" s="0" t="n">
        <v>1</v>
      </c>
      <c r="J1249" s="0" t="n">
        <v>1</v>
      </c>
      <c r="K1249" s="0" t="n">
        <v>0</v>
      </c>
      <c r="L1249" s="0" t="n">
        <v>0</v>
      </c>
      <c r="M1249" s="0" t="n">
        <v>0</v>
      </c>
      <c r="N1249" s="0" t="n">
        <v>0</v>
      </c>
      <c r="P1249" s="0" t="n">
        <v>65.8</v>
      </c>
    </row>
    <row r="1250">
      <c r="A1250" s="0" t="inlineStr">
        <is>
          <t>USR-101249</t>
        </is>
      </c>
      <c r="B1250" s="23" t="n">
        <v>45738</v>
      </c>
      <c r="C1250" s="0" t="inlineStr">
        <is>
          <t>Treatment</t>
        </is>
      </c>
      <c r="D1250" s="0" t="inlineStr">
        <is>
          <t>East</t>
        </is>
      </c>
      <c r="E1250" s="0" t="inlineStr">
        <is>
          <t>Mobile</t>
        </is>
      </c>
      <c r="F1250" s="0" t="inlineStr">
        <is>
          <t>Organic</t>
        </is>
      </c>
      <c r="G1250" s="0" t="inlineStr">
        <is>
          <t>Basic</t>
        </is>
      </c>
      <c r="H1250" s="0" t="n">
        <v>1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1</v>
      </c>
      <c r="N1250" s="0" t="n">
        <v>0</v>
      </c>
      <c r="P1250" s="0" t="n">
        <v>55.1</v>
      </c>
    </row>
    <row r="1251">
      <c r="A1251" s="0" t="inlineStr">
        <is>
          <t>USR-101250</t>
        </is>
      </c>
      <c r="B1251" s="23" t="n">
        <v>45667</v>
      </c>
      <c r="C1251" s="0" t="inlineStr">
        <is>
          <t>Treatment</t>
        </is>
      </c>
      <c r="D1251" s="0" t="inlineStr">
        <is>
          <t>West</t>
        </is>
      </c>
      <c r="E1251" s="0" t="inlineStr">
        <is>
          <t>Desktop</t>
        </is>
      </c>
      <c r="F1251" s="0" t="inlineStr">
        <is>
          <t>Social</t>
        </is>
      </c>
      <c r="G1251" s="0" t="inlineStr">
        <is>
          <t>Free</t>
        </is>
      </c>
      <c r="H1251" s="0" t="n">
        <v>1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P1251" s="0" t="n">
        <v>54.6</v>
      </c>
    </row>
    <row r="1252">
      <c r="A1252" s="0" t="inlineStr">
        <is>
          <t>USR-101251</t>
        </is>
      </c>
      <c r="B1252" s="23" t="n">
        <v>45689</v>
      </c>
      <c r="C1252" s="0" t="inlineStr">
        <is>
          <t>Treatment</t>
        </is>
      </c>
      <c r="D1252" s="0" t="inlineStr">
        <is>
          <t>East</t>
        </is>
      </c>
      <c r="E1252" s="0" t="inlineStr">
        <is>
          <t>Mobile</t>
        </is>
      </c>
      <c r="F1252" s="0" t="inlineStr">
        <is>
          <t>Organic</t>
        </is>
      </c>
      <c r="G1252" s="0" t="inlineStr">
        <is>
          <t>Basic</t>
        </is>
      </c>
      <c r="H1252" s="0" t="n">
        <v>1</v>
      </c>
      <c r="I1252" s="0" t="n">
        <v>1</v>
      </c>
      <c r="J1252" s="0" t="n">
        <v>1</v>
      </c>
      <c r="K1252" s="0" t="n">
        <v>1</v>
      </c>
      <c r="L1252" s="0" t="n">
        <v>923.67</v>
      </c>
      <c r="M1252" s="0" t="n">
        <v>0</v>
      </c>
      <c r="N1252" s="0" t="n">
        <v>0</v>
      </c>
      <c r="O1252" s="0" t="n">
        <v>4</v>
      </c>
      <c r="P1252" s="0" t="n">
        <v>81.90000000000001</v>
      </c>
    </row>
    <row r="1253">
      <c r="A1253" s="0" t="inlineStr">
        <is>
          <t>USR-101252</t>
        </is>
      </c>
      <c r="B1253" s="23" t="n">
        <v>45747</v>
      </c>
      <c r="C1253" s="0" t="inlineStr">
        <is>
          <t>Treatment</t>
        </is>
      </c>
      <c r="D1253" s="0" t="inlineStr">
        <is>
          <t>South</t>
        </is>
      </c>
      <c r="E1253" s="0" t="inlineStr">
        <is>
          <t>Mobile</t>
        </is>
      </c>
      <c r="F1253" s="0" t="inlineStr">
        <is>
          <t>Paid Search</t>
        </is>
      </c>
      <c r="G1253" s="0" t="inlineStr">
        <is>
          <t>Basic</t>
        </is>
      </c>
      <c r="H1253" s="0" t="n">
        <v>1</v>
      </c>
      <c r="I1253" s="0" t="n">
        <v>1</v>
      </c>
      <c r="J1253" s="0" t="n">
        <v>0</v>
      </c>
      <c r="K1253" s="0" t="n">
        <v>0</v>
      </c>
      <c r="L1253" s="0" t="n">
        <v>0</v>
      </c>
      <c r="M1253" s="0" t="n">
        <v>3</v>
      </c>
      <c r="N1253" s="0" t="n">
        <v>0</v>
      </c>
      <c r="P1253" s="0" t="n">
        <v>63.2</v>
      </c>
    </row>
    <row r="1254">
      <c r="A1254" s="0" t="inlineStr">
        <is>
          <t>USR-101253</t>
        </is>
      </c>
      <c r="B1254" s="23" t="n">
        <v>45772</v>
      </c>
      <c r="C1254" s="0" t="inlineStr">
        <is>
          <t>Treatment</t>
        </is>
      </c>
      <c r="D1254" s="0" t="inlineStr">
        <is>
          <t>North</t>
        </is>
      </c>
      <c r="E1254" s="0" t="inlineStr">
        <is>
          <t>Mobile</t>
        </is>
      </c>
      <c r="F1254" s="0" t="inlineStr">
        <is>
          <t>Paid Search</t>
        </is>
      </c>
      <c r="G1254" s="0" t="inlineStr">
        <is>
          <t>Free</t>
        </is>
      </c>
      <c r="H1254" s="0" t="n">
        <v>1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P1254" s="0" t="n">
        <v>55.4</v>
      </c>
    </row>
    <row r="1255">
      <c r="A1255" s="0" t="inlineStr">
        <is>
          <t>USR-101254</t>
        </is>
      </c>
      <c r="B1255" s="23" t="n">
        <v>45779</v>
      </c>
      <c r="C1255" s="0" t="inlineStr">
        <is>
          <t>Treatment</t>
        </is>
      </c>
      <c r="D1255" s="0" t="inlineStr">
        <is>
          <t>West</t>
        </is>
      </c>
      <c r="E1255" s="0" t="inlineStr">
        <is>
          <t>Mobile</t>
        </is>
      </c>
      <c r="F1255" s="0" t="inlineStr">
        <is>
          <t>Social</t>
        </is>
      </c>
      <c r="G1255" s="0" t="inlineStr">
        <is>
          <t>Basic</t>
        </is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P1255" s="0" t="n">
        <v>87.5</v>
      </c>
    </row>
    <row r="1256">
      <c r="A1256" s="0" t="inlineStr">
        <is>
          <t>USR-101255</t>
        </is>
      </c>
      <c r="B1256" s="23" t="n">
        <v>45724</v>
      </c>
      <c r="C1256" s="0" t="inlineStr">
        <is>
          <t>Treatment</t>
        </is>
      </c>
      <c r="D1256" s="0" t="inlineStr">
        <is>
          <t>South</t>
        </is>
      </c>
      <c r="E1256" s="0" t="inlineStr">
        <is>
          <t>Desktop</t>
        </is>
      </c>
      <c r="F1256" s="0" t="inlineStr">
        <is>
          <t>Social</t>
        </is>
      </c>
      <c r="G1256" s="0" t="inlineStr">
        <is>
          <t>Basic</t>
        </is>
      </c>
      <c r="H1256" s="0" t="n">
        <v>1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P1256" s="0" t="n">
        <v>48.5</v>
      </c>
    </row>
    <row r="1257">
      <c r="A1257" s="0" t="inlineStr">
        <is>
          <t>USR-101256</t>
        </is>
      </c>
      <c r="B1257" s="23" t="n">
        <v>45684</v>
      </c>
      <c r="C1257" s="0" t="inlineStr">
        <is>
          <t>Treatment</t>
        </is>
      </c>
      <c r="D1257" s="0" t="inlineStr">
        <is>
          <t>East</t>
        </is>
      </c>
      <c r="E1257" s="0" t="inlineStr">
        <is>
          <t>Desktop</t>
        </is>
      </c>
      <c r="F1257" s="0" t="inlineStr">
        <is>
          <t>Unknown</t>
        </is>
      </c>
      <c r="G1257" s="0" t="inlineStr">
        <is>
          <t>Free</t>
        </is>
      </c>
      <c r="H1257" s="0" t="n">
        <v>1</v>
      </c>
      <c r="I1257" s="0" t="n">
        <v>1</v>
      </c>
      <c r="J1257" s="0" t="n">
        <v>1</v>
      </c>
      <c r="K1257" s="0" t="n">
        <v>1</v>
      </c>
      <c r="L1257" s="0" t="n">
        <v>420.27</v>
      </c>
      <c r="M1257" s="0" t="n">
        <v>0</v>
      </c>
      <c r="N1257" s="0" t="n">
        <v>0</v>
      </c>
      <c r="O1257" s="0" t="n">
        <v>6</v>
      </c>
      <c r="P1257" s="0" t="n">
        <v>58.4</v>
      </c>
    </row>
    <row r="1258">
      <c r="A1258" s="0" t="inlineStr">
        <is>
          <t>USR-101257</t>
        </is>
      </c>
      <c r="B1258" s="23" t="n">
        <v>45774</v>
      </c>
      <c r="C1258" s="0" t="inlineStr">
        <is>
          <t>Treatment</t>
        </is>
      </c>
      <c r="D1258" s="0" t="inlineStr">
        <is>
          <t>West</t>
        </is>
      </c>
      <c r="E1258" s="0" t="inlineStr">
        <is>
          <t>Mobile</t>
        </is>
      </c>
      <c r="F1258" s="0" t="inlineStr">
        <is>
          <t>Paid Search</t>
        </is>
      </c>
      <c r="G1258" s="0" t="inlineStr">
        <is>
          <t>Free</t>
        </is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P1258" s="0" t="n">
        <v>59.5</v>
      </c>
    </row>
    <row r="1259">
      <c r="A1259" s="0" t="inlineStr">
        <is>
          <t>USR-101258</t>
        </is>
      </c>
      <c r="B1259" s="23" t="n">
        <v>45673</v>
      </c>
      <c r="C1259" s="0" t="inlineStr">
        <is>
          <t>Treatment</t>
        </is>
      </c>
      <c r="D1259" s="0" t="inlineStr">
        <is>
          <t>West</t>
        </is>
      </c>
      <c r="E1259" s="0" t="inlineStr">
        <is>
          <t>Desktop</t>
        </is>
      </c>
      <c r="F1259" s="0" t="inlineStr">
        <is>
          <t>Paid Search</t>
        </is>
      </c>
      <c r="G1259" s="0" t="inlineStr">
        <is>
          <t>Basic</t>
        </is>
      </c>
      <c r="H1259" s="0" t="n">
        <v>1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P1259" s="0" t="n">
        <v>93.2</v>
      </c>
    </row>
    <row r="1260">
      <c r="A1260" s="0" t="inlineStr">
        <is>
          <t>USR-101259</t>
        </is>
      </c>
      <c r="B1260" s="23" t="n">
        <v>45675</v>
      </c>
      <c r="C1260" s="0" t="inlineStr">
        <is>
          <t>Treatment</t>
        </is>
      </c>
      <c r="D1260" s="0" t="inlineStr">
        <is>
          <t>West</t>
        </is>
      </c>
      <c r="E1260" s="0" t="inlineStr">
        <is>
          <t>Desktop</t>
        </is>
      </c>
      <c r="F1260" s="0" t="inlineStr">
        <is>
          <t>Paid Search</t>
        </is>
      </c>
      <c r="G1260" s="0" t="inlineStr">
        <is>
          <t>Basic</t>
        </is>
      </c>
      <c r="H1260" s="0" t="n">
        <v>1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P1260" s="0" t="n">
        <v>59</v>
      </c>
    </row>
    <row r="1261">
      <c r="A1261" s="0" t="inlineStr">
        <is>
          <t>USR-101260</t>
        </is>
      </c>
      <c r="B1261" s="23" t="n">
        <v>45737</v>
      </c>
      <c r="C1261" s="0" t="inlineStr">
        <is>
          <t>Treatment</t>
        </is>
      </c>
      <c r="D1261" s="0" t="inlineStr">
        <is>
          <t>North</t>
        </is>
      </c>
      <c r="E1261" s="0" t="inlineStr">
        <is>
          <t>Mobile</t>
        </is>
      </c>
      <c r="F1261" s="0" t="inlineStr">
        <is>
          <t>Organic</t>
        </is>
      </c>
      <c r="G1261" s="0" t="inlineStr">
        <is>
          <t>Free</t>
        </is>
      </c>
      <c r="H1261" s="0" t="n">
        <v>1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P1261" s="0" t="n">
        <v>37</v>
      </c>
    </row>
    <row r="1262">
      <c r="A1262" s="0" t="inlineStr">
        <is>
          <t>USR-101261</t>
        </is>
      </c>
      <c r="B1262" s="23" t="n">
        <v>45749</v>
      </c>
      <c r="C1262" s="0" t="inlineStr">
        <is>
          <t>Treatment</t>
        </is>
      </c>
      <c r="D1262" s="0" t="inlineStr">
        <is>
          <t>North</t>
        </is>
      </c>
      <c r="E1262" s="0" t="inlineStr">
        <is>
          <t>Desktop</t>
        </is>
      </c>
      <c r="F1262" s="0" t="inlineStr">
        <is>
          <t>Paid Search</t>
        </is>
      </c>
      <c r="G1262" s="0" t="inlineStr">
        <is>
          <t>Free</t>
        </is>
      </c>
      <c r="H1262" s="0" t="n">
        <v>1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P1262" s="0" t="n">
        <v>47.5</v>
      </c>
    </row>
    <row r="1263">
      <c r="A1263" s="0" t="inlineStr">
        <is>
          <t>USR-101262</t>
        </is>
      </c>
      <c r="B1263" s="23" t="n">
        <v>45704</v>
      </c>
      <c r="C1263" s="0" t="inlineStr">
        <is>
          <t>Treatment</t>
        </is>
      </c>
      <c r="D1263" s="0" t="inlineStr">
        <is>
          <t>West</t>
        </is>
      </c>
      <c r="E1263" s="0" t="inlineStr">
        <is>
          <t>Desktop</t>
        </is>
      </c>
      <c r="F1263" s="0" t="inlineStr">
        <is>
          <t>Organic</t>
        </is>
      </c>
      <c r="G1263" s="0" t="inlineStr">
        <is>
          <t>Free</t>
        </is>
      </c>
      <c r="H1263" s="0" t="n">
        <v>1</v>
      </c>
      <c r="I1263" s="0" t="n">
        <v>1</v>
      </c>
      <c r="J1263" s="0" t="n">
        <v>1</v>
      </c>
      <c r="K1263" s="0" t="n">
        <v>0</v>
      </c>
      <c r="L1263" s="0" t="n">
        <v>0</v>
      </c>
      <c r="M1263" s="0" t="n">
        <v>0</v>
      </c>
      <c r="N1263" s="0" t="n">
        <v>0</v>
      </c>
      <c r="P1263" s="0" t="n">
        <v>78.7</v>
      </c>
    </row>
    <row r="1264">
      <c r="A1264" s="0" t="inlineStr">
        <is>
          <t>USR-101263</t>
        </is>
      </c>
      <c r="B1264" s="23" t="n">
        <v>45706</v>
      </c>
      <c r="C1264" s="0" t="inlineStr">
        <is>
          <t>Treatment</t>
        </is>
      </c>
      <c r="D1264" s="0" t="inlineStr">
        <is>
          <t>North</t>
        </is>
      </c>
      <c r="E1264" s="0" t="inlineStr">
        <is>
          <t>Mobile</t>
        </is>
      </c>
      <c r="F1264" s="0" t="inlineStr">
        <is>
          <t>Social</t>
        </is>
      </c>
      <c r="G1264" s="0" t="inlineStr">
        <is>
          <t>Free</t>
        </is>
      </c>
      <c r="H1264" s="0" t="n">
        <v>1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P1264" s="0" t="n">
        <v>49.6</v>
      </c>
    </row>
    <row r="1265">
      <c r="A1265" s="0" t="inlineStr">
        <is>
          <t>USR-101264</t>
        </is>
      </c>
      <c r="B1265" s="23" t="n">
        <v>45666</v>
      </c>
      <c r="C1265" s="0" t="inlineStr">
        <is>
          <t>Treatment</t>
        </is>
      </c>
      <c r="D1265" s="0" t="inlineStr">
        <is>
          <t>East</t>
        </is>
      </c>
      <c r="E1265" s="0" t="inlineStr">
        <is>
          <t>Mobile</t>
        </is>
      </c>
      <c r="F1265" s="0" t="inlineStr">
        <is>
          <t>Organic</t>
        </is>
      </c>
      <c r="G1265" s="0" t="inlineStr">
        <is>
          <t>Free</t>
        </is>
      </c>
      <c r="H1265" s="0" t="n">
        <v>1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P1265" s="0" t="n">
        <v>58</v>
      </c>
    </row>
    <row r="1266">
      <c r="A1266" s="0" t="inlineStr">
        <is>
          <t>USR-101265</t>
        </is>
      </c>
      <c r="B1266" s="23" t="n">
        <v>45706</v>
      </c>
      <c r="C1266" s="0" t="inlineStr">
        <is>
          <t>Treatment</t>
        </is>
      </c>
      <c r="D1266" s="0" t="inlineStr">
        <is>
          <t>North</t>
        </is>
      </c>
      <c r="E1266" s="0" t="inlineStr">
        <is>
          <t>Desktop</t>
        </is>
      </c>
      <c r="F1266" s="0" t="inlineStr">
        <is>
          <t>Paid Search</t>
        </is>
      </c>
      <c r="G1266" s="0" t="inlineStr">
        <is>
          <t>Free</t>
        </is>
      </c>
      <c r="H1266" s="0" t="n">
        <v>1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1</v>
      </c>
      <c r="N1266" s="0" t="n">
        <v>0</v>
      </c>
      <c r="P1266" s="0" t="n">
        <v>54.4</v>
      </c>
    </row>
    <row r="1267">
      <c r="A1267" s="0" t="inlineStr">
        <is>
          <t>USR-101266</t>
        </is>
      </c>
      <c r="B1267" s="23" t="n">
        <v>45667</v>
      </c>
      <c r="C1267" s="0" t="inlineStr">
        <is>
          <t>Treatment</t>
        </is>
      </c>
      <c r="D1267" s="0" t="inlineStr">
        <is>
          <t>East</t>
        </is>
      </c>
      <c r="E1267" s="0" t="inlineStr">
        <is>
          <t>Mobile</t>
        </is>
      </c>
      <c r="F1267" s="0" t="inlineStr">
        <is>
          <t>Referral</t>
        </is>
      </c>
      <c r="G1267" s="0" t="inlineStr">
        <is>
          <t>Free</t>
        </is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P1267" s="0" t="n">
        <v>33.7</v>
      </c>
    </row>
    <row r="1268">
      <c r="A1268" s="0" t="inlineStr">
        <is>
          <t>USR-101267</t>
        </is>
      </c>
      <c r="B1268" s="23" t="n">
        <v>45724</v>
      </c>
      <c r="C1268" s="0" t="inlineStr">
        <is>
          <t>Treatment</t>
        </is>
      </c>
      <c r="D1268" s="0" t="inlineStr">
        <is>
          <t>West</t>
        </is>
      </c>
      <c r="E1268" s="0" t="inlineStr">
        <is>
          <t>Mobile</t>
        </is>
      </c>
      <c r="F1268" s="0" t="inlineStr">
        <is>
          <t>Email</t>
        </is>
      </c>
      <c r="G1268" s="0" t="inlineStr">
        <is>
          <t>Free</t>
        </is>
      </c>
      <c r="H1268" s="0" t="n">
        <v>1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P1268" s="0" t="n">
        <v>72.7</v>
      </c>
    </row>
    <row r="1269">
      <c r="A1269" s="0" t="inlineStr">
        <is>
          <t>USR-101268</t>
        </is>
      </c>
      <c r="B1269" s="23" t="n">
        <v>45763</v>
      </c>
      <c r="C1269" s="0" t="inlineStr">
        <is>
          <t>Treatment</t>
        </is>
      </c>
      <c r="D1269" s="0" t="inlineStr">
        <is>
          <t>East</t>
        </is>
      </c>
      <c r="E1269" s="0" t="inlineStr">
        <is>
          <t>Desktop</t>
        </is>
      </c>
      <c r="F1269" s="0" t="inlineStr">
        <is>
          <t>Paid Search</t>
        </is>
      </c>
      <c r="G1269" s="0" t="inlineStr">
        <is>
          <t>Basic</t>
        </is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P1269" s="0" t="n">
        <v>64.7</v>
      </c>
    </row>
    <row r="1270">
      <c r="A1270" s="0" t="inlineStr">
        <is>
          <t>USR-101269</t>
        </is>
      </c>
      <c r="B1270" s="23" t="n">
        <v>45707</v>
      </c>
      <c r="C1270" s="0" t="inlineStr">
        <is>
          <t>Treatment</t>
        </is>
      </c>
      <c r="D1270" s="0" t="inlineStr">
        <is>
          <t>West</t>
        </is>
      </c>
      <c r="E1270" s="0" t="inlineStr">
        <is>
          <t>Desktop</t>
        </is>
      </c>
      <c r="F1270" s="0" t="inlineStr">
        <is>
          <t>Paid Search</t>
        </is>
      </c>
      <c r="G1270" s="0" t="inlineStr">
        <is>
          <t>Premium</t>
        </is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0</v>
      </c>
      <c r="P1270" s="0" t="n">
        <v>48.6</v>
      </c>
    </row>
    <row r="1271">
      <c r="A1271" s="0" t="inlineStr">
        <is>
          <t>USR-101270</t>
        </is>
      </c>
      <c r="B1271" s="23" t="n">
        <v>45732</v>
      </c>
      <c r="C1271" s="0" t="inlineStr">
        <is>
          <t>Treatment</t>
        </is>
      </c>
      <c r="D1271" s="0" t="inlineStr">
        <is>
          <t>East</t>
        </is>
      </c>
      <c r="E1271" s="0" t="inlineStr">
        <is>
          <t>Desktop</t>
        </is>
      </c>
      <c r="F1271" s="0" t="inlineStr">
        <is>
          <t>Social</t>
        </is>
      </c>
      <c r="G1271" s="0" t="inlineStr">
        <is>
          <t>Free</t>
        </is>
      </c>
      <c r="H1271" s="0" t="n">
        <v>1</v>
      </c>
      <c r="I1271" s="0" t="n">
        <v>1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P1271" s="0" t="n">
        <v>66.2</v>
      </c>
    </row>
    <row r="1272">
      <c r="A1272" s="0" t="inlineStr">
        <is>
          <t>USR-101271</t>
        </is>
      </c>
      <c r="B1272" s="23" t="n">
        <v>45691</v>
      </c>
      <c r="C1272" s="0" t="inlineStr">
        <is>
          <t>Treatment</t>
        </is>
      </c>
      <c r="D1272" s="0" t="inlineStr">
        <is>
          <t>West</t>
        </is>
      </c>
      <c r="E1272" s="0" t="inlineStr">
        <is>
          <t>Unknown</t>
        </is>
      </c>
      <c r="F1272" s="0" t="inlineStr">
        <is>
          <t>Referral</t>
        </is>
      </c>
      <c r="G1272" s="0" t="inlineStr">
        <is>
          <t>Basic</t>
        </is>
      </c>
      <c r="H1272" s="0" t="n">
        <v>1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0</v>
      </c>
      <c r="P1272" s="0" t="n">
        <v>60.7</v>
      </c>
    </row>
    <row r="1273">
      <c r="A1273" s="0" t="inlineStr">
        <is>
          <t>USR-101272</t>
        </is>
      </c>
      <c r="B1273" s="23" t="n">
        <v>45728</v>
      </c>
      <c r="C1273" s="0" t="inlineStr">
        <is>
          <t>Treatment</t>
        </is>
      </c>
      <c r="D1273" s="0" t="inlineStr">
        <is>
          <t>West</t>
        </is>
      </c>
      <c r="E1273" s="0" t="inlineStr">
        <is>
          <t>Mobile</t>
        </is>
      </c>
      <c r="F1273" s="0" t="inlineStr">
        <is>
          <t>Paid Search</t>
        </is>
      </c>
      <c r="G1273" s="0" t="inlineStr">
        <is>
          <t>Basic</t>
        </is>
      </c>
      <c r="H1273" s="0" t="n">
        <v>1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P1273" s="0" t="n">
        <v>36.5</v>
      </c>
    </row>
    <row r="1274">
      <c r="A1274" s="0" t="inlineStr">
        <is>
          <t>USR-101273</t>
        </is>
      </c>
      <c r="B1274" s="23" t="n">
        <v>45786</v>
      </c>
      <c r="C1274" s="0" t="inlineStr">
        <is>
          <t>Treatment</t>
        </is>
      </c>
      <c r="D1274" s="0" t="inlineStr">
        <is>
          <t>West</t>
        </is>
      </c>
      <c r="E1274" s="0" t="inlineStr">
        <is>
          <t>Mobile</t>
        </is>
      </c>
      <c r="F1274" s="0" t="inlineStr">
        <is>
          <t>Social</t>
        </is>
      </c>
      <c r="G1274" s="0" t="inlineStr">
        <is>
          <t>Free</t>
        </is>
      </c>
      <c r="H1274" s="0" t="n">
        <v>1</v>
      </c>
      <c r="I1274" s="0" t="n">
        <v>1</v>
      </c>
      <c r="J1274" s="0" t="n">
        <v>1</v>
      </c>
      <c r="K1274" s="0" t="n">
        <v>0</v>
      </c>
      <c r="L1274" s="0" t="n">
        <v>0</v>
      </c>
      <c r="M1274" s="0" t="n">
        <v>3</v>
      </c>
      <c r="N1274" s="0" t="n">
        <v>0</v>
      </c>
      <c r="P1274" s="0" t="n">
        <v>69.7</v>
      </c>
    </row>
    <row r="1275">
      <c r="A1275" s="0" t="inlineStr">
        <is>
          <t>USR-101274</t>
        </is>
      </c>
      <c r="B1275" s="23" t="n">
        <v>45676</v>
      </c>
      <c r="C1275" s="0" t="inlineStr">
        <is>
          <t>Treatment</t>
        </is>
      </c>
      <c r="D1275" s="0" t="inlineStr">
        <is>
          <t>South</t>
        </is>
      </c>
      <c r="E1275" s="0" t="inlineStr">
        <is>
          <t>Desktop</t>
        </is>
      </c>
      <c r="F1275" s="0" t="inlineStr">
        <is>
          <t>Social</t>
        </is>
      </c>
      <c r="G1275" s="0" t="inlineStr">
        <is>
          <t>Premium</t>
        </is>
      </c>
      <c r="H1275" s="0" t="n">
        <v>1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P1275" s="0" t="n">
        <v>81.8</v>
      </c>
    </row>
    <row r="1276">
      <c r="A1276" s="0" t="inlineStr">
        <is>
          <t>USR-101275</t>
        </is>
      </c>
      <c r="B1276" s="23" t="n">
        <v>45681</v>
      </c>
      <c r="C1276" s="0" t="inlineStr">
        <is>
          <t>Treatment</t>
        </is>
      </c>
      <c r="D1276" s="0" t="inlineStr">
        <is>
          <t>West</t>
        </is>
      </c>
      <c r="E1276" s="0" t="inlineStr">
        <is>
          <t>Mobile</t>
        </is>
      </c>
      <c r="F1276" s="0" t="inlineStr">
        <is>
          <t>Referral</t>
        </is>
      </c>
      <c r="G1276" s="0" t="inlineStr">
        <is>
          <t>Free</t>
        </is>
      </c>
      <c r="H1276" s="0" t="n">
        <v>1</v>
      </c>
      <c r="I1276" s="0" t="n">
        <v>1</v>
      </c>
      <c r="J1276" s="0" t="n">
        <v>1</v>
      </c>
      <c r="K1276" s="0" t="n">
        <v>0</v>
      </c>
      <c r="L1276" s="0" t="n">
        <v>0</v>
      </c>
      <c r="M1276" s="0" t="n">
        <v>1</v>
      </c>
      <c r="N1276" s="0" t="n">
        <v>0</v>
      </c>
      <c r="P1276" s="0" t="n">
        <v>78.3</v>
      </c>
    </row>
    <row r="1277">
      <c r="A1277" s="0" t="inlineStr">
        <is>
          <t>USR-101276</t>
        </is>
      </c>
      <c r="B1277" s="23" t="n">
        <v>45719</v>
      </c>
      <c r="C1277" s="0" t="inlineStr">
        <is>
          <t>Treatment</t>
        </is>
      </c>
      <c r="D1277" s="0" t="inlineStr">
        <is>
          <t>East</t>
        </is>
      </c>
      <c r="E1277" s="0" t="inlineStr">
        <is>
          <t>Mobile</t>
        </is>
      </c>
      <c r="F1277" s="0" t="inlineStr">
        <is>
          <t>Referral</t>
        </is>
      </c>
      <c r="G1277" s="0" t="inlineStr">
        <is>
          <t>Free</t>
        </is>
      </c>
      <c r="H1277" s="0" t="n">
        <v>1</v>
      </c>
      <c r="I1277" s="0" t="n">
        <v>1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P1277" s="0" t="n">
        <v>79.40000000000001</v>
      </c>
    </row>
    <row r="1278">
      <c r="A1278" s="0" t="inlineStr">
        <is>
          <t>USR-101277</t>
        </is>
      </c>
      <c r="B1278" s="23" t="n">
        <v>45804</v>
      </c>
      <c r="C1278" s="0" t="inlineStr">
        <is>
          <t>Treatment</t>
        </is>
      </c>
      <c r="D1278" s="0" t="inlineStr">
        <is>
          <t>North</t>
        </is>
      </c>
      <c r="E1278" s="0" t="inlineStr">
        <is>
          <t>Desktop</t>
        </is>
      </c>
      <c r="F1278" s="0" t="inlineStr">
        <is>
          <t>Referral</t>
        </is>
      </c>
      <c r="G1278" s="0" t="inlineStr">
        <is>
          <t>Free</t>
        </is>
      </c>
      <c r="H1278" s="0" t="n">
        <v>1</v>
      </c>
      <c r="I1278" s="0" t="n">
        <v>1</v>
      </c>
      <c r="J1278" s="0" t="n">
        <v>1</v>
      </c>
      <c r="K1278" s="0" t="n">
        <v>0</v>
      </c>
      <c r="L1278" s="0" t="n">
        <v>0</v>
      </c>
      <c r="M1278" s="0" t="n">
        <v>0</v>
      </c>
      <c r="N1278" s="0" t="n">
        <v>0</v>
      </c>
      <c r="P1278" s="0" t="n">
        <v>54.9</v>
      </c>
    </row>
    <row r="1279">
      <c r="A1279" s="0" t="inlineStr">
        <is>
          <t>USR-101278</t>
        </is>
      </c>
      <c r="B1279" s="23" t="n">
        <v>45770</v>
      </c>
      <c r="C1279" s="0" t="inlineStr">
        <is>
          <t>Treatment</t>
        </is>
      </c>
      <c r="D1279" s="0" t="inlineStr">
        <is>
          <t>West</t>
        </is>
      </c>
      <c r="E1279" s="0" t="inlineStr">
        <is>
          <t>Desktop</t>
        </is>
      </c>
      <c r="F1279" s="0" t="inlineStr">
        <is>
          <t>Organic</t>
        </is>
      </c>
      <c r="G1279" s="0" t="inlineStr">
        <is>
          <t>Basic</t>
        </is>
      </c>
      <c r="H1279" s="0" t="n">
        <v>1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P1279" s="0" t="n">
        <v>54.9</v>
      </c>
    </row>
    <row r="1280">
      <c r="A1280" s="0" t="inlineStr">
        <is>
          <t>USR-101279</t>
        </is>
      </c>
      <c r="B1280" s="23" t="n">
        <v>45698</v>
      </c>
      <c r="C1280" s="0" t="inlineStr">
        <is>
          <t>Treatment</t>
        </is>
      </c>
      <c r="D1280" s="0" t="inlineStr">
        <is>
          <t>East</t>
        </is>
      </c>
      <c r="E1280" s="0" t="inlineStr">
        <is>
          <t>Desktop</t>
        </is>
      </c>
      <c r="F1280" s="0" t="inlineStr">
        <is>
          <t>Social</t>
        </is>
      </c>
      <c r="G1280" s="0" t="inlineStr">
        <is>
          <t>Free</t>
        </is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P1280" s="0" t="n">
        <v>28.7</v>
      </c>
    </row>
    <row r="1281">
      <c r="A1281" s="0" t="inlineStr">
        <is>
          <t>USR-101280</t>
        </is>
      </c>
      <c r="B1281" s="23" t="n">
        <v>45699</v>
      </c>
      <c r="C1281" s="0" t="inlineStr">
        <is>
          <t>Treatment</t>
        </is>
      </c>
      <c r="D1281" s="0" t="inlineStr">
        <is>
          <t>North</t>
        </is>
      </c>
      <c r="E1281" s="0" t="inlineStr">
        <is>
          <t>Mobile</t>
        </is>
      </c>
      <c r="F1281" s="0" t="inlineStr">
        <is>
          <t>Organic</t>
        </is>
      </c>
      <c r="G1281" s="0" t="inlineStr">
        <is>
          <t>Free</t>
        </is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P1281" s="0" t="n">
        <v>68.8</v>
      </c>
    </row>
    <row r="1282">
      <c r="A1282" s="0" t="inlineStr">
        <is>
          <t>USR-101281</t>
        </is>
      </c>
      <c r="B1282" s="23" t="n">
        <v>45678</v>
      </c>
      <c r="C1282" s="0" t="inlineStr">
        <is>
          <t>Treatment</t>
        </is>
      </c>
      <c r="D1282" s="0" t="inlineStr">
        <is>
          <t>East</t>
        </is>
      </c>
      <c r="E1282" s="0" t="inlineStr">
        <is>
          <t>Desktop</t>
        </is>
      </c>
      <c r="F1282" s="0" t="inlineStr">
        <is>
          <t>Paid Search</t>
        </is>
      </c>
      <c r="G1282" s="0" t="inlineStr">
        <is>
          <t>Free</t>
        </is>
      </c>
      <c r="H1282" s="0" t="n">
        <v>1</v>
      </c>
      <c r="I1282" s="0" t="n">
        <v>1</v>
      </c>
      <c r="J1282" s="0" t="n">
        <v>1</v>
      </c>
      <c r="K1282" s="0" t="n">
        <v>0</v>
      </c>
      <c r="L1282" s="0" t="n">
        <v>0</v>
      </c>
      <c r="M1282" s="0" t="n">
        <v>0</v>
      </c>
      <c r="N1282" s="0" t="n">
        <v>0</v>
      </c>
      <c r="P1282" s="0" t="n">
        <v>43.5</v>
      </c>
    </row>
    <row r="1283">
      <c r="A1283" s="0" t="inlineStr">
        <is>
          <t>USR-101282</t>
        </is>
      </c>
      <c r="B1283" s="23" t="n">
        <v>45690</v>
      </c>
      <c r="C1283" s="0" t="inlineStr">
        <is>
          <t>Treatment</t>
        </is>
      </c>
      <c r="D1283" s="0" t="inlineStr">
        <is>
          <t>West</t>
        </is>
      </c>
      <c r="E1283" s="0" t="inlineStr">
        <is>
          <t>Desktop</t>
        </is>
      </c>
      <c r="F1283" s="0" t="inlineStr">
        <is>
          <t>Social</t>
        </is>
      </c>
      <c r="G1283" s="0" t="inlineStr">
        <is>
          <t>Free</t>
        </is>
      </c>
      <c r="H1283" s="0" t="n">
        <v>1</v>
      </c>
      <c r="I1283" s="0" t="n">
        <v>1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P1283" s="0" t="n">
        <v>62.6</v>
      </c>
    </row>
    <row r="1284">
      <c r="A1284" s="0" t="inlineStr">
        <is>
          <t>USR-101283</t>
        </is>
      </c>
      <c r="B1284" s="23" t="n">
        <v>45690</v>
      </c>
      <c r="C1284" s="0" t="inlineStr">
        <is>
          <t>Treatment</t>
        </is>
      </c>
      <c r="D1284" s="0" t="inlineStr">
        <is>
          <t>West</t>
        </is>
      </c>
      <c r="E1284" s="0" t="inlineStr">
        <is>
          <t>Mobile</t>
        </is>
      </c>
      <c r="F1284" s="0" t="inlineStr">
        <is>
          <t>Organic</t>
        </is>
      </c>
      <c r="G1284" s="0" t="inlineStr">
        <is>
          <t>Free</t>
        </is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0</v>
      </c>
      <c r="P1284" s="0" t="n">
        <v>54.1</v>
      </c>
    </row>
    <row r="1285">
      <c r="A1285" s="0" t="inlineStr">
        <is>
          <t>USR-101284</t>
        </is>
      </c>
      <c r="B1285" s="23" t="n">
        <v>45714</v>
      </c>
      <c r="C1285" s="0" t="inlineStr">
        <is>
          <t>Treatment</t>
        </is>
      </c>
      <c r="D1285" s="0" t="inlineStr">
        <is>
          <t>West</t>
        </is>
      </c>
      <c r="E1285" s="0" t="inlineStr">
        <is>
          <t>Tablet</t>
        </is>
      </c>
      <c r="F1285" s="0" t="inlineStr">
        <is>
          <t>Social</t>
        </is>
      </c>
      <c r="G1285" s="0" t="inlineStr">
        <is>
          <t>Free</t>
        </is>
      </c>
      <c r="H1285" s="0" t="n">
        <v>1</v>
      </c>
      <c r="I1285" s="0" t="n">
        <v>1</v>
      </c>
      <c r="J1285" s="0" t="n">
        <v>1</v>
      </c>
      <c r="K1285" s="0" t="n">
        <v>0</v>
      </c>
      <c r="L1285" s="0" t="n">
        <v>0</v>
      </c>
      <c r="M1285" s="0" t="n">
        <v>0</v>
      </c>
      <c r="N1285" s="0" t="n">
        <v>0</v>
      </c>
      <c r="P1285" s="0" t="n">
        <v>80.09999999999999</v>
      </c>
    </row>
    <row r="1286">
      <c r="A1286" s="0" t="inlineStr">
        <is>
          <t>USR-101285</t>
        </is>
      </c>
      <c r="B1286" s="23" t="n">
        <v>45769</v>
      </c>
      <c r="C1286" s="0" t="inlineStr">
        <is>
          <t>Treatment</t>
        </is>
      </c>
      <c r="D1286" s="0" t="inlineStr">
        <is>
          <t>North</t>
        </is>
      </c>
      <c r="E1286" s="0" t="inlineStr">
        <is>
          <t>Mobile</t>
        </is>
      </c>
      <c r="F1286" s="0" t="inlineStr">
        <is>
          <t>Social</t>
        </is>
      </c>
      <c r="G1286" s="0" t="inlineStr">
        <is>
          <t>Premium</t>
        </is>
      </c>
      <c r="H1286" s="0" t="n">
        <v>1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P1286" s="0" t="n">
        <v>69.5</v>
      </c>
    </row>
    <row r="1287">
      <c r="A1287" s="0" t="inlineStr">
        <is>
          <t>USR-101286</t>
        </is>
      </c>
      <c r="B1287" s="23" t="n">
        <v>45727</v>
      </c>
      <c r="C1287" s="0" t="inlineStr">
        <is>
          <t>Treatment</t>
        </is>
      </c>
      <c r="D1287" s="0" t="inlineStr">
        <is>
          <t>North</t>
        </is>
      </c>
      <c r="E1287" s="0" t="inlineStr">
        <is>
          <t>Desktop</t>
        </is>
      </c>
      <c r="F1287" s="0" t="inlineStr">
        <is>
          <t>Organic</t>
        </is>
      </c>
      <c r="G1287" s="0" t="inlineStr">
        <is>
          <t>Basic</t>
        </is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2</v>
      </c>
      <c r="N1287" s="0" t="n">
        <v>0</v>
      </c>
      <c r="P1287" s="0" t="n">
        <v>46.6</v>
      </c>
    </row>
    <row r="1288">
      <c r="A1288" s="0" t="inlineStr">
        <is>
          <t>USR-101287</t>
        </is>
      </c>
      <c r="B1288" s="23" t="n">
        <v>45785</v>
      </c>
      <c r="C1288" s="0" t="inlineStr">
        <is>
          <t>Treatment</t>
        </is>
      </c>
      <c r="D1288" s="0" t="inlineStr">
        <is>
          <t>South</t>
        </is>
      </c>
      <c r="E1288" s="0" t="inlineStr">
        <is>
          <t>Mobile</t>
        </is>
      </c>
      <c r="F1288" s="0" t="inlineStr">
        <is>
          <t>Organic</t>
        </is>
      </c>
      <c r="G1288" s="0" t="inlineStr">
        <is>
          <t>Premium</t>
        </is>
      </c>
      <c r="H1288" s="0" t="n">
        <v>1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1</v>
      </c>
      <c r="N1288" s="0" t="n">
        <v>0</v>
      </c>
      <c r="P1288" s="0" t="n">
        <v>54.9</v>
      </c>
    </row>
    <row r="1289">
      <c r="A1289" s="0" t="inlineStr">
        <is>
          <t>USR-101288</t>
        </is>
      </c>
      <c r="B1289" s="23" t="n">
        <v>45726</v>
      </c>
      <c r="C1289" s="0" t="inlineStr">
        <is>
          <t>Treatment</t>
        </is>
      </c>
      <c r="D1289" s="0" t="inlineStr">
        <is>
          <t>East</t>
        </is>
      </c>
      <c r="E1289" s="0" t="inlineStr">
        <is>
          <t>Desktop</t>
        </is>
      </c>
      <c r="F1289" s="0" t="inlineStr">
        <is>
          <t>Organic</t>
        </is>
      </c>
      <c r="G1289" s="0" t="inlineStr">
        <is>
          <t>Free</t>
        </is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P1289" s="0" t="n">
        <v>100</v>
      </c>
    </row>
    <row r="1290">
      <c r="A1290" s="0" t="inlineStr">
        <is>
          <t>USR-101289</t>
        </is>
      </c>
      <c r="B1290" s="23" t="n">
        <v>45763</v>
      </c>
      <c r="C1290" s="0" t="inlineStr">
        <is>
          <t>Treatment</t>
        </is>
      </c>
      <c r="D1290" s="0" t="inlineStr">
        <is>
          <t>East</t>
        </is>
      </c>
      <c r="E1290" s="0" t="inlineStr">
        <is>
          <t>Desktop</t>
        </is>
      </c>
      <c r="F1290" s="0" t="inlineStr">
        <is>
          <t>Paid Search</t>
        </is>
      </c>
      <c r="G1290" s="0" t="inlineStr">
        <is>
          <t>Free</t>
        </is>
      </c>
      <c r="H1290" s="0" t="n">
        <v>1</v>
      </c>
      <c r="I1290" s="0" t="n">
        <v>1</v>
      </c>
      <c r="J1290" s="0" t="n">
        <v>1</v>
      </c>
      <c r="K1290" s="0" t="n">
        <v>0</v>
      </c>
      <c r="L1290" s="0" t="n">
        <v>0</v>
      </c>
      <c r="M1290" s="0" t="n">
        <v>1</v>
      </c>
      <c r="N1290" s="0" t="n">
        <v>0</v>
      </c>
      <c r="P1290" s="0" t="n">
        <v>80.5</v>
      </c>
    </row>
    <row r="1291">
      <c r="A1291" s="0" t="inlineStr">
        <is>
          <t>USR-101290</t>
        </is>
      </c>
      <c r="B1291" s="23" t="n">
        <v>45717</v>
      </c>
      <c r="C1291" s="0" t="inlineStr">
        <is>
          <t>Treatment</t>
        </is>
      </c>
      <c r="D1291" s="0" t="inlineStr">
        <is>
          <t>West</t>
        </is>
      </c>
      <c r="E1291" s="0" t="inlineStr">
        <is>
          <t>Tablet</t>
        </is>
      </c>
      <c r="F1291" s="0" t="inlineStr">
        <is>
          <t>Organic</t>
        </is>
      </c>
      <c r="G1291" s="0" t="inlineStr">
        <is>
          <t>Basic</t>
        </is>
      </c>
      <c r="H1291" s="0" t="n">
        <v>1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P1291" s="0" t="n">
        <v>51.2</v>
      </c>
    </row>
    <row r="1292">
      <c r="A1292" s="0" t="inlineStr">
        <is>
          <t>USR-101291</t>
        </is>
      </c>
      <c r="B1292" s="23" t="n">
        <v>45675</v>
      </c>
      <c r="C1292" s="0" t="inlineStr">
        <is>
          <t>Treatment</t>
        </is>
      </c>
      <c r="D1292" s="0" t="inlineStr">
        <is>
          <t>South</t>
        </is>
      </c>
      <c r="E1292" s="0" t="inlineStr">
        <is>
          <t>Desktop</t>
        </is>
      </c>
      <c r="F1292" s="0" t="inlineStr">
        <is>
          <t>Organic</t>
        </is>
      </c>
      <c r="G1292" s="0" t="inlineStr">
        <is>
          <t>Premium</t>
        </is>
      </c>
      <c r="H1292" s="0" t="n">
        <v>1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P1292" s="0" t="n">
        <v>42.5</v>
      </c>
    </row>
    <row r="1293">
      <c r="A1293" s="0" t="inlineStr">
        <is>
          <t>USR-101292</t>
        </is>
      </c>
      <c r="B1293" s="23" t="n">
        <v>45746</v>
      </c>
      <c r="C1293" s="0" t="inlineStr">
        <is>
          <t>Treatment</t>
        </is>
      </c>
      <c r="D1293" s="0" t="inlineStr">
        <is>
          <t>North</t>
        </is>
      </c>
      <c r="E1293" s="0" t="inlineStr">
        <is>
          <t>Mobile</t>
        </is>
      </c>
      <c r="F1293" s="0" t="inlineStr">
        <is>
          <t>Paid Search</t>
        </is>
      </c>
      <c r="G1293" s="0" t="inlineStr">
        <is>
          <t>Free</t>
        </is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P1293" s="0" t="n">
        <v>72.5</v>
      </c>
    </row>
    <row r="1294">
      <c r="A1294" s="0" t="inlineStr">
        <is>
          <t>USR-101293</t>
        </is>
      </c>
      <c r="B1294" s="23" t="n">
        <v>45803</v>
      </c>
      <c r="C1294" s="0" t="inlineStr">
        <is>
          <t>Treatment</t>
        </is>
      </c>
      <c r="D1294" s="0" t="inlineStr">
        <is>
          <t>West</t>
        </is>
      </c>
      <c r="E1294" s="0" t="inlineStr">
        <is>
          <t>Mobile</t>
        </is>
      </c>
      <c r="F1294" s="0" t="inlineStr">
        <is>
          <t>Social</t>
        </is>
      </c>
      <c r="G1294" s="0" t="inlineStr">
        <is>
          <t>Premium</t>
        </is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P1294" s="0" t="n">
        <v>74.40000000000001</v>
      </c>
    </row>
    <row r="1295">
      <c r="A1295" s="0" t="inlineStr">
        <is>
          <t>USR-101294</t>
        </is>
      </c>
      <c r="B1295" s="23" t="n">
        <v>45735</v>
      </c>
      <c r="C1295" s="0" t="inlineStr">
        <is>
          <t>Treatment</t>
        </is>
      </c>
      <c r="D1295" s="0" t="inlineStr">
        <is>
          <t>East</t>
        </is>
      </c>
      <c r="E1295" s="0" t="inlineStr">
        <is>
          <t>Desktop</t>
        </is>
      </c>
      <c r="F1295" s="0" t="inlineStr">
        <is>
          <t>Social</t>
        </is>
      </c>
      <c r="G1295" s="0" t="inlineStr">
        <is>
          <t>Free</t>
        </is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P1295" s="0" t="n">
        <v>78.40000000000001</v>
      </c>
    </row>
    <row r="1296">
      <c r="A1296" s="0" t="inlineStr">
        <is>
          <t>USR-101295</t>
        </is>
      </c>
      <c r="B1296" s="23" t="n">
        <v>45744</v>
      </c>
      <c r="C1296" s="0" t="inlineStr">
        <is>
          <t>Treatment</t>
        </is>
      </c>
      <c r="D1296" s="0" t="inlineStr">
        <is>
          <t>North</t>
        </is>
      </c>
      <c r="E1296" s="0" t="inlineStr">
        <is>
          <t>Desktop</t>
        </is>
      </c>
      <c r="F1296" s="0" t="inlineStr">
        <is>
          <t>Referral</t>
        </is>
      </c>
      <c r="G1296" s="0" t="inlineStr">
        <is>
          <t>Free</t>
        </is>
      </c>
      <c r="H1296" s="0" t="n">
        <v>1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P1296" s="0" t="n">
        <v>71.5</v>
      </c>
    </row>
    <row r="1297">
      <c r="A1297" s="0" t="inlineStr">
        <is>
          <t>USR-101296</t>
        </is>
      </c>
      <c r="B1297" s="23" t="n">
        <v>45805</v>
      </c>
      <c r="C1297" s="0" t="inlineStr">
        <is>
          <t>Treatment</t>
        </is>
      </c>
      <c r="D1297" s="0" t="inlineStr">
        <is>
          <t>South</t>
        </is>
      </c>
      <c r="E1297" s="0" t="inlineStr">
        <is>
          <t>Desktop</t>
        </is>
      </c>
      <c r="F1297" s="0" t="inlineStr">
        <is>
          <t>Social</t>
        </is>
      </c>
      <c r="G1297" s="0" t="inlineStr">
        <is>
          <t>Free</t>
        </is>
      </c>
      <c r="H1297" s="0" t="n">
        <v>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P1297" s="0" t="n">
        <v>66.7</v>
      </c>
    </row>
    <row r="1298">
      <c r="A1298" s="0" t="inlineStr">
        <is>
          <t>USR-101297</t>
        </is>
      </c>
      <c r="B1298" s="23" t="n">
        <v>45808</v>
      </c>
      <c r="C1298" s="0" t="inlineStr">
        <is>
          <t>Treatment</t>
        </is>
      </c>
      <c r="D1298" s="0" t="inlineStr">
        <is>
          <t>South</t>
        </is>
      </c>
      <c r="E1298" s="0" t="inlineStr">
        <is>
          <t>Desktop</t>
        </is>
      </c>
      <c r="F1298" s="0" t="inlineStr">
        <is>
          <t>Referral</t>
        </is>
      </c>
      <c r="G1298" s="0" t="inlineStr">
        <is>
          <t>Premium</t>
        </is>
      </c>
      <c r="H1298" s="0" t="n">
        <v>1</v>
      </c>
      <c r="I1298" s="0" t="n">
        <v>1</v>
      </c>
      <c r="J1298" s="0" t="n">
        <v>1</v>
      </c>
      <c r="K1298" s="0" t="n">
        <v>1</v>
      </c>
      <c r="L1298" s="0" t="n">
        <v>1496.09</v>
      </c>
      <c r="M1298" s="0" t="n">
        <v>0</v>
      </c>
      <c r="N1298" s="0" t="n">
        <v>0</v>
      </c>
      <c r="O1298" s="0" t="n">
        <v>7</v>
      </c>
      <c r="P1298" s="0" t="n">
        <v>60.4</v>
      </c>
    </row>
    <row r="1299">
      <c r="A1299" s="0" t="inlineStr">
        <is>
          <t>USR-101298</t>
        </is>
      </c>
      <c r="B1299" s="23" t="n">
        <v>45787</v>
      </c>
      <c r="C1299" s="0" t="inlineStr">
        <is>
          <t>Treatment</t>
        </is>
      </c>
      <c r="D1299" s="0" t="inlineStr">
        <is>
          <t>North</t>
        </is>
      </c>
      <c r="E1299" s="0" t="inlineStr">
        <is>
          <t>Mobile</t>
        </is>
      </c>
      <c r="F1299" s="0" t="inlineStr">
        <is>
          <t>Referral</t>
        </is>
      </c>
      <c r="G1299" s="0" t="inlineStr">
        <is>
          <t>Free</t>
        </is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0</v>
      </c>
      <c r="P1299" s="0" t="n">
        <v>72.90000000000001</v>
      </c>
    </row>
    <row r="1300">
      <c r="A1300" s="0" t="inlineStr">
        <is>
          <t>USR-101299</t>
        </is>
      </c>
      <c r="B1300" s="23" t="n">
        <v>45794</v>
      </c>
      <c r="C1300" s="0" t="inlineStr">
        <is>
          <t>Treatment</t>
        </is>
      </c>
      <c r="D1300" s="0" t="inlineStr">
        <is>
          <t>West</t>
        </is>
      </c>
      <c r="E1300" s="0" t="inlineStr">
        <is>
          <t>Mobile</t>
        </is>
      </c>
      <c r="F1300" s="0" t="inlineStr">
        <is>
          <t>Organic</t>
        </is>
      </c>
      <c r="G1300" s="0" t="inlineStr">
        <is>
          <t>Free</t>
        </is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3</v>
      </c>
      <c r="N1300" s="0" t="n">
        <v>0</v>
      </c>
    </row>
    <row r="1301">
      <c r="A1301" s="0" t="inlineStr">
        <is>
          <t>USR-101300</t>
        </is>
      </c>
      <c r="B1301" s="23" t="n">
        <v>45675</v>
      </c>
      <c r="C1301" s="0" t="inlineStr">
        <is>
          <t>Treatment</t>
        </is>
      </c>
      <c r="D1301" s="0" t="inlineStr">
        <is>
          <t>South</t>
        </is>
      </c>
      <c r="E1301" s="0" t="inlineStr">
        <is>
          <t>Mobile</t>
        </is>
      </c>
      <c r="F1301" s="0" t="inlineStr">
        <is>
          <t>Organic</t>
        </is>
      </c>
      <c r="G1301" s="0" t="inlineStr">
        <is>
          <t>Premium</t>
        </is>
      </c>
      <c r="H1301" s="0" t="n">
        <v>1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P1301" s="0" t="n">
        <v>55.2</v>
      </c>
    </row>
    <row r="1302">
      <c r="A1302" s="0" t="inlineStr">
        <is>
          <t>USR-101301</t>
        </is>
      </c>
      <c r="B1302" s="23" t="n">
        <v>45781</v>
      </c>
      <c r="C1302" s="0" t="inlineStr">
        <is>
          <t>Treatment</t>
        </is>
      </c>
      <c r="D1302" s="0" t="inlineStr">
        <is>
          <t>West</t>
        </is>
      </c>
      <c r="E1302" s="0" t="inlineStr">
        <is>
          <t>Mobile</t>
        </is>
      </c>
      <c r="F1302" s="0" t="inlineStr">
        <is>
          <t>Social</t>
        </is>
      </c>
      <c r="G1302" s="0" t="inlineStr">
        <is>
          <t>Free</t>
        </is>
      </c>
      <c r="H1302" s="0" t="n">
        <v>1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P1302" s="0" t="n">
        <v>67.8</v>
      </c>
    </row>
    <row r="1303">
      <c r="A1303" s="0" t="inlineStr">
        <is>
          <t>USR-101302</t>
        </is>
      </c>
      <c r="B1303" s="23" t="n">
        <v>45741</v>
      </c>
      <c r="C1303" s="0" t="inlineStr">
        <is>
          <t>Treatment</t>
        </is>
      </c>
      <c r="D1303" s="0" t="inlineStr">
        <is>
          <t>North</t>
        </is>
      </c>
      <c r="E1303" s="0" t="inlineStr">
        <is>
          <t>Mobile</t>
        </is>
      </c>
      <c r="F1303" s="0" t="inlineStr">
        <is>
          <t>Organic</t>
        </is>
      </c>
      <c r="G1303" s="0" t="inlineStr">
        <is>
          <t>Free</t>
        </is>
      </c>
      <c r="H1303" s="0" t="n">
        <v>1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2</v>
      </c>
      <c r="N1303" s="0" t="n">
        <v>0</v>
      </c>
      <c r="P1303" s="0" t="n">
        <v>70</v>
      </c>
    </row>
    <row r="1304">
      <c r="A1304" s="0" t="inlineStr">
        <is>
          <t>USR-101303</t>
        </is>
      </c>
      <c r="B1304" s="23" t="n">
        <v>45715</v>
      </c>
      <c r="C1304" s="0" t="inlineStr">
        <is>
          <t>Treatment</t>
        </is>
      </c>
      <c r="D1304" s="0" t="inlineStr">
        <is>
          <t>North</t>
        </is>
      </c>
      <c r="E1304" s="0" t="inlineStr">
        <is>
          <t>Mobile</t>
        </is>
      </c>
      <c r="F1304" s="0" t="inlineStr">
        <is>
          <t>Social</t>
        </is>
      </c>
      <c r="G1304" s="0" t="inlineStr">
        <is>
          <t>Basic</t>
        </is>
      </c>
      <c r="H1304" s="0" t="n">
        <v>1</v>
      </c>
      <c r="I1304" s="0" t="n">
        <v>1</v>
      </c>
      <c r="J1304" s="0" t="n">
        <v>1</v>
      </c>
      <c r="K1304" s="0" t="n">
        <v>0</v>
      </c>
      <c r="L1304" s="0" t="n">
        <v>0</v>
      </c>
      <c r="M1304" s="0" t="n">
        <v>0</v>
      </c>
      <c r="N1304" s="0" t="n">
        <v>0</v>
      </c>
      <c r="P1304" s="0" t="n">
        <v>51.1</v>
      </c>
    </row>
    <row r="1305">
      <c r="A1305" s="0" t="inlineStr">
        <is>
          <t>USR-101304</t>
        </is>
      </c>
      <c r="B1305" s="23" t="n">
        <v>45671</v>
      </c>
      <c r="C1305" s="0" t="inlineStr">
        <is>
          <t>Treatment</t>
        </is>
      </c>
      <c r="D1305" s="0" t="inlineStr">
        <is>
          <t>West</t>
        </is>
      </c>
      <c r="E1305" s="0" t="inlineStr">
        <is>
          <t>Mobile</t>
        </is>
      </c>
      <c r="F1305" s="0" t="inlineStr">
        <is>
          <t>Paid Search</t>
        </is>
      </c>
      <c r="G1305" s="0" t="inlineStr">
        <is>
          <t>Basic</t>
        </is>
      </c>
      <c r="H1305" s="0" t="n">
        <v>1</v>
      </c>
      <c r="I1305" s="0" t="n">
        <v>1</v>
      </c>
      <c r="J1305" s="0" t="n">
        <v>1</v>
      </c>
      <c r="K1305" s="0" t="n">
        <v>0</v>
      </c>
      <c r="L1305" s="0" t="n">
        <v>0</v>
      </c>
      <c r="M1305" s="0" t="n">
        <v>0</v>
      </c>
      <c r="N1305" s="0" t="n">
        <v>0</v>
      </c>
      <c r="P1305" s="0" t="n">
        <v>57</v>
      </c>
    </row>
    <row r="1306">
      <c r="A1306" s="0" t="inlineStr">
        <is>
          <t>USR-101305</t>
        </is>
      </c>
      <c r="B1306" s="23" t="n">
        <v>45758</v>
      </c>
      <c r="C1306" s="0" t="inlineStr">
        <is>
          <t>Treatment</t>
        </is>
      </c>
      <c r="D1306" s="0" t="inlineStr">
        <is>
          <t>East</t>
        </is>
      </c>
      <c r="E1306" s="0" t="inlineStr">
        <is>
          <t>Mobile</t>
        </is>
      </c>
      <c r="F1306" s="0" t="inlineStr">
        <is>
          <t>Social</t>
        </is>
      </c>
      <c r="G1306" s="0" t="inlineStr">
        <is>
          <t>Free</t>
        </is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1</v>
      </c>
      <c r="N1306" s="0" t="n">
        <v>0</v>
      </c>
      <c r="P1306" s="0" t="n">
        <v>47.1</v>
      </c>
    </row>
    <row r="1307">
      <c r="A1307" s="0" t="inlineStr">
        <is>
          <t>USR-101306</t>
        </is>
      </c>
      <c r="B1307" s="23" t="n">
        <v>45742</v>
      </c>
      <c r="C1307" s="0" t="inlineStr">
        <is>
          <t>Treatment</t>
        </is>
      </c>
      <c r="D1307" s="0" t="inlineStr">
        <is>
          <t>East</t>
        </is>
      </c>
      <c r="E1307" s="0" t="inlineStr">
        <is>
          <t>Desktop</t>
        </is>
      </c>
      <c r="F1307" s="0" t="inlineStr">
        <is>
          <t>Social</t>
        </is>
      </c>
      <c r="G1307" s="0" t="inlineStr">
        <is>
          <t>Basic</t>
        </is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P1307" s="0" t="n">
        <v>30.7</v>
      </c>
    </row>
    <row r="1308">
      <c r="A1308" s="0" t="inlineStr">
        <is>
          <t>USR-101307</t>
        </is>
      </c>
      <c r="B1308" s="23" t="n">
        <v>45700</v>
      </c>
      <c r="C1308" s="0" t="inlineStr">
        <is>
          <t>Treatment</t>
        </is>
      </c>
      <c r="D1308" s="0" t="inlineStr">
        <is>
          <t>West</t>
        </is>
      </c>
      <c r="E1308" s="0" t="inlineStr">
        <is>
          <t>Desktop</t>
        </is>
      </c>
      <c r="F1308" s="0" t="inlineStr">
        <is>
          <t>Social</t>
        </is>
      </c>
      <c r="G1308" s="0" t="inlineStr">
        <is>
          <t>Free</t>
        </is>
      </c>
      <c r="H1308" s="0" t="n">
        <v>1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P1308" s="0" t="n">
        <v>57.3</v>
      </c>
    </row>
    <row r="1309">
      <c r="A1309" s="0" t="inlineStr">
        <is>
          <t>USR-101308</t>
        </is>
      </c>
      <c r="B1309" s="23" t="n">
        <v>45706</v>
      </c>
      <c r="C1309" s="0" t="inlineStr">
        <is>
          <t>Treatment</t>
        </is>
      </c>
      <c r="D1309" s="0" t="inlineStr">
        <is>
          <t>West</t>
        </is>
      </c>
      <c r="E1309" s="0" t="inlineStr">
        <is>
          <t>Tablet</t>
        </is>
      </c>
      <c r="F1309" s="0" t="inlineStr">
        <is>
          <t>Paid Search</t>
        </is>
      </c>
      <c r="G1309" s="0" t="inlineStr">
        <is>
          <t>Basic</t>
        </is>
      </c>
      <c r="H1309" s="0" t="n">
        <v>1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P1309" s="0" t="n">
        <v>70</v>
      </c>
    </row>
    <row r="1310">
      <c r="A1310" s="0" t="inlineStr">
        <is>
          <t>USR-101309</t>
        </is>
      </c>
      <c r="B1310" s="23" t="n">
        <v>45802</v>
      </c>
      <c r="C1310" s="0" t="inlineStr">
        <is>
          <t>Treatment</t>
        </is>
      </c>
      <c r="D1310" s="0" t="inlineStr">
        <is>
          <t>East</t>
        </is>
      </c>
      <c r="E1310" s="0" t="inlineStr">
        <is>
          <t>Desktop</t>
        </is>
      </c>
      <c r="F1310" s="0" t="inlineStr">
        <is>
          <t>Social</t>
        </is>
      </c>
      <c r="G1310" s="0" t="inlineStr">
        <is>
          <t>Free</t>
        </is>
      </c>
      <c r="H1310" s="0" t="n">
        <v>1</v>
      </c>
      <c r="I1310" s="0" t="n">
        <v>1</v>
      </c>
      <c r="J1310" s="0" t="n">
        <v>1</v>
      </c>
      <c r="K1310" s="0" t="n">
        <v>0</v>
      </c>
      <c r="L1310" s="0" t="n">
        <v>0</v>
      </c>
      <c r="M1310" s="0" t="n">
        <v>0</v>
      </c>
      <c r="N1310" s="0" t="n">
        <v>0</v>
      </c>
      <c r="P1310" s="0" t="n">
        <v>59.7</v>
      </c>
    </row>
    <row r="1311">
      <c r="A1311" s="0" t="inlineStr">
        <is>
          <t>USR-101310</t>
        </is>
      </c>
      <c r="B1311" s="23" t="n">
        <v>45800</v>
      </c>
      <c r="C1311" s="0" t="inlineStr">
        <is>
          <t>Treatment</t>
        </is>
      </c>
      <c r="D1311" s="0" t="inlineStr">
        <is>
          <t>East</t>
        </is>
      </c>
      <c r="E1311" s="0" t="inlineStr">
        <is>
          <t>Desktop</t>
        </is>
      </c>
      <c r="F1311" s="0" t="inlineStr">
        <is>
          <t>Paid Search</t>
        </is>
      </c>
      <c r="G1311" s="0" t="inlineStr">
        <is>
          <t>Basic</t>
        </is>
      </c>
      <c r="H1311" s="0" t="n">
        <v>1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P1311" s="0" t="n">
        <v>68.8</v>
      </c>
    </row>
    <row r="1312">
      <c r="A1312" s="0" t="inlineStr">
        <is>
          <t>USR-101311</t>
        </is>
      </c>
      <c r="B1312" s="23" t="n">
        <v>45673</v>
      </c>
      <c r="C1312" s="0" t="inlineStr">
        <is>
          <t>Treatment</t>
        </is>
      </c>
      <c r="D1312" s="0" t="inlineStr">
        <is>
          <t>North</t>
        </is>
      </c>
      <c r="E1312" s="0" t="inlineStr">
        <is>
          <t>Desktop</t>
        </is>
      </c>
      <c r="F1312" s="0" t="inlineStr">
        <is>
          <t>Organic</t>
        </is>
      </c>
      <c r="G1312" s="0" t="inlineStr">
        <is>
          <t>Free</t>
        </is>
      </c>
      <c r="H1312" s="0" t="n">
        <v>1</v>
      </c>
      <c r="I1312" s="0" t="n">
        <v>1</v>
      </c>
      <c r="J1312" s="0" t="n">
        <v>1</v>
      </c>
      <c r="K1312" s="0" t="n">
        <v>1</v>
      </c>
      <c r="L1312" s="0" t="n">
        <v>428.37</v>
      </c>
      <c r="M1312" s="0" t="n">
        <v>0</v>
      </c>
      <c r="N1312" s="0" t="n">
        <v>0</v>
      </c>
      <c r="O1312" s="0" t="n">
        <v>9</v>
      </c>
      <c r="P1312" s="0" t="n">
        <v>88.3</v>
      </c>
    </row>
    <row r="1313">
      <c r="A1313" s="0" t="inlineStr">
        <is>
          <t>USR-101312</t>
        </is>
      </c>
      <c r="B1313" s="23" t="n">
        <v>45676</v>
      </c>
      <c r="C1313" s="0" t="inlineStr">
        <is>
          <t>Treatment</t>
        </is>
      </c>
      <c r="D1313" s="0" t="inlineStr">
        <is>
          <t>West</t>
        </is>
      </c>
      <c r="E1313" s="0" t="inlineStr">
        <is>
          <t>Desktop</t>
        </is>
      </c>
      <c r="F1313" s="0" t="inlineStr">
        <is>
          <t>Email</t>
        </is>
      </c>
      <c r="G1313" s="0" t="inlineStr">
        <is>
          <t>Basic</t>
        </is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P1313" s="0" t="n">
        <v>83.40000000000001</v>
      </c>
    </row>
    <row r="1314">
      <c r="A1314" s="0" t="inlineStr">
        <is>
          <t>USR-101313</t>
        </is>
      </c>
      <c r="B1314" s="23" t="n">
        <v>45795</v>
      </c>
      <c r="C1314" s="0" t="inlineStr">
        <is>
          <t>Treatment</t>
        </is>
      </c>
      <c r="D1314" s="0" t="inlineStr">
        <is>
          <t>South</t>
        </is>
      </c>
      <c r="E1314" s="0" t="inlineStr">
        <is>
          <t>Mobile</t>
        </is>
      </c>
      <c r="F1314" s="0" t="inlineStr">
        <is>
          <t>Referral</t>
        </is>
      </c>
      <c r="G1314" s="0" t="inlineStr">
        <is>
          <t>Free</t>
        </is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1</v>
      </c>
      <c r="N1314" s="0" t="n">
        <v>0</v>
      </c>
      <c r="P1314" s="0" t="n">
        <v>81.59999999999999</v>
      </c>
    </row>
    <row r="1315">
      <c r="A1315" s="0" t="inlineStr">
        <is>
          <t>USR-101314</t>
        </is>
      </c>
      <c r="B1315" s="23" t="n">
        <v>45680</v>
      </c>
      <c r="C1315" s="0" t="inlineStr">
        <is>
          <t>Treatment</t>
        </is>
      </c>
      <c r="D1315" s="0" t="inlineStr">
        <is>
          <t>East</t>
        </is>
      </c>
      <c r="E1315" s="0" t="inlineStr">
        <is>
          <t>Tablet</t>
        </is>
      </c>
      <c r="F1315" s="0" t="inlineStr">
        <is>
          <t>Social</t>
        </is>
      </c>
      <c r="G1315" s="0" t="inlineStr">
        <is>
          <t>Premium</t>
        </is>
      </c>
      <c r="H1315" s="0" t="n">
        <v>1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P1315" s="0" t="n">
        <v>91.59999999999999</v>
      </c>
    </row>
    <row r="1316">
      <c r="A1316" s="0" t="inlineStr">
        <is>
          <t>USR-101315</t>
        </is>
      </c>
      <c r="B1316" s="23" t="n">
        <v>45665</v>
      </c>
      <c r="C1316" s="0" t="inlineStr">
        <is>
          <t>Treatment</t>
        </is>
      </c>
      <c r="D1316" s="0" t="inlineStr">
        <is>
          <t>East</t>
        </is>
      </c>
      <c r="E1316" s="0" t="inlineStr">
        <is>
          <t>Tablet</t>
        </is>
      </c>
      <c r="F1316" s="0" t="inlineStr">
        <is>
          <t>Unknown</t>
        </is>
      </c>
      <c r="G1316" s="0" t="inlineStr">
        <is>
          <t>Premium</t>
        </is>
      </c>
      <c r="H1316" s="0" t="n">
        <v>1</v>
      </c>
      <c r="I1316" s="0" t="n">
        <v>1</v>
      </c>
      <c r="J1316" s="0" t="n">
        <v>1</v>
      </c>
      <c r="K1316" s="0" t="n">
        <v>0</v>
      </c>
      <c r="L1316" s="0" t="n">
        <v>0</v>
      </c>
      <c r="M1316" s="0" t="n">
        <v>1</v>
      </c>
      <c r="N1316" s="0" t="n">
        <v>0</v>
      </c>
      <c r="P1316" s="0" t="n">
        <v>61.5</v>
      </c>
    </row>
    <row r="1317">
      <c r="A1317" s="0" t="inlineStr">
        <is>
          <t>USR-101316</t>
        </is>
      </c>
      <c r="B1317" s="23" t="n">
        <v>45707</v>
      </c>
      <c r="C1317" s="0" t="inlineStr">
        <is>
          <t>Treatment</t>
        </is>
      </c>
      <c r="D1317" s="0" t="inlineStr">
        <is>
          <t>North</t>
        </is>
      </c>
      <c r="E1317" s="0" t="inlineStr">
        <is>
          <t>Mobile</t>
        </is>
      </c>
      <c r="F1317" s="0" t="inlineStr">
        <is>
          <t>Organic</t>
        </is>
      </c>
      <c r="G1317" s="0" t="inlineStr">
        <is>
          <t>Premium</t>
        </is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</row>
    <row r="1318">
      <c r="A1318" s="0" t="inlineStr">
        <is>
          <t>USR-101317</t>
        </is>
      </c>
      <c r="B1318" s="23" t="n">
        <v>45698</v>
      </c>
      <c r="C1318" s="0" t="inlineStr">
        <is>
          <t>Treatment</t>
        </is>
      </c>
      <c r="D1318" s="0" t="inlineStr">
        <is>
          <t>South</t>
        </is>
      </c>
      <c r="E1318" s="0" t="inlineStr">
        <is>
          <t>Mobile</t>
        </is>
      </c>
      <c r="F1318" s="0" t="inlineStr">
        <is>
          <t>Organic</t>
        </is>
      </c>
      <c r="G1318" s="0" t="inlineStr">
        <is>
          <t>Free</t>
        </is>
      </c>
      <c r="H1318" s="0" t="n">
        <v>1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P1318" s="0" t="n">
        <v>32.6</v>
      </c>
    </row>
    <row r="1319">
      <c r="A1319" s="0" t="inlineStr">
        <is>
          <t>USR-101318</t>
        </is>
      </c>
      <c r="B1319" s="23" t="n">
        <v>45760</v>
      </c>
      <c r="C1319" s="0" t="inlineStr">
        <is>
          <t>Treatment</t>
        </is>
      </c>
      <c r="D1319" s="0" t="inlineStr">
        <is>
          <t>South</t>
        </is>
      </c>
      <c r="E1319" s="0" t="inlineStr">
        <is>
          <t>Mobile</t>
        </is>
      </c>
      <c r="F1319" s="0" t="inlineStr">
        <is>
          <t>Paid Search</t>
        </is>
      </c>
      <c r="G1319" s="0" t="inlineStr">
        <is>
          <t>Free</t>
        </is>
      </c>
      <c r="H1319" s="0" t="n">
        <v>1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P1319" s="0" t="n">
        <v>73.90000000000001</v>
      </c>
    </row>
    <row r="1320">
      <c r="A1320" s="0" t="inlineStr">
        <is>
          <t>USR-101319</t>
        </is>
      </c>
      <c r="B1320" s="23" t="n">
        <v>45797</v>
      </c>
      <c r="C1320" s="0" t="inlineStr">
        <is>
          <t>Treatment</t>
        </is>
      </c>
      <c r="D1320" s="0" t="inlineStr">
        <is>
          <t>East</t>
        </is>
      </c>
      <c r="E1320" s="0" t="inlineStr">
        <is>
          <t>Mobile</t>
        </is>
      </c>
      <c r="F1320" s="0" t="inlineStr">
        <is>
          <t>Organic</t>
        </is>
      </c>
      <c r="G1320" s="0" t="inlineStr">
        <is>
          <t>Free</t>
        </is>
      </c>
      <c r="H1320" s="0" t="n">
        <v>1</v>
      </c>
      <c r="I1320" s="0" t="n">
        <v>1</v>
      </c>
      <c r="J1320" s="0" t="n">
        <v>1</v>
      </c>
      <c r="K1320" s="0" t="n">
        <v>1</v>
      </c>
      <c r="L1320" s="0" t="n">
        <v>444.06</v>
      </c>
      <c r="M1320" s="0" t="n">
        <v>0</v>
      </c>
      <c r="N1320" s="0" t="n">
        <v>0</v>
      </c>
      <c r="O1320" s="0" t="n">
        <v>9</v>
      </c>
      <c r="P1320" s="0" t="n">
        <v>99.90000000000001</v>
      </c>
    </row>
    <row r="1321">
      <c r="A1321" s="0" t="inlineStr">
        <is>
          <t>USR-101320</t>
        </is>
      </c>
      <c r="B1321" s="23" t="n">
        <v>45790</v>
      </c>
      <c r="C1321" s="0" t="inlineStr">
        <is>
          <t>Treatment</t>
        </is>
      </c>
      <c r="D1321" s="0" t="inlineStr">
        <is>
          <t>South</t>
        </is>
      </c>
      <c r="E1321" s="0" t="inlineStr">
        <is>
          <t>Mobile</t>
        </is>
      </c>
      <c r="F1321" s="0" t="inlineStr">
        <is>
          <t>Paid Search</t>
        </is>
      </c>
      <c r="G1321" s="0" t="inlineStr">
        <is>
          <t>Basic</t>
        </is>
      </c>
      <c r="H1321" s="0" t="n">
        <v>1</v>
      </c>
      <c r="I1321" s="0" t="n">
        <v>1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0</v>
      </c>
      <c r="P1321" s="0" t="n">
        <v>62.4</v>
      </c>
    </row>
    <row r="1322">
      <c r="A1322" s="0" t="inlineStr">
        <is>
          <t>USR-101321</t>
        </is>
      </c>
      <c r="B1322" s="23" t="n">
        <v>45805</v>
      </c>
      <c r="C1322" s="0" t="inlineStr">
        <is>
          <t>Treatment</t>
        </is>
      </c>
      <c r="D1322" s="0" t="inlineStr">
        <is>
          <t>South</t>
        </is>
      </c>
      <c r="E1322" s="0" t="inlineStr">
        <is>
          <t>Desktop</t>
        </is>
      </c>
      <c r="F1322" s="0" t="inlineStr">
        <is>
          <t>Paid Search</t>
        </is>
      </c>
      <c r="G1322" s="0" t="inlineStr">
        <is>
          <t>Basic</t>
        </is>
      </c>
      <c r="H1322" s="0" t="n">
        <v>1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P1322" s="0" t="n">
        <v>46.1</v>
      </c>
    </row>
    <row r="1323">
      <c r="A1323" s="0" t="inlineStr">
        <is>
          <t>USR-101322</t>
        </is>
      </c>
      <c r="B1323" s="23" t="n">
        <v>45735</v>
      </c>
      <c r="C1323" s="0" t="inlineStr">
        <is>
          <t>Treatment</t>
        </is>
      </c>
      <c r="D1323" s="0" t="inlineStr">
        <is>
          <t>West</t>
        </is>
      </c>
      <c r="E1323" s="0" t="inlineStr">
        <is>
          <t>Mobile</t>
        </is>
      </c>
      <c r="F1323" s="0" t="inlineStr">
        <is>
          <t>Organic</t>
        </is>
      </c>
      <c r="G1323" s="0" t="inlineStr">
        <is>
          <t>Free</t>
        </is>
      </c>
      <c r="H1323" s="0" t="n">
        <v>1</v>
      </c>
      <c r="I1323" s="0" t="n">
        <v>1</v>
      </c>
      <c r="J1323" s="0" t="n">
        <v>1</v>
      </c>
      <c r="K1323" s="0" t="n">
        <v>1</v>
      </c>
      <c r="L1323" s="0" t="n">
        <v>2660.21</v>
      </c>
      <c r="M1323" s="0" t="n">
        <v>0</v>
      </c>
      <c r="N1323" s="0" t="n">
        <v>0</v>
      </c>
      <c r="O1323" s="0" t="n">
        <v>3</v>
      </c>
      <c r="P1323" s="0" t="n">
        <v>73.90000000000001</v>
      </c>
    </row>
    <row r="1324">
      <c r="A1324" s="0" t="inlineStr">
        <is>
          <t>USR-101323</t>
        </is>
      </c>
      <c r="B1324" s="23" t="n">
        <v>45691</v>
      </c>
      <c r="C1324" s="0" t="inlineStr">
        <is>
          <t>Treatment</t>
        </is>
      </c>
      <c r="D1324" s="0" t="inlineStr">
        <is>
          <t>North</t>
        </is>
      </c>
      <c r="E1324" s="0" t="inlineStr">
        <is>
          <t>Mobile</t>
        </is>
      </c>
      <c r="F1324" s="0" t="inlineStr">
        <is>
          <t>Email</t>
        </is>
      </c>
      <c r="G1324" s="0" t="inlineStr">
        <is>
          <t>Premium</t>
        </is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P1324" s="0" t="n">
        <v>90</v>
      </c>
    </row>
    <row r="1325">
      <c r="A1325" s="0" t="inlineStr">
        <is>
          <t>USR-101324</t>
        </is>
      </c>
      <c r="B1325" s="23" t="n">
        <v>45714</v>
      </c>
      <c r="C1325" s="0" t="inlineStr">
        <is>
          <t>Treatment</t>
        </is>
      </c>
      <c r="D1325" s="0" t="inlineStr">
        <is>
          <t>South</t>
        </is>
      </c>
      <c r="E1325" s="0" t="inlineStr">
        <is>
          <t>Mobile</t>
        </is>
      </c>
      <c r="F1325" s="0" t="inlineStr">
        <is>
          <t>Email</t>
        </is>
      </c>
      <c r="G1325" s="0" t="inlineStr">
        <is>
          <t>Basic</t>
        </is>
      </c>
      <c r="H1325" s="0" t="n">
        <v>1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1</v>
      </c>
      <c r="N1325" s="0" t="n">
        <v>0</v>
      </c>
      <c r="P1325" s="0" t="n">
        <v>68.8</v>
      </c>
    </row>
    <row r="1326">
      <c r="A1326" s="0" t="inlineStr">
        <is>
          <t>USR-101325</t>
        </is>
      </c>
      <c r="B1326" s="23" t="n">
        <v>45683</v>
      </c>
      <c r="C1326" s="0" t="inlineStr">
        <is>
          <t>Treatment</t>
        </is>
      </c>
      <c r="D1326" s="0" t="inlineStr">
        <is>
          <t>West</t>
        </is>
      </c>
      <c r="E1326" s="0" t="inlineStr">
        <is>
          <t>Mobile</t>
        </is>
      </c>
      <c r="F1326" s="0" t="inlineStr">
        <is>
          <t>Paid Search</t>
        </is>
      </c>
      <c r="G1326" s="0" t="inlineStr">
        <is>
          <t>Free</t>
        </is>
      </c>
      <c r="H1326" s="0" t="n">
        <v>1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P1326" s="0" t="n">
        <v>66.59999999999999</v>
      </c>
    </row>
    <row r="1327">
      <c r="A1327" s="0" t="inlineStr">
        <is>
          <t>USR-101326</t>
        </is>
      </c>
      <c r="B1327" s="23" t="n">
        <v>45790</v>
      </c>
      <c r="C1327" s="0" t="inlineStr">
        <is>
          <t>Treatment</t>
        </is>
      </c>
      <c r="D1327" s="0" t="inlineStr">
        <is>
          <t>North</t>
        </is>
      </c>
      <c r="E1327" s="0" t="inlineStr">
        <is>
          <t>Mobile</t>
        </is>
      </c>
      <c r="F1327" s="0" t="inlineStr">
        <is>
          <t>Organic</t>
        </is>
      </c>
      <c r="G1327" s="0" t="inlineStr">
        <is>
          <t>Premium</t>
        </is>
      </c>
      <c r="H1327" s="0" t="n">
        <v>1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P1327" s="0" t="n">
        <v>49.7</v>
      </c>
    </row>
    <row r="1328">
      <c r="A1328" s="0" t="inlineStr">
        <is>
          <t>USR-101327</t>
        </is>
      </c>
      <c r="B1328" s="23" t="n">
        <v>45690</v>
      </c>
      <c r="C1328" s="0" t="inlineStr">
        <is>
          <t>Treatment</t>
        </is>
      </c>
      <c r="D1328" s="0" t="inlineStr">
        <is>
          <t>South</t>
        </is>
      </c>
      <c r="E1328" s="0" t="inlineStr">
        <is>
          <t>Mobile</t>
        </is>
      </c>
      <c r="F1328" s="0" t="inlineStr">
        <is>
          <t>Paid Search</t>
        </is>
      </c>
      <c r="G1328" s="0" t="inlineStr">
        <is>
          <t>Basic</t>
        </is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P1328" s="0" t="n">
        <v>67.90000000000001</v>
      </c>
    </row>
    <row r="1329">
      <c r="A1329" s="0" t="inlineStr">
        <is>
          <t>USR-101328</t>
        </is>
      </c>
      <c r="B1329" s="23" t="n">
        <v>45777</v>
      </c>
      <c r="C1329" s="0" t="inlineStr">
        <is>
          <t>Treatment</t>
        </is>
      </c>
      <c r="D1329" s="0" t="inlineStr">
        <is>
          <t>West</t>
        </is>
      </c>
      <c r="E1329" s="0" t="inlineStr">
        <is>
          <t>Mobile</t>
        </is>
      </c>
      <c r="F1329" s="0" t="inlineStr">
        <is>
          <t>Unknown</t>
        </is>
      </c>
      <c r="G1329" s="0" t="inlineStr">
        <is>
          <t>Basic</t>
        </is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P1329" s="0" t="n">
        <v>66.90000000000001</v>
      </c>
    </row>
    <row r="1330">
      <c r="A1330" s="0" t="inlineStr">
        <is>
          <t>USR-101329</t>
        </is>
      </c>
      <c r="B1330" s="23" t="n">
        <v>45745</v>
      </c>
      <c r="C1330" s="0" t="inlineStr">
        <is>
          <t>Treatment</t>
        </is>
      </c>
      <c r="D1330" s="0" t="inlineStr">
        <is>
          <t>East</t>
        </is>
      </c>
      <c r="E1330" s="0" t="inlineStr">
        <is>
          <t>Mobile</t>
        </is>
      </c>
      <c r="F1330" s="0" t="inlineStr">
        <is>
          <t>Organic</t>
        </is>
      </c>
      <c r="G1330" s="0" t="inlineStr">
        <is>
          <t>Free</t>
        </is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P1330" s="0" t="n">
        <v>46.1</v>
      </c>
    </row>
    <row r="1331">
      <c r="A1331" s="0" t="inlineStr">
        <is>
          <t>USR-101330</t>
        </is>
      </c>
      <c r="B1331" s="23" t="n">
        <v>45756</v>
      </c>
      <c r="C1331" s="0" t="inlineStr">
        <is>
          <t>Treatment</t>
        </is>
      </c>
      <c r="D1331" s="0" t="inlineStr">
        <is>
          <t>West</t>
        </is>
      </c>
      <c r="E1331" s="0" t="inlineStr">
        <is>
          <t>Desktop</t>
        </is>
      </c>
      <c r="F1331" s="0" t="inlineStr">
        <is>
          <t>Referral</t>
        </is>
      </c>
      <c r="G1331" s="0" t="inlineStr">
        <is>
          <t>Premium</t>
        </is>
      </c>
      <c r="H1331" s="0" t="n">
        <v>1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P1331" s="0" t="n">
        <v>85.59999999999999</v>
      </c>
    </row>
    <row r="1332">
      <c r="A1332" s="0" t="inlineStr">
        <is>
          <t>USR-101331</t>
        </is>
      </c>
      <c r="B1332" s="23" t="n">
        <v>45679</v>
      </c>
      <c r="C1332" s="0" t="inlineStr">
        <is>
          <t>Treatment</t>
        </is>
      </c>
      <c r="D1332" s="0" t="inlineStr">
        <is>
          <t>South</t>
        </is>
      </c>
      <c r="E1332" s="0" t="inlineStr">
        <is>
          <t>Tablet</t>
        </is>
      </c>
      <c r="F1332" s="0" t="inlineStr">
        <is>
          <t>Organic</t>
        </is>
      </c>
      <c r="G1332" s="0" t="inlineStr">
        <is>
          <t>Free</t>
        </is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P1332" s="0" t="n">
        <v>39.6</v>
      </c>
    </row>
    <row r="1333">
      <c r="A1333" s="0" t="inlineStr">
        <is>
          <t>USR-101332</t>
        </is>
      </c>
      <c r="B1333" s="23" t="n">
        <v>45684</v>
      </c>
      <c r="C1333" s="0" t="inlineStr">
        <is>
          <t>Treatment</t>
        </is>
      </c>
      <c r="D1333" s="0" t="inlineStr">
        <is>
          <t>South</t>
        </is>
      </c>
      <c r="E1333" s="0" t="inlineStr">
        <is>
          <t>Mobile</t>
        </is>
      </c>
      <c r="F1333" s="0" t="inlineStr">
        <is>
          <t>Organic</t>
        </is>
      </c>
      <c r="G1333" s="0" t="inlineStr">
        <is>
          <t>Basic</t>
        </is>
      </c>
      <c r="H1333" s="0" t="n">
        <v>1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P1333" s="0" t="n">
        <v>52.5</v>
      </c>
    </row>
    <row r="1334">
      <c r="A1334" s="0" t="inlineStr">
        <is>
          <t>USR-101333</t>
        </is>
      </c>
      <c r="B1334" s="23" t="n">
        <v>45679</v>
      </c>
      <c r="C1334" s="0" t="inlineStr">
        <is>
          <t>Treatment</t>
        </is>
      </c>
      <c r="D1334" s="0" t="inlineStr">
        <is>
          <t>East</t>
        </is>
      </c>
      <c r="E1334" s="0" t="inlineStr">
        <is>
          <t>Mobile</t>
        </is>
      </c>
      <c r="F1334" s="0" t="inlineStr">
        <is>
          <t>Social</t>
        </is>
      </c>
      <c r="G1334" s="0" t="inlineStr">
        <is>
          <t>Premium</t>
        </is>
      </c>
      <c r="H1334" s="0" t="n">
        <v>1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P1334" s="0" t="n">
        <v>73.5</v>
      </c>
    </row>
    <row r="1335">
      <c r="A1335" s="0" t="inlineStr">
        <is>
          <t>USR-101334</t>
        </is>
      </c>
      <c r="B1335" s="23" t="n">
        <v>45663</v>
      </c>
      <c r="C1335" s="0" t="inlineStr">
        <is>
          <t>Treatment</t>
        </is>
      </c>
      <c r="D1335" s="0" t="inlineStr">
        <is>
          <t>West</t>
        </is>
      </c>
      <c r="E1335" s="0" t="inlineStr">
        <is>
          <t>Desktop</t>
        </is>
      </c>
      <c r="F1335" s="0" t="inlineStr">
        <is>
          <t>Paid Search</t>
        </is>
      </c>
      <c r="G1335" s="0" t="inlineStr">
        <is>
          <t>Free</t>
        </is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P1335" s="0" t="n">
        <v>62.5</v>
      </c>
    </row>
    <row r="1336">
      <c r="A1336" s="0" t="inlineStr">
        <is>
          <t>USR-101335</t>
        </is>
      </c>
      <c r="B1336" s="23" t="n">
        <v>45763</v>
      </c>
      <c r="C1336" s="0" t="inlineStr">
        <is>
          <t>Treatment</t>
        </is>
      </c>
      <c r="D1336" s="0" t="inlineStr">
        <is>
          <t>South</t>
        </is>
      </c>
      <c r="E1336" s="0" t="inlineStr">
        <is>
          <t>Unknown</t>
        </is>
      </c>
      <c r="F1336" s="0" t="inlineStr">
        <is>
          <t>Organic</t>
        </is>
      </c>
      <c r="G1336" s="0" t="inlineStr">
        <is>
          <t>Free</t>
        </is>
      </c>
      <c r="H1336" s="0" t="n">
        <v>1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P1336" s="0" t="n">
        <v>76.90000000000001</v>
      </c>
    </row>
    <row r="1337">
      <c r="A1337" s="0" t="inlineStr">
        <is>
          <t>USR-101336</t>
        </is>
      </c>
      <c r="B1337" s="23" t="n">
        <v>45761</v>
      </c>
      <c r="C1337" s="0" t="inlineStr">
        <is>
          <t>Treatment</t>
        </is>
      </c>
      <c r="D1337" s="0" t="inlineStr">
        <is>
          <t>South</t>
        </is>
      </c>
      <c r="E1337" s="0" t="inlineStr">
        <is>
          <t>Mobile</t>
        </is>
      </c>
      <c r="F1337" s="0" t="inlineStr">
        <is>
          <t>Organic</t>
        </is>
      </c>
      <c r="G1337" s="0" t="inlineStr">
        <is>
          <t>Free</t>
        </is>
      </c>
      <c r="H1337" s="0" t="n">
        <v>1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P1337" s="0" t="n">
        <v>51.4</v>
      </c>
    </row>
    <row r="1338">
      <c r="A1338" s="0" t="inlineStr">
        <is>
          <t>USR-101337</t>
        </is>
      </c>
      <c r="B1338" s="23" t="n">
        <v>45710</v>
      </c>
      <c r="C1338" s="0" t="inlineStr">
        <is>
          <t>Treatment</t>
        </is>
      </c>
      <c r="D1338" s="0" t="inlineStr">
        <is>
          <t>West</t>
        </is>
      </c>
      <c r="E1338" s="0" t="inlineStr">
        <is>
          <t>Mobile</t>
        </is>
      </c>
      <c r="F1338" s="0" t="inlineStr">
        <is>
          <t>Paid Search</t>
        </is>
      </c>
      <c r="G1338" s="0" t="inlineStr">
        <is>
          <t>Basic</t>
        </is>
      </c>
      <c r="H1338" s="0" t="n">
        <v>1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P1338" s="0" t="n">
        <v>59.3</v>
      </c>
    </row>
    <row r="1339">
      <c r="A1339" s="0" t="inlineStr">
        <is>
          <t>USR-101338</t>
        </is>
      </c>
      <c r="B1339" s="23" t="n">
        <v>45725</v>
      </c>
      <c r="C1339" s="0" t="inlineStr">
        <is>
          <t>Treatment</t>
        </is>
      </c>
      <c r="D1339" s="0" t="inlineStr">
        <is>
          <t>North</t>
        </is>
      </c>
      <c r="E1339" s="0" t="inlineStr">
        <is>
          <t>Mobile</t>
        </is>
      </c>
      <c r="F1339" s="0" t="inlineStr">
        <is>
          <t>Organic</t>
        </is>
      </c>
      <c r="G1339" s="0" t="inlineStr">
        <is>
          <t>Basic</t>
        </is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P1339" s="0" t="n">
        <v>74.90000000000001</v>
      </c>
    </row>
    <row r="1340">
      <c r="A1340" s="0" t="inlineStr">
        <is>
          <t>USR-101339</t>
        </is>
      </c>
      <c r="B1340" s="23" t="n">
        <v>45767</v>
      </c>
      <c r="C1340" s="0" t="inlineStr">
        <is>
          <t>Treatment</t>
        </is>
      </c>
      <c r="D1340" s="0" t="inlineStr">
        <is>
          <t>West</t>
        </is>
      </c>
      <c r="E1340" s="0" t="inlineStr">
        <is>
          <t>Desktop</t>
        </is>
      </c>
      <c r="F1340" s="0" t="inlineStr">
        <is>
          <t>Organic</t>
        </is>
      </c>
      <c r="G1340" s="0" t="inlineStr">
        <is>
          <t>Free</t>
        </is>
      </c>
      <c r="H1340" s="0" t="n">
        <v>1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P1340" s="0" t="n">
        <v>67</v>
      </c>
    </row>
    <row r="1341">
      <c r="A1341" s="0" t="inlineStr">
        <is>
          <t>USR-101340</t>
        </is>
      </c>
      <c r="B1341" s="23" t="n">
        <v>45726</v>
      </c>
      <c r="C1341" s="0" t="inlineStr">
        <is>
          <t>Treatment</t>
        </is>
      </c>
      <c r="D1341" s="0" t="inlineStr">
        <is>
          <t>South</t>
        </is>
      </c>
      <c r="E1341" s="0" t="inlineStr">
        <is>
          <t>Mobile</t>
        </is>
      </c>
      <c r="F1341" s="0" t="inlineStr">
        <is>
          <t>Email</t>
        </is>
      </c>
      <c r="G1341" s="0" t="inlineStr">
        <is>
          <t>Free</t>
        </is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P1341" s="0" t="n">
        <v>63.6</v>
      </c>
    </row>
    <row r="1342">
      <c r="A1342" s="0" t="inlineStr">
        <is>
          <t>USR-101341</t>
        </is>
      </c>
      <c r="B1342" s="23" t="n">
        <v>45709</v>
      </c>
      <c r="C1342" s="0" t="inlineStr">
        <is>
          <t>Treatment</t>
        </is>
      </c>
      <c r="D1342" s="0" t="inlineStr">
        <is>
          <t>South</t>
        </is>
      </c>
      <c r="E1342" s="0" t="inlineStr">
        <is>
          <t>Mobile</t>
        </is>
      </c>
      <c r="F1342" s="0" t="inlineStr">
        <is>
          <t>Email</t>
        </is>
      </c>
      <c r="G1342" s="0" t="inlineStr">
        <is>
          <t>Free</t>
        </is>
      </c>
      <c r="H1342" s="0" t="n">
        <v>1</v>
      </c>
      <c r="I1342" s="0" t="n">
        <v>1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0</v>
      </c>
      <c r="P1342" s="0" t="n">
        <v>58.4</v>
      </c>
    </row>
    <row r="1343">
      <c r="A1343" s="0" t="inlineStr">
        <is>
          <t>USR-101342</t>
        </is>
      </c>
      <c r="B1343" s="23" t="n">
        <v>45663</v>
      </c>
      <c r="C1343" s="0" t="inlineStr">
        <is>
          <t>Treatment</t>
        </is>
      </c>
      <c r="D1343" s="0" t="inlineStr">
        <is>
          <t>North</t>
        </is>
      </c>
      <c r="E1343" s="0" t="inlineStr">
        <is>
          <t>Desktop</t>
        </is>
      </c>
      <c r="F1343" s="0" t="inlineStr">
        <is>
          <t>Social</t>
        </is>
      </c>
      <c r="G1343" s="0" t="inlineStr">
        <is>
          <t>Free</t>
        </is>
      </c>
      <c r="H1343" s="0" t="n">
        <v>1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P1343" s="0" t="n">
        <v>36.8</v>
      </c>
    </row>
    <row r="1344">
      <c r="A1344" s="0" t="inlineStr">
        <is>
          <t>USR-101343</t>
        </is>
      </c>
      <c r="B1344" s="23" t="n">
        <v>45764</v>
      </c>
      <c r="C1344" s="0" t="inlineStr">
        <is>
          <t>Treatment</t>
        </is>
      </c>
      <c r="D1344" s="0" t="inlineStr">
        <is>
          <t>South</t>
        </is>
      </c>
      <c r="E1344" s="0" t="inlineStr">
        <is>
          <t>Mobile</t>
        </is>
      </c>
      <c r="F1344" s="0" t="inlineStr">
        <is>
          <t>Organic</t>
        </is>
      </c>
      <c r="G1344" s="0" t="inlineStr">
        <is>
          <t>Premium</t>
        </is>
      </c>
      <c r="H1344" s="0" t="n">
        <v>1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P1344" s="0" t="n">
        <v>71.59999999999999</v>
      </c>
    </row>
    <row r="1345">
      <c r="A1345" s="0" t="inlineStr">
        <is>
          <t>USR-101344</t>
        </is>
      </c>
      <c r="B1345" s="23" t="n">
        <v>45800</v>
      </c>
      <c r="C1345" s="0" t="inlineStr">
        <is>
          <t>Treatment</t>
        </is>
      </c>
      <c r="D1345" s="0" t="inlineStr">
        <is>
          <t>South</t>
        </is>
      </c>
      <c r="E1345" s="0" t="inlineStr">
        <is>
          <t>Mobile</t>
        </is>
      </c>
      <c r="F1345" s="0" t="inlineStr">
        <is>
          <t>Email</t>
        </is>
      </c>
      <c r="G1345" s="0" t="inlineStr">
        <is>
          <t>Basic</t>
        </is>
      </c>
      <c r="H1345" s="0" t="n">
        <v>1</v>
      </c>
      <c r="I1345" s="0" t="n">
        <v>1</v>
      </c>
      <c r="J1345" s="0" t="n">
        <v>0</v>
      </c>
      <c r="K1345" s="0" t="n">
        <v>0</v>
      </c>
      <c r="L1345" s="0" t="n">
        <v>0</v>
      </c>
      <c r="M1345" s="0" t="n">
        <v>1</v>
      </c>
      <c r="N1345" s="0" t="n">
        <v>0</v>
      </c>
      <c r="P1345" s="0" t="n">
        <v>79.7</v>
      </c>
    </row>
    <row r="1346">
      <c r="A1346" s="0" t="inlineStr">
        <is>
          <t>USR-101345</t>
        </is>
      </c>
      <c r="B1346" s="23" t="n">
        <v>45730</v>
      </c>
      <c r="C1346" s="0" t="inlineStr">
        <is>
          <t>Treatment</t>
        </is>
      </c>
      <c r="D1346" s="0" t="inlineStr">
        <is>
          <t>West</t>
        </is>
      </c>
      <c r="E1346" s="0" t="inlineStr">
        <is>
          <t>Desktop</t>
        </is>
      </c>
      <c r="F1346" s="0" t="inlineStr">
        <is>
          <t>Organic</t>
        </is>
      </c>
      <c r="G1346" s="0" t="inlineStr">
        <is>
          <t>Basic</t>
        </is>
      </c>
      <c r="H1346" s="0" t="n">
        <v>1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1</v>
      </c>
      <c r="N1346" s="0" t="n">
        <v>0</v>
      </c>
      <c r="P1346" s="0" t="n">
        <v>56.5</v>
      </c>
    </row>
    <row r="1347">
      <c r="A1347" s="0" t="inlineStr">
        <is>
          <t>USR-101346</t>
        </is>
      </c>
      <c r="B1347" s="23" t="n">
        <v>45768</v>
      </c>
      <c r="C1347" s="0" t="inlineStr">
        <is>
          <t>Treatment</t>
        </is>
      </c>
      <c r="D1347" s="0" t="inlineStr">
        <is>
          <t>North</t>
        </is>
      </c>
      <c r="E1347" s="0" t="inlineStr">
        <is>
          <t>Mobile</t>
        </is>
      </c>
      <c r="F1347" s="0" t="inlineStr">
        <is>
          <t>Social</t>
        </is>
      </c>
      <c r="G1347" s="0" t="inlineStr">
        <is>
          <t>Premium</t>
        </is>
      </c>
      <c r="H1347" s="0" t="n">
        <v>1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P1347" s="0" t="n">
        <v>44.7</v>
      </c>
    </row>
    <row r="1348">
      <c r="A1348" s="0" t="inlineStr">
        <is>
          <t>USR-101347</t>
        </is>
      </c>
      <c r="B1348" s="23" t="n">
        <v>45660</v>
      </c>
      <c r="C1348" s="0" t="inlineStr">
        <is>
          <t>Treatment</t>
        </is>
      </c>
      <c r="D1348" s="0" t="inlineStr">
        <is>
          <t>South</t>
        </is>
      </c>
      <c r="E1348" s="0" t="inlineStr">
        <is>
          <t>Mobile</t>
        </is>
      </c>
      <c r="F1348" s="0" t="inlineStr">
        <is>
          <t>Social</t>
        </is>
      </c>
      <c r="G1348" s="0" t="inlineStr">
        <is>
          <t>Free</t>
        </is>
      </c>
      <c r="H1348" s="0" t="n">
        <v>1</v>
      </c>
      <c r="I1348" s="0" t="n">
        <v>1</v>
      </c>
      <c r="J1348" s="0" t="n">
        <v>1</v>
      </c>
      <c r="K1348" s="0" t="n">
        <v>0</v>
      </c>
      <c r="L1348" s="0" t="n">
        <v>0</v>
      </c>
      <c r="M1348" s="0" t="n">
        <v>1</v>
      </c>
      <c r="N1348" s="0" t="n">
        <v>0</v>
      </c>
      <c r="P1348" s="0" t="n">
        <v>66</v>
      </c>
    </row>
    <row r="1349">
      <c r="A1349" s="0" t="inlineStr">
        <is>
          <t>USR-101348</t>
        </is>
      </c>
      <c r="B1349" s="23" t="n">
        <v>45786</v>
      </c>
      <c r="C1349" s="0" t="inlineStr">
        <is>
          <t>Treatment</t>
        </is>
      </c>
      <c r="D1349" s="0" t="inlineStr">
        <is>
          <t>North</t>
        </is>
      </c>
      <c r="E1349" s="0" t="inlineStr">
        <is>
          <t>Desktop</t>
        </is>
      </c>
      <c r="F1349" s="0" t="inlineStr">
        <is>
          <t>Organic</t>
        </is>
      </c>
      <c r="G1349" s="0" t="inlineStr">
        <is>
          <t>Basic</t>
        </is>
      </c>
      <c r="H1349" s="0" t="n">
        <v>1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P1349" s="0" t="n">
        <v>73</v>
      </c>
    </row>
    <row r="1350">
      <c r="A1350" s="0" t="inlineStr">
        <is>
          <t>USR-101349</t>
        </is>
      </c>
      <c r="B1350" s="23" t="n">
        <v>45799</v>
      </c>
      <c r="C1350" s="0" t="inlineStr">
        <is>
          <t>Treatment</t>
        </is>
      </c>
      <c r="D1350" s="0" t="inlineStr">
        <is>
          <t>South</t>
        </is>
      </c>
      <c r="E1350" s="0" t="inlineStr">
        <is>
          <t>Mobile</t>
        </is>
      </c>
      <c r="F1350" s="0" t="inlineStr">
        <is>
          <t>Organic</t>
        </is>
      </c>
      <c r="G1350" s="0" t="inlineStr">
        <is>
          <t>Basic</t>
        </is>
      </c>
      <c r="H1350" s="0" t="n">
        <v>1</v>
      </c>
      <c r="I1350" s="0" t="n">
        <v>1</v>
      </c>
      <c r="J1350" s="0" t="n">
        <v>1</v>
      </c>
      <c r="K1350" s="0" t="n">
        <v>0</v>
      </c>
      <c r="L1350" s="0" t="n">
        <v>0</v>
      </c>
      <c r="M1350" s="0" t="n">
        <v>1</v>
      </c>
      <c r="N1350" s="0" t="n">
        <v>0</v>
      </c>
      <c r="P1350" s="0" t="n">
        <v>72.5</v>
      </c>
    </row>
    <row r="1351">
      <c r="A1351" s="0" t="inlineStr">
        <is>
          <t>USR-101350</t>
        </is>
      </c>
      <c r="B1351" s="23" t="n">
        <v>45784</v>
      </c>
      <c r="C1351" s="0" t="inlineStr">
        <is>
          <t>Treatment</t>
        </is>
      </c>
      <c r="D1351" s="0" t="inlineStr">
        <is>
          <t>South</t>
        </is>
      </c>
      <c r="E1351" s="0" t="inlineStr">
        <is>
          <t>Desktop</t>
        </is>
      </c>
      <c r="F1351" s="0" t="inlineStr">
        <is>
          <t>Paid Search</t>
        </is>
      </c>
      <c r="G1351" s="0" t="inlineStr">
        <is>
          <t>Free</t>
        </is>
      </c>
      <c r="H1351" s="0" t="n">
        <v>1</v>
      </c>
      <c r="I1351" s="0" t="n">
        <v>1</v>
      </c>
      <c r="J1351" s="0" t="n">
        <v>1</v>
      </c>
      <c r="K1351" s="0" t="n">
        <v>1</v>
      </c>
      <c r="L1351" s="0" t="n">
        <v>323.6</v>
      </c>
      <c r="M1351" s="0" t="n">
        <v>0</v>
      </c>
      <c r="N1351" s="0" t="n">
        <v>0</v>
      </c>
      <c r="O1351" s="0" t="n">
        <v>6</v>
      </c>
      <c r="P1351" s="0" t="n">
        <v>100</v>
      </c>
    </row>
    <row r="1352">
      <c r="A1352" s="0" t="inlineStr">
        <is>
          <t>USR-101351</t>
        </is>
      </c>
      <c r="B1352" s="23" t="n">
        <v>45696</v>
      </c>
      <c r="C1352" s="0" t="inlineStr">
        <is>
          <t>Treatment</t>
        </is>
      </c>
      <c r="D1352" s="0" t="inlineStr">
        <is>
          <t>East</t>
        </is>
      </c>
      <c r="E1352" s="0" t="inlineStr">
        <is>
          <t>Mobile</t>
        </is>
      </c>
      <c r="F1352" s="0" t="inlineStr">
        <is>
          <t>Social</t>
        </is>
      </c>
      <c r="G1352" s="0" t="inlineStr">
        <is>
          <t>Free</t>
        </is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1</v>
      </c>
      <c r="N1352" s="0" t="n">
        <v>0</v>
      </c>
      <c r="P1352" s="0" t="n">
        <v>90.5</v>
      </c>
    </row>
    <row r="1353">
      <c r="A1353" s="0" t="inlineStr">
        <is>
          <t>USR-101352</t>
        </is>
      </c>
      <c r="B1353" s="23" t="n">
        <v>45750</v>
      </c>
      <c r="C1353" s="0" t="inlineStr">
        <is>
          <t>Treatment</t>
        </is>
      </c>
      <c r="D1353" s="0" t="inlineStr">
        <is>
          <t>North</t>
        </is>
      </c>
      <c r="E1353" s="0" t="inlineStr">
        <is>
          <t>Tablet</t>
        </is>
      </c>
      <c r="F1353" s="0" t="inlineStr">
        <is>
          <t>Social</t>
        </is>
      </c>
      <c r="G1353" s="0" t="inlineStr">
        <is>
          <t>Basic</t>
        </is>
      </c>
      <c r="H1353" s="0" t="n">
        <v>1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P1353" s="0" t="n">
        <v>70.2</v>
      </c>
    </row>
    <row r="1354">
      <c r="A1354" s="0" t="inlineStr">
        <is>
          <t>USR-101353</t>
        </is>
      </c>
      <c r="B1354" s="23" t="n">
        <v>45764</v>
      </c>
      <c r="C1354" s="0" t="inlineStr">
        <is>
          <t>Treatment</t>
        </is>
      </c>
      <c r="D1354" s="0" t="inlineStr">
        <is>
          <t>East</t>
        </is>
      </c>
      <c r="E1354" s="0" t="inlineStr">
        <is>
          <t>Desktop</t>
        </is>
      </c>
      <c r="F1354" s="0" t="inlineStr">
        <is>
          <t>Paid Search</t>
        </is>
      </c>
      <c r="G1354" s="0" t="inlineStr">
        <is>
          <t>Free</t>
        </is>
      </c>
      <c r="H1354" s="0" t="n">
        <v>1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0</v>
      </c>
      <c r="P1354" s="0" t="n">
        <v>67.09999999999999</v>
      </c>
    </row>
    <row r="1355">
      <c r="A1355" s="0" t="inlineStr">
        <is>
          <t>USR-101354</t>
        </is>
      </c>
      <c r="B1355" s="23" t="n">
        <v>45781</v>
      </c>
      <c r="C1355" s="0" t="inlineStr">
        <is>
          <t>Treatment</t>
        </is>
      </c>
      <c r="D1355" s="0" t="inlineStr">
        <is>
          <t>East</t>
        </is>
      </c>
      <c r="E1355" s="0" t="inlineStr">
        <is>
          <t>Mobile</t>
        </is>
      </c>
      <c r="F1355" s="0" t="inlineStr">
        <is>
          <t>Organic</t>
        </is>
      </c>
      <c r="G1355" s="0" t="inlineStr">
        <is>
          <t>Free</t>
        </is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P1355" s="0" t="n">
        <v>54.5</v>
      </c>
    </row>
    <row r="1356">
      <c r="A1356" s="0" t="inlineStr">
        <is>
          <t>USR-101355</t>
        </is>
      </c>
      <c r="B1356" s="23" t="n">
        <v>45788</v>
      </c>
      <c r="C1356" s="0" t="inlineStr">
        <is>
          <t>Treatment</t>
        </is>
      </c>
      <c r="D1356" s="0" t="inlineStr">
        <is>
          <t>West</t>
        </is>
      </c>
      <c r="E1356" s="0" t="inlineStr">
        <is>
          <t>Desktop</t>
        </is>
      </c>
      <c r="F1356" s="0" t="inlineStr">
        <is>
          <t>Organic</t>
        </is>
      </c>
      <c r="G1356" s="0" t="inlineStr">
        <is>
          <t>Free</t>
        </is>
      </c>
      <c r="H1356" s="0" t="n">
        <v>1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P1356" s="0" t="n">
        <v>63.4</v>
      </c>
    </row>
    <row r="1357">
      <c r="A1357" s="0" t="inlineStr">
        <is>
          <t>USR-101356</t>
        </is>
      </c>
      <c r="B1357" s="23" t="n">
        <v>45717</v>
      </c>
      <c r="C1357" s="0" t="inlineStr">
        <is>
          <t>Treatment</t>
        </is>
      </c>
      <c r="D1357" s="0" t="inlineStr">
        <is>
          <t>North</t>
        </is>
      </c>
      <c r="E1357" s="0" t="inlineStr">
        <is>
          <t>Desktop</t>
        </is>
      </c>
      <c r="F1357" s="0" t="inlineStr">
        <is>
          <t>Unknown</t>
        </is>
      </c>
      <c r="G1357" s="0" t="inlineStr">
        <is>
          <t>Free</t>
        </is>
      </c>
      <c r="H1357" s="0" t="n">
        <v>1</v>
      </c>
      <c r="I1357" s="0" t="n">
        <v>1</v>
      </c>
      <c r="J1357" s="0" t="n">
        <v>1</v>
      </c>
      <c r="K1357" s="0" t="n">
        <v>0</v>
      </c>
      <c r="L1357" s="0" t="n">
        <v>0</v>
      </c>
      <c r="M1357" s="0" t="n">
        <v>0</v>
      </c>
      <c r="N1357" s="0" t="n">
        <v>0</v>
      </c>
      <c r="P1357" s="0" t="n">
        <v>84.3</v>
      </c>
    </row>
    <row r="1358">
      <c r="A1358" s="0" t="inlineStr">
        <is>
          <t>USR-101357</t>
        </is>
      </c>
      <c r="B1358" s="23" t="n">
        <v>45708</v>
      </c>
      <c r="C1358" s="0" t="inlineStr">
        <is>
          <t>Treatment</t>
        </is>
      </c>
      <c r="D1358" s="0" t="inlineStr">
        <is>
          <t>West</t>
        </is>
      </c>
      <c r="E1358" s="0" t="inlineStr">
        <is>
          <t>Desktop</t>
        </is>
      </c>
      <c r="F1358" s="0" t="inlineStr">
        <is>
          <t>Organic</t>
        </is>
      </c>
      <c r="G1358" s="0" t="inlineStr">
        <is>
          <t>Free</t>
        </is>
      </c>
      <c r="H1358" s="0" t="n">
        <v>1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1</v>
      </c>
      <c r="N1358" s="0" t="n">
        <v>0</v>
      </c>
      <c r="P1358" s="0" t="n">
        <v>55</v>
      </c>
    </row>
    <row r="1359">
      <c r="A1359" s="0" t="inlineStr">
        <is>
          <t>USR-101358</t>
        </is>
      </c>
      <c r="B1359" s="23" t="n">
        <v>45786</v>
      </c>
      <c r="C1359" s="0" t="inlineStr">
        <is>
          <t>Treatment</t>
        </is>
      </c>
      <c r="D1359" s="0" t="inlineStr">
        <is>
          <t>West</t>
        </is>
      </c>
      <c r="E1359" s="0" t="inlineStr">
        <is>
          <t>Mobile</t>
        </is>
      </c>
      <c r="F1359" s="0" t="inlineStr">
        <is>
          <t>Social</t>
        </is>
      </c>
      <c r="G1359" s="0" t="inlineStr">
        <is>
          <t>Free</t>
        </is>
      </c>
      <c r="H1359" s="0" t="n">
        <v>1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P1359" s="0" t="n">
        <v>63.6</v>
      </c>
    </row>
    <row r="1360">
      <c r="A1360" s="0" t="inlineStr">
        <is>
          <t>USR-101359</t>
        </is>
      </c>
      <c r="B1360" s="23" t="n">
        <v>45777</v>
      </c>
      <c r="C1360" s="0" t="inlineStr">
        <is>
          <t>Treatment</t>
        </is>
      </c>
      <c r="D1360" s="0" t="inlineStr">
        <is>
          <t>West</t>
        </is>
      </c>
      <c r="E1360" s="0" t="inlineStr">
        <is>
          <t>Mobile</t>
        </is>
      </c>
      <c r="F1360" s="0" t="inlineStr">
        <is>
          <t>Organic</t>
        </is>
      </c>
      <c r="G1360" s="0" t="inlineStr">
        <is>
          <t>Free</t>
        </is>
      </c>
      <c r="H1360" s="0" t="n">
        <v>1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P1360" s="0" t="n">
        <v>55.5</v>
      </c>
    </row>
    <row r="1361">
      <c r="A1361" s="0" t="inlineStr">
        <is>
          <t>USR-101360</t>
        </is>
      </c>
      <c r="B1361" s="23" t="n">
        <v>45664</v>
      </c>
      <c r="C1361" s="0" t="inlineStr">
        <is>
          <t>Treatment</t>
        </is>
      </c>
      <c r="D1361" s="0" t="inlineStr">
        <is>
          <t>South</t>
        </is>
      </c>
      <c r="E1361" s="0" t="inlineStr">
        <is>
          <t>Mobile</t>
        </is>
      </c>
      <c r="F1361" s="0" t="inlineStr">
        <is>
          <t>Social</t>
        </is>
      </c>
      <c r="G1361" s="0" t="inlineStr">
        <is>
          <t>Basic</t>
        </is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P1361" s="0" t="n">
        <v>50.5</v>
      </c>
    </row>
    <row r="1362">
      <c r="A1362" s="0" t="inlineStr">
        <is>
          <t>USR-101361</t>
        </is>
      </c>
      <c r="B1362" s="23" t="n">
        <v>45777</v>
      </c>
      <c r="C1362" s="0" t="inlineStr">
        <is>
          <t>Treatment</t>
        </is>
      </c>
      <c r="D1362" s="0" t="inlineStr">
        <is>
          <t>North</t>
        </is>
      </c>
      <c r="E1362" s="0" t="inlineStr">
        <is>
          <t>Mobile</t>
        </is>
      </c>
      <c r="F1362" s="0" t="inlineStr">
        <is>
          <t>Social</t>
        </is>
      </c>
      <c r="G1362" s="0" t="inlineStr">
        <is>
          <t>Basic</t>
        </is>
      </c>
      <c r="H1362" s="0" t="n">
        <v>1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P1362" s="0" t="n">
        <v>45.3</v>
      </c>
    </row>
    <row r="1363">
      <c r="A1363" s="0" t="inlineStr">
        <is>
          <t>USR-101362</t>
        </is>
      </c>
      <c r="B1363" s="23" t="n">
        <v>45800</v>
      </c>
      <c r="C1363" s="0" t="inlineStr">
        <is>
          <t>Treatment</t>
        </is>
      </c>
      <c r="D1363" s="0" t="inlineStr">
        <is>
          <t>East</t>
        </is>
      </c>
      <c r="E1363" s="0" t="inlineStr">
        <is>
          <t>Mobile</t>
        </is>
      </c>
      <c r="F1363" s="0" t="inlineStr">
        <is>
          <t>Organic</t>
        </is>
      </c>
      <c r="G1363" s="0" t="inlineStr">
        <is>
          <t>Basic</t>
        </is>
      </c>
      <c r="H1363" s="0" t="n">
        <v>1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P1363" s="0" t="n">
        <v>33.6</v>
      </c>
    </row>
    <row r="1364">
      <c r="A1364" s="0" t="inlineStr">
        <is>
          <t>USR-101363</t>
        </is>
      </c>
      <c r="B1364" s="23" t="n">
        <v>45728</v>
      </c>
      <c r="C1364" s="0" t="inlineStr">
        <is>
          <t>Treatment</t>
        </is>
      </c>
      <c r="D1364" s="0" t="inlineStr">
        <is>
          <t>South</t>
        </is>
      </c>
      <c r="E1364" s="0" t="inlineStr">
        <is>
          <t>Mobile</t>
        </is>
      </c>
      <c r="F1364" s="0" t="inlineStr">
        <is>
          <t>Paid Search</t>
        </is>
      </c>
      <c r="G1364" s="0" t="inlineStr">
        <is>
          <t>Premium</t>
        </is>
      </c>
      <c r="H1364" s="0" t="n">
        <v>1</v>
      </c>
      <c r="I1364" s="0" t="n">
        <v>1</v>
      </c>
      <c r="J1364" s="0" t="n">
        <v>1</v>
      </c>
      <c r="K1364" s="0" t="n">
        <v>0</v>
      </c>
      <c r="L1364" s="0" t="n">
        <v>0</v>
      </c>
      <c r="M1364" s="0" t="n">
        <v>0</v>
      </c>
      <c r="N1364" s="0" t="n">
        <v>0</v>
      </c>
      <c r="P1364" s="0" t="n">
        <v>88.2</v>
      </c>
    </row>
    <row r="1365">
      <c r="A1365" s="0" t="inlineStr">
        <is>
          <t>USR-101364</t>
        </is>
      </c>
      <c r="B1365" s="23" t="n">
        <v>45705</v>
      </c>
      <c r="C1365" s="0" t="inlineStr">
        <is>
          <t>Treatment</t>
        </is>
      </c>
      <c r="D1365" s="0" t="inlineStr">
        <is>
          <t>North</t>
        </is>
      </c>
      <c r="E1365" s="0" t="inlineStr">
        <is>
          <t>Mobile</t>
        </is>
      </c>
      <c r="F1365" s="0" t="inlineStr">
        <is>
          <t>Organic</t>
        </is>
      </c>
      <c r="G1365" s="0" t="inlineStr">
        <is>
          <t>Premium</t>
        </is>
      </c>
      <c r="H1365" s="0" t="n">
        <v>1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P1365" s="0" t="n">
        <v>51.8</v>
      </c>
    </row>
    <row r="1366">
      <c r="A1366" s="0" t="inlineStr">
        <is>
          <t>USR-101365</t>
        </is>
      </c>
      <c r="B1366" s="23" t="n">
        <v>45804</v>
      </c>
      <c r="C1366" s="0" t="inlineStr">
        <is>
          <t>Treatment</t>
        </is>
      </c>
      <c r="D1366" s="0" t="inlineStr">
        <is>
          <t>North</t>
        </is>
      </c>
      <c r="E1366" s="0" t="inlineStr">
        <is>
          <t>Desktop</t>
        </is>
      </c>
      <c r="F1366" s="0" t="inlineStr">
        <is>
          <t>Organic</t>
        </is>
      </c>
      <c r="G1366" s="0" t="inlineStr">
        <is>
          <t>Basic</t>
        </is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P1366" s="0" t="n">
        <v>87.90000000000001</v>
      </c>
    </row>
    <row r="1367">
      <c r="A1367" s="0" t="inlineStr">
        <is>
          <t>USR-101366</t>
        </is>
      </c>
      <c r="B1367" s="23" t="n">
        <v>45787</v>
      </c>
      <c r="C1367" s="0" t="inlineStr">
        <is>
          <t>Treatment</t>
        </is>
      </c>
      <c r="D1367" s="0" t="inlineStr">
        <is>
          <t>South</t>
        </is>
      </c>
      <c r="E1367" s="0" t="inlineStr">
        <is>
          <t>Mobile</t>
        </is>
      </c>
      <c r="F1367" s="0" t="inlineStr">
        <is>
          <t>Social</t>
        </is>
      </c>
      <c r="G1367" s="0" t="inlineStr">
        <is>
          <t>Premium</t>
        </is>
      </c>
      <c r="H1367" s="0" t="n">
        <v>1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2</v>
      </c>
      <c r="N1367" s="0" t="n">
        <v>0</v>
      </c>
      <c r="P1367" s="0" t="n">
        <v>70.5</v>
      </c>
    </row>
    <row r="1368">
      <c r="A1368" s="0" t="inlineStr">
        <is>
          <t>USR-101367</t>
        </is>
      </c>
      <c r="B1368" s="23" t="n">
        <v>45677</v>
      </c>
      <c r="C1368" s="0" t="inlineStr">
        <is>
          <t>Treatment</t>
        </is>
      </c>
      <c r="D1368" s="0" t="inlineStr">
        <is>
          <t>North</t>
        </is>
      </c>
      <c r="E1368" s="0" t="inlineStr">
        <is>
          <t>Mobile</t>
        </is>
      </c>
      <c r="F1368" s="0" t="inlineStr">
        <is>
          <t>Organic</t>
        </is>
      </c>
      <c r="G1368" s="0" t="inlineStr">
        <is>
          <t>Basic</t>
        </is>
      </c>
      <c r="H1368" s="0" t="n">
        <v>1</v>
      </c>
      <c r="I1368" s="0" t="n">
        <v>1</v>
      </c>
      <c r="J1368" s="0" t="n">
        <v>0</v>
      </c>
      <c r="K1368" s="0" t="n">
        <v>0</v>
      </c>
      <c r="L1368" s="0" t="n">
        <v>0</v>
      </c>
      <c r="M1368" s="0" t="n">
        <v>2</v>
      </c>
      <c r="N1368" s="0" t="n">
        <v>0</v>
      </c>
      <c r="P1368" s="0" t="n">
        <v>58.5</v>
      </c>
    </row>
    <row r="1369">
      <c r="A1369" s="0" t="inlineStr">
        <is>
          <t>USR-101368</t>
        </is>
      </c>
      <c r="B1369" s="23" t="n">
        <v>45676</v>
      </c>
      <c r="C1369" s="0" t="inlineStr">
        <is>
          <t>Treatment</t>
        </is>
      </c>
      <c r="D1369" s="0" t="inlineStr">
        <is>
          <t>East</t>
        </is>
      </c>
      <c r="E1369" s="0" t="inlineStr">
        <is>
          <t>Mobile</t>
        </is>
      </c>
      <c r="F1369" s="0" t="inlineStr">
        <is>
          <t>Referral</t>
        </is>
      </c>
      <c r="G1369" s="0" t="inlineStr">
        <is>
          <t>Free</t>
        </is>
      </c>
      <c r="H1369" s="0" t="n">
        <v>1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P1369" s="0" t="n">
        <v>65.59999999999999</v>
      </c>
    </row>
    <row r="1370">
      <c r="A1370" s="0" t="inlineStr">
        <is>
          <t>USR-101369</t>
        </is>
      </c>
      <c r="B1370" s="23" t="n">
        <v>45723</v>
      </c>
      <c r="C1370" s="0" t="inlineStr">
        <is>
          <t>Treatment</t>
        </is>
      </c>
      <c r="D1370" s="0" t="inlineStr">
        <is>
          <t>West</t>
        </is>
      </c>
      <c r="E1370" s="0" t="inlineStr">
        <is>
          <t>Desktop</t>
        </is>
      </c>
      <c r="F1370" s="0" t="inlineStr">
        <is>
          <t>Paid Search</t>
        </is>
      </c>
      <c r="G1370" s="0" t="inlineStr">
        <is>
          <t>Basic</t>
        </is>
      </c>
      <c r="H1370" s="0" t="n">
        <v>1</v>
      </c>
      <c r="I1370" s="0" t="n">
        <v>1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P1370" s="0" t="n">
        <v>62.7</v>
      </c>
    </row>
    <row r="1371">
      <c r="A1371" s="0" t="inlineStr">
        <is>
          <t>USR-101370</t>
        </is>
      </c>
      <c r="B1371" s="23" t="n">
        <v>45690</v>
      </c>
      <c r="C1371" s="0" t="inlineStr">
        <is>
          <t>Treatment</t>
        </is>
      </c>
      <c r="D1371" s="0" t="inlineStr">
        <is>
          <t>East</t>
        </is>
      </c>
      <c r="E1371" s="0" t="inlineStr">
        <is>
          <t>Mobile</t>
        </is>
      </c>
      <c r="F1371" s="0" t="inlineStr">
        <is>
          <t>Organic</t>
        </is>
      </c>
      <c r="G1371" s="0" t="inlineStr">
        <is>
          <t>Free</t>
        </is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1</v>
      </c>
      <c r="N1371" s="0" t="n">
        <v>0</v>
      </c>
      <c r="P1371" s="0" t="n">
        <v>50.9</v>
      </c>
    </row>
    <row r="1372">
      <c r="A1372" s="0" t="inlineStr">
        <is>
          <t>USR-101371</t>
        </is>
      </c>
      <c r="B1372" s="23" t="n">
        <v>45723</v>
      </c>
      <c r="C1372" s="0" t="inlineStr">
        <is>
          <t>Treatment</t>
        </is>
      </c>
      <c r="D1372" s="0" t="inlineStr">
        <is>
          <t>North</t>
        </is>
      </c>
      <c r="E1372" s="0" t="inlineStr">
        <is>
          <t>Mobile</t>
        </is>
      </c>
      <c r="F1372" s="0" t="inlineStr">
        <is>
          <t>Organic</t>
        </is>
      </c>
      <c r="G1372" s="0" t="inlineStr">
        <is>
          <t>Free</t>
        </is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1</v>
      </c>
      <c r="N1372" s="0" t="n">
        <v>0</v>
      </c>
      <c r="P1372" s="0" t="n">
        <v>60.6</v>
      </c>
    </row>
    <row r="1373">
      <c r="A1373" s="0" t="inlineStr">
        <is>
          <t>USR-101372</t>
        </is>
      </c>
      <c r="B1373" s="23" t="n">
        <v>45746</v>
      </c>
      <c r="C1373" s="0" t="inlineStr">
        <is>
          <t>Treatment</t>
        </is>
      </c>
      <c r="D1373" s="0" t="inlineStr">
        <is>
          <t>East</t>
        </is>
      </c>
      <c r="E1373" s="0" t="inlineStr">
        <is>
          <t>Desktop</t>
        </is>
      </c>
      <c r="F1373" s="0" t="inlineStr">
        <is>
          <t>Organic</t>
        </is>
      </c>
      <c r="G1373" s="0" t="inlineStr">
        <is>
          <t>Free</t>
        </is>
      </c>
      <c r="H1373" s="0" t="n">
        <v>1</v>
      </c>
      <c r="I1373" s="0" t="n">
        <v>1</v>
      </c>
      <c r="J1373" s="0" t="n">
        <v>1</v>
      </c>
      <c r="K1373" s="0" t="n">
        <v>0</v>
      </c>
      <c r="L1373" s="0" t="n">
        <v>0</v>
      </c>
      <c r="M1373" s="0" t="n">
        <v>0</v>
      </c>
      <c r="N1373" s="0" t="n">
        <v>0</v>
      </c>
      <c r="P1373" s="0" t="n">
        <v>76.59999999999999</v>
      </c>
    </row>
    <row r="1374">
      <c r="A1374" s="0" t="inlineStr">
        <is>
          <t>USR-101373</t>
        </is>
      </c>
      <c r="B1374" s="23" t="n">
        <v>45782</v>
      </c>
      <c r="C1374" s="0" t="inlineStr">
        <is>
          <t>Treatment</t>
        </is>
      </c>
      <c r="D1374" s="0" t="inlineStr">
        <is>
          <t>East</t>
        </is>
      </c>
      <c r="E1374" s="0" t="inlineStr">
        <is>
          <t>Desktop</t>
        </is>
      </c>
      <c r="F1374" s="0" t="inlineStr">
        <is>
          <t>Paid Search</t>
        </is>
      </c>
      <c r="G1374" s="0" t="inlineStr">
        <is>
          <t>Free</t>
        </is>
      </c>
      <c r="H1374" s="0" t="n">
        <v>1</v>
      </c>
      <c r="I1374" s="0" t="n">
        <v>1</v>
      </c>
      <c r="J1374" s="0" t="n">
        <v>1</v>
      </c>
      <c r="K1374" s="0" t="n">
        <v>0</v>
      </c>
      <c r="L1374" s="0" t="n">
        <v>0</v>
      </c>
      <c r="M1374" s="0" t="n">
        <v>0</v>
      </c>
      <c r="N1374" s="0" t="n">
        <v>0</v>
      </c>
      <c r="P1374" s="0" t="n">
        <v>54.4</v>
      </c>
    </row>
    <row r="1375">
      <c r="A1375" s="0" t="inlineStr">
        <is>
          <t>USR-101374</t>
        </is>
      </c>
      <c r="B1375" s="23" t="n">
        <v>45758</v>
      </c>
      <c r="C1375" s="0" t="inlineStr">
        <is>
          <t>Treatment</t>
        </is>
      </c>
      <c r="D1375" s="0" t="inlineStr">
        <is>
          <t>South</t>
        </is>
      </c>
      <c r="E1375" s="0" t="inlineStr">
        <is>
          <t>Mobile</t>
        </is>
      </c>
      <c r="F1375" s="0" t="inlineStr">
        <is>
          <t>Social</t>
        </is>
      </c>
      <c r="G1375" s="0" t="inlineStr">
        <is>
          <t>Free</t>
        </is>
      </c>
      <c r="H1375" s="0" t="n">
        <v>1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P1375" s="0" t="n">
        <v>31.2</v>
      </c>
    </row>
    <row r="1376">
      <c r="A1376" s="0" t="inlineStr">
        <is>
          <t>USR-101375</t>
        </is>
      </c>
      <c r="B1376" s="23" t="n">
        <v>45741</v>
      </c>
      <c r="C1376" s="0" t="inlineStr">
        <is>
          <t>Treatment</t>
        </is>
      </c>
      <c r="D1376" s="0" t="inlineStr">
        <is>
          <t>West</t>
        </is>
      </c>
      <c r="E1376" s="0" t="inlineStr">
        <is>
          <t>Desktop</t>
        </is>
      </c>
      <c r="F1376" s="0" t="inlineStr">
        <is>
          <t>Email</t>
        </is>
      </c>
      <c r="G1376" s="0" t="inlineStr">
        <is>
          <t>Premium</t>
        </is>
      </c>
      <c r="H1376" s="0" t="n">
        <v>1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P1376" s="0" t="n">
        <v>72.40000000000001</v>
      </c>
    </row>
    <row r="1377">
      <c r="A1377" s="0" t="inlineStr">
        <is>
          <t>USR-101376</t>
        </is>
      </c>
      <c r="B1377" s="23" t="n">
        <v>45740</v>
      </c>
      <c r="C1377" s="0" t="inlineStr">
        <is>
          <t>Treatment</t>
        </is>
      </c>
      <c r="D1377" s="0" t="inlineStr">
        <is>
          <t>North</t>
        </is>
      </c>
      <c r="E1377" s="0" t="inlineStr">
        <is>
          <t>Mobile</t>
        </is>
      </c>
      <c r="F1377" s="0" t="inlineStr">
        <is>
          <t>Organic</t>
        </is>
      </c>
      <c r="G1377" s="0" t="inlineStr">
        <is>
          <t>Premium</t>
        </is>
      </c>
      <c r="H1377" s="0" t="n">
        <v>1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P1377" s="0" t="n">
        <v>74.5</v>
      </c>
    </row>
    <row r="1378">
      <c r="A1378" s="0" t="inlineStr">
        <is>
          <t>USR-101377</t>
        </is>
      </c>
      <c r="B1378" s="23" t="n">
        <v>45774</v>
      </c>
      <c r="C1378" s="0" t="inlineStr">
        <is>
          <t>Treatment</t>
        </is>
      </c>
      <c r="D1378" s="0" t="inlineStr">
        <is>
          <t>East</t>
        </is>
      </c>
      <c r="E1378" s="0" t="inlineStr">
        <is>
          <t>Mobile</t>
        </is>
      </c>
      <c r="F1378" s="0" t="inlineStr">
        <is>
          <t>Organic</t>
        </is>
      </c>
      <c r="G1378" s="0" t="inlineStr">
        <is>
          <t>Basic</t>
        </is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P1378" s="0" t="n">
        <v>52.6</v>
      </c>
    </row>
    <row r="1379">
      <c r="A1379" s="0" t="inlineStr">
        <is>
          <t>USR-101378</t>
        </is>
      </c>
      <c r="B1379" s="23" t="n">
        <v>45682</v>
      </c>
      <c r="C1379" s="0" t="inlineStr">
        <is>
          <t>Treatment</t>
        </is>
      </c>
      <c r="D1379" s="0" t="inlineStr">
        <is>
          <t>North</t>
        </is>
      </c>
      <c r="E1379" s="0" t="inlineStr">
        <is>
          <t>Desktop</t>
        </is>
      </c>
      <c r="F1379" s="0" t="inlineStr">
        <is>
          <t>Paid Search</t>
        </is>
      </c>
      <c r="G1379" s="0" t="inlineStr">
        <is>
          <t>Free</t>
        </is>
      </c>
      <c r="H1379" s="0" t="n">
        <v>1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P1379" s="0" t="n">
        <v>75.40000000000001</v>
      </c>
    </row>
    <row r="1380">
      <c r="A1380" s="0" t="inlineStr">
        <is>
          <t>USR-101379</t>
        </is>
      </c>
      <c r="B1380" s="23" t="n">
        <v>45705</v>
      </c>
      <c r="C1380" s="0" t="inlineStr">
        <is>
          <t>Treatment</t>
        </is>
      </c>
      <c r="D1380" s="0" t="inlineStr">
        <is>
          <t>North</t>
        </is>
      </c>
      <c r="E1380" s="0" t="inlineStr">
        <is>
          <t>Tablet</t>
        </is>
      </c>
      <c r="F1380" s="0" t="inlineStr">
        <is>
          <t>Social</t>
        </is>
      </c>
      <c r="G1380" s="0" t="inlineStr">
        <is>
          <t>Basic</t>
        </is>
      </c>
      <c r="H1380" s="0" t="n">
        <v>1</v>
      </c>
      <c r="I1380" s="0" t="n">
        <v>1</v>
      </c>
      <c r="J1380" s="0" t="n">
        <v>1</v>
      </c>
      <c r="K1380" s="0" t="n">
        <v>1</v>
      </c>
      <c r="L1380" s="0" t="n">
        <v>751.33</v>
      </c>
      <c r="M1380" s="0" t="n">
        <v>0</v>
      </c>
      <c r="N1380" s="0" t="n">
        <v>0</v>
      </c>
      <c r="O1380" s="0" t="n">
        <v>9</v>
      </c>
      <c r="P1380" s="0" t="n">
        <v>34</v>
      </c>
    </row>
    <row r="1381">
      <c r="A1381" s="0" t="inlineStr">
        <is>
          <t>USR-101380</t>
        </is>
      </c>
      <c r="B1381" s="23" t="n">
        <v>45760</v>
      </c>
      <c r="C1381" s="0" t="inlineStr">
        <is>
          <t>Treatment</t>
        </is>
      </c>
      <c r="D1381" s="0" t="inlineStr">
        <is>
          <t>South</t>
        </is>
      </c>
      <c r="E1381" s="0" t="inlineStr">
        <is>
          <t>Desktop</t>
        </is>
      </c>
      <c r="F1381" s="0" t="inlineStr">
        <is>
          <t>Organic</t>
        </is>
      </c>
      <c r="G1381" s="0" t="inlineStr">
        <is>
          <t>Free</t>
        </is>
      </c>
      <c r="H1381" s="0" t="n">
        <v>1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P1381" s="0" t="n">
        <v>67.09999999999999</v>
      </c>
    </row>
    <row r="1382">
      <c r="A1382" s="0" t="inlineStr">
        <is>
          <t>USR-101381</t>
        </is>
      </c>
      <c r="B1382" s="23" t="n">
        <v>45780</v>
      </c>
      <c r="C1382" s="0" t="inlineStr">
        <is>
          <t>Treatment</t>
        </is>
      </c>
      <c r="D1382" s="0" t="inlineStr">
        <is>
          <t>West</t>
        </is>
      </c>
      <c r="E1382" s="0" t="inlineStr">
        <is>
          <t>Desktop</t>
        </is>
      </c>
      <c r="F1382" s="0" t="inlineStr">
        <is>
          <t>Paid Search</t>
        </is>
      </c>
      <c r="G1382" s="0" t="inlineStr">
        <is>
          <t>Premium</t>
        </is>
      </c>
      <c r="H1382" s="0" t="n">
        <v>1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P1382" s="0" t="n">
        <v>37.3</v>
      </c>
    </row>
    <row r="1383">
      <c r="A1383" s="0" t="inlineStr">
        <is>
          <t>USR-101382</t>
        </is>
      </c>
      <c r="B1383" s="23" t="n">
        <v>45776</v>
      </c>
      <c r="C1383" s="0" t="inlineStr">
        <is>
          <t>Treatment</t>
        </is>
      </c>
      <c r="D1383" s="0" t="inlineStr">
        <is>
          <t>West</t>
        </is>
      </c>
      <c r="E1383" s="0" t="inlineStr">
        <is>
          <t>Mobile</t>
        </is>
      </c>
      <c r="F1383" s="0" t="inlineStr">
        <is>
          <t>Email</t>
        </is>
      </c>
      <c r="G1383" s="0" t="inlineStr">
        <is>
          <t>Free</t>
        </is>
      </c>
      <c r="H1383" s="0" t="n">
        <v>1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P1383" s="0" t="n">
        <v>54.7</v>
      </c>
    </row>
    <row r="1384">
      <c r="A1384" s="0" t="inlineStr">
        <is>
          <t>USR-101383</t>
        </is>
      </c>
      <c r="B1384" s="23" t="n">
        <v>45780</v>
      </c>
      <c r="C1384" s="0" t="inlineStr">
        <is>
          <t>Treatment</t>
        </is>
      </c>
      <c r="D1384" s="0" t="inlineStr">
        <is>
          <t>East</t>
        </is>
      </c>
      <c r="E1384" s="0" t="inlineStr">
        <is>
          <t>Desktop</t>
        </is>
      </c>
      <c r="F1384" s="0" t="inlineStr">
        <is>
          <t>Paid Search</t>
        </is>
      </c>
      <c r="G1384" s="0" t="inlineStr">
        <is>
          <t>Free</t>
        </is>
      </c>
      <c r="H1384" s="0" t="n">
        <v>1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P1384" s="0" t="n">
        <v>51.8</v>
      </c>
    </row>
    <row r="1385">
      <c r="A1385" s="0" t="inlineStr">
        <is>
          <t>USR-101384</t>
        </is>
      </c>
      <c r="B1385" s="23" t="n">
        <v>45775</v>
      </c>
      <c r="C1385" s="0" t="inlineStr">
        <is>
          <t>Treatment</t>
        </is>
      </c>
      <c r="D1385" s="0" t="inlineStr">
        <is>
          <t>West</t>
        </is>
      </c>
      <c r="E1385" s="0" t="inlineStr">
        <is>
          <t>Mobile</t>
        </is>
      </c>
      <c r="F1385" s="0" t="inlineStr">
        <is>
          <t>Paid Search</t>
        </is>
      </c>
      <c r="G1385" s="0" t="inlineStr">
        <is>
          <t>Free</t>
        </is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P1385" s="0" t="n">
        <v>49.2</v>
      </c>
    </row>
    <row r="1386">
      <c r="A1386" s="0" t="inlineStr">
        <is>
          <t>USR-101385</t>
        </is>
      </c>
      <c r="B1386" s="23" t="n">
        <v>45678</v>
      </c>
      <c r="C1386" s="0" t="inlineStr">
        <is>
          <t>Treatment</t>
        </is>
      </c>
      <c r="D1386" s="0" t="inlineStr">
        <is>
          <t>West</t>
        </is>
      </c>
      <c r="E1386" s="0" t="inlineStr">
        <is>
          <t>Mobile</t>
        </is>
      </c>
      <c r="F1386" s="0" t="inlineStr">
        <is>
          <t>Organic</t>
        </is>
      </c>
      <c r="G1386" s="0" t="inlineStr">
        <is>
          <t>Free</t>
        </is>
      </c>
      <c r="H1386" s="0" t="n">
        <v>1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2</v>
      </c>
      <c r="N1386" s="0" t="n">
        <v>0</v>
      </c>
      <c r="P1386" s="0" t="n">
        <v>58.8</v>
      </c>
    </row>
    <row r="1387">
      <c r="A1387" s="0" t="inlineStr">
        <is>
          <t>USR-101386</t>
        </is>
      </c>
      <c r="B1387" s="23" t="n">
        <v>45678</v>
      </c>
      <c r="C1387" s="0" t="inlineStr">
        <is>
          <t>Treatment</t>
        </is>
      </c>
      <c r="D1387" s="0" t="inlineStr">
        <is>
          <t>North</t>
        </is>
      </c>
      <c r="E1387" s="0" t="inlineStr">
        <is>
          <t>Tablet</t>
        </is>
      </c>
      <c r="F1387" s="0" t="inlineStr">
        <is>
          <t>Paid Search</t>
        </is>
      </c>
      <c r="G1387" s="0" t="inlineStr">
        <is>
          <t>Basic</t>
        </is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0</v>
      </c>
      <c r="P1387" s="0" t="n">
        <v>59.1</v>
      </c>
    </row>
    <row r="1388">
      <c r="A1388" s="0" t="inlineStr">
        <is>
          <t>USR-101387</t>
        </is>
      </c>
      <c r="B1388" s="23" t="n">
        <v>45798</v>
      </c>
      <c r="C1388" s="0" t="inlineStr">
        <is>
          <t>Treatment</t>
        </is>
      </c>
      <c r="D1388" s="0" t="inlineStr">
        <is>
          <t>West</t>
        </is>
      </c>
      <c r="E1388" s="0" t="inlineStr">
        <is>
          <t>Desktop</t>
        </is>
      </c>
      <c r="F1388" s="0" t="inlineStr">
        <is>
          <t>Paid Search</t>
        </is>
      </c>
      <c r="G1388" s="0" t="inlineStr">
        <is>
          <t>Free</t>
        </is>
      </c>
      <c r="H1388" s="0" t="n">
        <v>1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2</v>
      </c>
      <c r="N1388" s="0" t="n">
        <v>0</v>
      </c>
      <c r="P1388" s="0" t="n">
        <v>49.6</v>
      </c>
    </row>
    <row r="1389">
      <c r="A1389" s="0" t="inlineStr">
        <is>
          <t>USR-101388</t>
        </is>
      </c>
      <c r="B1389" s="23" t="n">
        <v>45662</v>
      </c>
      <c r="C1389" s="0" t="inlineStr">
        <is>
          <t>Treatment</t>
        </is>
      </c>
      <c r="D1389" s="0" t="inlineStr">
        <is>
          <t>North</t>
        </is>
      </c>
      <c r="E1389" s="0" t="inlineStr">
        <is>
          <t>Mobile</t>
        </is>
      </c>
      <c r="F1389" s="0" t="inlineStr">
        <is>
          <t>Referral</t>
        </is>
      </c>
      <c r="G1389" s="0" t="inlineStr">
        <is>
          <t>Free</t>
        </is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P1389" s="0" t="n">
        <v>58.2</v>
      </c>
    </row>
    <row r="1390">
      <c r="A1390" s="0" t="inlineStr">
        <is>
          <t>USR-101389</t>
        </is>
      </c>
      <c r="B1390" s="23" t="n">
        <v>45722</v>
      </c>
      <c r="C1390" s="0" t="inlineStr">
        <is>
          <t>Treatment</t>
        </is>
      </c>
      <c r="D1390" s="0" t="inlineStr">
        <is>
          <t>South</t>
        </is>
      </c>
      <c r="E1390" s="0" t="inlineStr">
        <is>
          <t>Desktop</t>
        </is>
      </c>
      <c r="F1390" s="0" t="inlineStr">
        <is>
          <t>Organic</t>
        </is>
      </c>
      <c r="G1390" s="0" t="inlineStr">
        <is>
          <t>Free</t>
        </is>
      </c>
      <c r="H1390" s="0" t="n">
        <v>1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P1390" s="0" t="n">
        <v>66.8</v>
      </c>
    </row>
    <row r="1391">
      <c r="A1391" s="0" t="inlineStr">
        <is>
          <t>USR-101390</t>
        </is>
      </c>
      <c r="B1391" s="23" t="n">
        <v>45765</v>
      </c>
      <c r="C1391" s="0" t="inlineStr">
        <is>
          <t>Treatment</t>
        </is>
      </c>
      <c r="D1391" s="0" t="inlineStr">
        <is>
          <t>North</t>
        </is>
      </c>
      <c r="E1391" s="0" t="inlineStr">
        <is>
          <t>Mobile</t>
        </is>
      </c>
      <c r="F1391" s="0" t="inlineStr">
        <is>
          <t>Paid Search</t>
        </is>
      </c>
      <c r="G1391" s="0" t="inlineStr">
        <is>
          <t>Free</t>
        </is>
      </c>
      <c r="H1391" s="0" t="n">
        <v>1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3</v>
      </c>
      <c r="N1391" s="0" t="n">
        <v>0</v>
      </c>
      <c r="P1391" s="0" t="n">
        <v>58.3</v>
      </c>
    </row>
    <row r="1392">
      <c r="A1392" s="0" t="inlineStr">
        <is>
          <t>USR-101391</t>
        </is>
      </c>
      <c r="B1392" s="23" t="n">
        <v>45762</v>
      </c>
      <c r="C1392" s="0" t="inlineStr">
        <is>
          <t>Treatment</t>
        </is>
      </c>
      <c r="D1392" s="0" t="inlineStr">
        <is>
          <t>West</t>
        </is>
      </c>
      <c r="E1392" s="0" t="inlineStr">
        <is>
          <t>Mobile</t>
        </is>
      </c>
      <c r="F1392" s="0" t="inlineStr">
        <is>
          <t>Organic</t>
        </is>
      </c>
      <c r="G1392" s="0" t="inlineStr">
        <is>
          <t>Basic</t>
        </is>
      </c>
      <c r="H1392" s="0" t="n">
        <v>1</v>
      </c>
      <c r="I1392" s="0" t="n">
        <v>1</v>
      </c>
      <c r="J1392" s="0" t="n">
        <v>1</v>
      </c>
      <c r="K1392" s="0" t="n">
        <v>0</v>
      </c>
      <c r="L1392" s="0" t="n">
        <v>0</v>
      </c>
      <c r="M1392" s="0" t="n">
        <v>0</v>
      </c>
      <c r="N1392" s="0" t="n">
        <v>0</v>
      </c>
      <c r="P1392" s="0" t="n">
        <v>38.5</v>
      </c>
    </row>
    <row r="1393">
      <c r="A1393" s="0" t="inlineStr">
        <is>
          <t>USR-101392</t>
        </is>
      </c>
      <c r="B1393" s="23" t="n">
        <v>45698</v>
      </c>
      <c r="C1393" s="0" t="inlineStr">
        <is>
          <t>Treatment</t>
        </is>
      </c>
      <c r="D1393" s="0" t="inlineStr">
        <is>
          <t>East</t>
        </is>
      </c>
      <c r="E1393" s="0" t="inlineStr">
        <is>
          <t>Mobile</t>
        </is>
      </c>
      <c r="F1393" s="0" t="inlineStr">
        <is>
          <t>Paid Search</t>
        </is>
      </c>
      <c r="G1393" s="0" t="inlineStr">
        <is>
          <t>Free</t>
        </is>
      </c>
      <c r="H1393" s="0" t="n">
        <v>1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P1393" s="0" t="n">
        <v>76.90000000000001</v>
      </c>
    </row>
    <row r="1394">
      <c r="A1394" s="0" t="inlineStr">
        <is>
          <t>USR-101393</t>
        </is>
      </c>
      <c r="B1394" s="23" t="n">
        <v>45785</v>
      </c>
      <c r="C1394" s="0" t="inlineStr">
        <is>
          <t>Treatment</t>
        </is>
      </c>
      <c r="D1394" s="0" t="inlineStr">
        <is>
          <t>East</t>
        </is>
      </c>
      <c r="E1394" s="0" t="inlineStr">
        <is>
          <t>Mobile</t>
        </is>
      </c>
      <c r="F1394" s="0" t="inlineStr">
        <is>
          <t>Organic</t>
        </is>
      </c>
      <c r="G1394" s="0" t="inlineStr">
        <is>
          <t>Free</t>
        </is>
      </c>
      <c r="H1394" s="0" t="n">
        <v>1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P1394" s="0" t="n">
        <v>54</v>
      </c>
    </row>
    <row r="1395">
      <c r="A1395" s="0" t="inlineStr">
        <is>
          <t>USR-101394</t>
        </is>
      </c>
      <c r="B1395" s="23" t="n">
        <v>45805</v>
      </c>
      <c r="C1395" s="0" t="inlineStr">
        <is>
          <t>Treatment</t>
        </is>
      </c>
      <c r="D1395" s="0" t="inlineStr">
        <is>
          <t>East</t>
        </is>
      </c>
      <c r="E1395" s="0" t="inlineStr">
        <is>
          <t>Tablet</t>
        </is>
      </c>
      <c r="F1395" s="0" t="inlineStr">
        <is>
          <t>Organic</t>
        </is>
      </c>
      <c r="G1395" s="0" t="inlineStr">
        <is>
          <t>Free</t>
        </is>
      </c>
      <c r="H1395" s="0" t="n">
        <v>1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P1395" s="0" t="n">
        <v>70.59999999999999</v>
      </c>
    </row>
    <row r="1396">
      <c r="A1396" s="0" t="inlineStr">
        <is>
          <t>USR-101395</t>
        </is>
      </c>
      <c r="B1396" s="23" t="n">
        <v>45772</v>
      </c>
      <c r="C1396" s="0" t="inlineStr">
        <is>
          <t>Treatment</t>
        </is>
      </c>
      <c r="D1396" s="0" t="inlineStr">
        <is>
          <t>North</t>
        </is>
      </c>
      <c r="E1396" s="0" t="inlineStr">
        <is>
          <t>Tablet</t>
        </is>
      </c>
      <c r="F1396" s="0" t="inlineStr">
        <is>
          <t>Referral</t>
        </is>
      </c>
      <c r="G1396" s="0" t="inlineStr">
        <is>
          <t>Premium</t>
        </is>
      </c>
      <c r="H1396" s="0" t="n">
        <v>1</v>
      </c>
      <c r="I1396" s="0" t="n">
        <v>1</v>
      </c>
      <c r="J1396" s="0" t="n">
        <v>1</v>
      </c>
      <c r="K1396" s="0" t="n">
        <v>0</v>
      </c>
      <c r="L1396" s="0" t="n">
        <v>0</v>
      </c>
      <c r="M1396" s="0" t="n">
        <v>1</v>
      </c>
      <c r="N1396" s="0" t="n">
        <v>0</v>
      </c>
      <c r="P1396" s="0" t="n">
        <v>69.40000000000001</v>
      </c>
    </row>
    <row r="1397">
      <c r="A1397" s="0" t="inlineStr">
        <is>
          <t>USR-101396</t>
        </is>
      </c>
      <c r="B1397" s="23" t="n">
        <v>45699</v>
      </c>
      <c r="C1397" s="0" t="inlineStr">
        <is>
          <t>Treatment</t>
        </is>
      </c>
      <c r="D1397" s="0" t="inlineStr">
        <is>
          <t>South</t>
        </is>
      </c>
      <c r="E1397" s="0" t="inlineStr">
        <is>
          <t>Mobile</t>
        </is>
      </c>
      <c r="F1397" s="0" t="inlineStr">
        <is>
          <t>Unknown</t>
        </is>
      </c>
      <c r="G1397" s="0" t="inlineStr">
        <is>
          <t>Premium</t>
        </is>
      </c>
      <c r="H1397" s="0" t="n">
        <v>1</v>
      </c>
      <c r="I1397" s="0" t="n">
        <v>1</v>
      </c>
      <c r="J1397" s="0" t="n">
        <v>1</v>
      </c>
      <c r="K1397" s="0" t="n">
        <v>1</v>
      </c>
      <c r="L1397" s="0" t="n">
        <v>1009.9</v>
      </c>
      <c r="M1397" s="0" t="n">
        <v>0</v>
      </c>
      <c r="N1397" s="0" t="n">
        <v>0</v>
      </c>
      <c r="O1397" s="0" t="n">
        <v>6</v>
      </c>
      <c r="P1397" s="0" t="n">
        <v>89.7</v>
      </c>
    </row>
    <row r="1398">
      <c r="A1398" s="0" t="inlineStr">
        <is>
          <t>USR-101397</t>
        </is>
      </c>
      <c r="B1398" s="23" t="n">
        <v>45761</v>
      </c>
      <c r="C1398" s="0" t="inlineStr">
        <is>
          <t>Treatment</t>
        </is>
      </c>
      <c r="D1398" s="0" t="inlineStr">
        <is>
          <t>West</t>
        </is>
      </c>
      <c r="E1398" s="0" t="inlineStr">
        <is>
          <t>Mobile</t>
        </is>
      </c>
      <c r="F1398" s="0" t="inlineStr">
        <is>
          <t>Organic</t>
        </is>
      </c>
      <c r="G1398" s="0" t="inlineStr">
        <is>
          <t>Free</t>
        </is>
      </c>
      <c r="H1398" s="0" t="n">
        <v>1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P1398" s="0" t="n">
        <v>62.4</v>
      </c>
    </row>
    <row r="1399">
      <c r="A1399" s="0" t="inlineStr">
        <is>
          <t>USR-101398</t>
        </is>
      </c>
      <c r="B1399" s="23" t="n">
        <v>45692</v>
      </c>
      <c r="C1399" s="0" t="inlineStr">
        <is>
          <t>Treatment</t>
        </is>
      </c>
      <c r="D1399" s="0" t="inlineStr">
        <is>
          <t>West</t>
        </is>
      </c>
      <c r="E1399" s="0" t="inlineStr">
        <is>
          <t>Tablet</t>
        </is>
      </c>
      <c r="F1399" s="0" t="inlineStr">
        <is>
          <t>Organic</t>
        </is>
      </c>
      <c r="G1399" s="0" t="inlineStr">
        <is>
          <t>Premium</t>
        </is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P1399" s="0" t="n">
        <v>67.3</v>
      </c>
    </row>
    <row r="1400">
      <c r="A1400" s="0" t="inlineStr">
        <is>
          <t>USR-101399</t>
        </is>
      </c>
      <c r="B1400" s="23" t="n">
        <v>45738</v>
      </c>
      <c r="C1400" s="0" t="inlineStr">
        <is>
          <t>Treatment</t>
        </is>
      </c>
      <c r="D1400" s="0" t="inlineStr">
        <is>
          <t>East</t>
        </is>
      </c>
      <c r="E1400" s="0" t="inlineStr">
        <is>
          <t>Mobile</t>
        </is>
      </c>
      <c r="F1400" s="0" t="inlineStr">
        <is>
          <t>Referral</t>
        </is>
      </c>
      <c r="G1400" s="0" t="inlineStr">
        <is>
          <t>Free</t>
        </is>
      </c>
      <c r="H1400" s="0" t="n">
        <v>1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P1400" s="0" t="n">
        <v>54.9</v>
      </c>
    </row>
    <row r="1401">
      <c r="A1401" s="0" t="inlineStr">
        <is>
          <t>USR-101400</t>
        </is>
      </c>
      <c r="B1401" s="23" t="n">
        <v>45765</v>
      </c>
      <c r="C1401" s="0" t="inlineStr">
        <is>
          <t>Treatment</t>
        </is>
      </c>
      <c r="D1401" s="0" t="inlineStr">
        <is>
          <t>East</t>
        </is>
      </c>
      <c r="E1401" s="0" t="inlineStr">
        <is>
          <t>Desktop</t>
        </is>
      </c>
      <c r="F1401" s="0" t="inlineStr">
        <is>
          <t>Social</t>
        </is>
      </c>
      <c r="G1401" s="0" t="inlineStr">
        <is>
          <t>Free</t>
        </is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P1401" s="0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2026-06-19T23:46:38Z</dcterms:created>
  <dcterms:modified xmlns:dcterms="http://purl.org/dc/terms/" xmlns:xsi="http://www.w3.org/2001/XMLSchema-instance" xsi:type="dcterms:W3CDTF">2026-06-19T23:47:47Z</dcterms:modified>
  <cp:revision>0</cp:revision>
</cp:coreProperties>
</file>